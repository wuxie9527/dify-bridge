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05" tabRatio="954" firstSheet="24" activeTab="37"/>
  </bookViews>
  <sheets>
    <sheet name="封面" sheetId="55" r:id="rId1"/>
    <sheet name="资产负债分析调整表" sheetId="48" r:id="rId2"/>
    <sheet name="利润分析调整表" sheetId="49" r:id="rId3"/>
    <sheet name="财务指标分析表" sheetId="52" r:id="rId4"/>
    <sheet name="财务指标详表" sheetId="53" r:id="rId5"/>
    <sheet name="收入--历史经营情况分析" sheetId="8" r:id="rId6"/>
    <sheet name="收入--2018年收入分析表" sheetId="56" r:id="rId7"/>
    <sheet name="收入预测表" sheetId="57" r:id="rId8"/>
    <sheet name="成本--成本比例分析" sheetId="58" r:id="rId9"/>
    <sheet name="主要材料情况" sheetId="2" state="hidden" r:id="rId10"/>
    <sheet name="燃料动力" sheetId="7" state="hidden" r:id="rId11"/>
    <sheet name="经营费用" sheetId="11" state="hidden" r:id="rId12"/>
    <sheet name="人员费用预测表" sheetId="6" state="hidden" r:id="rId13"/>
    <sheet name="管理费用预测表" sheetId="19" state="hidden" r:id="rId14"/>
    <sheet name="销售费用预测表" sheetId="20" state="hidden" r:id="rId15"/>
    <sheet name="租赁费预测" sheetId="24" state="hidden" r:id="rId16"/>
    <sheet name="财务费用预测表" sheetId="21" state="hidden" r:id="rId17"/>
    <sheet name="项目投资情况表" sheetId="4" state="hidden" r:id="rId18"/>
    <sheet name="利息测算" sheetId="26" state="hidden" r:id="rId19"/>
    <sheet name="成本--构成分析" sheetId="60" r:id="rId20"/>
    <sheet name="成本预测表" sheetId="59" r:id="rId21"/>
    <sheet name="税金及附加预测表" sheetId="62" r:id="rId22"/>
    <sheet name="工资表" sheetId="61" r:id="rId23"/>
    <sheet name="人员费用表" sheetId="63" r:id="rId24"/>
    <sheet name="销售费用" sheetId="35" r:id="rId25"/>
    <sheet name="折旧和资本化支出" sheetId="3" r:id="rId26"/>
    <sheet name="管理费用" sheetId="34" r:id="rId27"/>
    <sheet name="营运资金测算" sheetId="14" state="hidden" r:id="rId28"/>
    <sheet name="WACC测算" sheetId="30" state="hidden" r:id="rId29"/>
    <sheet name="财务费用" sheetId="18" state="hidden" r:id="rId30"/>
    <sheet name="Sheet1" sheetId="13" state="hidden" r:id="rId31"/>
    <sheet name="Sheet2" sheetId="38" state="hidden" r:id="rId32"/>
    <sheet name="预测利润表" sheetId="37" r:id="rId33"/>
    <sheet name="预测 主要资产负债项目" sheetId="64" r:id="rId34"/>
    <sheet name="营运资金" sheetId="22" r:id="rId35"/>
    <sheet name="非经营性资产和负债" sheetId="41" r:id="rId36"/>
    <sheet name="溢余资金测算表" sheetId="54" r:id="rId37"/>
    <sheet name="评估值测算" sheetId="17" r:id="rId38"/>
    <sheet name="Sheet3" sheetId="65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_xlnm._FilterDatabase" localSheetId="15" hidden="1">租赁费预测!$A$1:$X$143</definedName>
    <definedName name="_xlnm._FilterDatabase" localSheetId="18" hidden="1">利息测算!$A$1:$N$17</definedName>
    <definedName name="__MXH08">#REF!</definedName>
    <definedName name="_006">#REF!</definedName>
    <definedName name="_1">[1]原材料!$A$1:$R$945</definedName>
    <definedName name="_1_1223">#REF!</definedName>
    <definedName name="_1223">#REF!</definedName>
    <definedName name="_123">#REF!</definedName>
    <definedName name="_12456">#REF!</definedName>
    <definedName name="_2_1223">#REF!</definedName>
    <definedName name="_2_123">#REF!</definedName>
    <definedName name="_2成本">#REF!</definedName>
    <definedName name="_2电力收入">#REF!</definedName>
    <definedName name="_2年成本">#REF!</definedName>
    <definedName name="_2年收入">#REF!</definedName>
    <definedName name="_3.1">#N/A</definedName>
    <definedName name="_3.2">#N/A</definedName>
    <definedName name="_3.U">#N/A</definedName>
    <definedName name="_3_12456">#REF!</definedName>
    <definedName name="_3年成本">#REF!</definedName>
    <definedName name="_3年收入">#REF!</definedName>
    <definedName name="_4_123">#REF!</definedName>
    <definedName name="_4_898">#REF!</definedName>
    <definedName name="_4年成本">#REF!</definedName>
    <definedName name="_4年收入">#REF!</definedName>
    <definedName name="_5年成本">#REF!</definedName>
    <definedName name="_5年收入">#REF!</definedName>
    <definedName name="_6_12456">#REF!</definedName>
    <definedName name="_8_898">#REF!</definedName>
    <definedName name="_898">#REF!</definedName>
    <definedName name="_A91">#REF!</definedName>
    <definedName name="_A99">#REF!</definedName>
    <definedName name="_MXH08">#REF!</definedName>
    <definedName name="_Order1" hidden="1">255</definedName>
    <definedName name="a" hidden="1">{#N/A,#N/A,FALSE,"BBPREP"}</definedName>
    <definedName name="AAAAAA" hidden="1">{#N/A,#N/A,FALSE,"BBPREP"}</definedName>
    <definedName name="abc" hidden="1">{#N/A,#N/A,FALSE,"BBPREP"}</definedName>
    <definedName name="Apr">#REF!="04月"</definedName>
    <definedName name="AS2DocOpenMode" hidden="1">"AS2DocumentEdit"</definedName>
    <definedName name="ASFJDFLDFSLALFA">#REF!</definedName>
    <definedName name="Aug">#REF!="08月"</definedName>
    <definedName name="b">#REF!</definedName>
    <definedName name="bianzhi">#REF!</definedName>
    <definedName name="bianzhiriqi">#REF!</definedName>
    <definedName name="bs" hidden="1">{#N/A,#N/A,FALSE,"BBPREP"}</definedName>
    <definedName name="butie">#REF!</definedName>
    <definedName name="CanSave">FALSE</definedName>
    <definedName name="COL_NUM">[2]细节测试审计抽样!$U$76</definedName>
    <definedName name="Confidence_Factor">[2]细节测试审计抽样!$W$73:$Z$76</definedName>
    <definedName name="daqu">#REF!</definedName>
    <definedName name="DATA">OFFSET([3]汇总明细!$A$1,,,COUNTA([3]汇总明细!$A$1:$A$65536),COUNTA([3]汇总明细!$A$1:$IV$1))</definedName>
    <definedName name="DATA1">OFFSET([3]进销存模板!$A$1,,,COUNTA([3]进销存模板!$A$1:$A$65536),COUNTA([3]进销存模板!$A$1:$IV$1))</definedName>
    <definedName name="data2">[4]销售分公司!$H$5:$H$7,[4]销售分公司!$H$9:$H$11,[4]销售分公司!$H$13:$H$14,[4]销售分公司!$H$16</definedName>
    <definedName name="data3">[4]销售分公司!$F$22:$F$26,[4]销售分公司!$F$28:$F$30,[4]销售分公司!$F$32:$F$33,[4]销售分公司!$F$35</definedName>
    <definedName name="data4">[4]销售分公司!$H$24:$H$26,[4]销售分公司!$H$28:$H$30,[4]销售分公司!$H$32:$H$33,[4]销售分公司!$H$35</definedName>
    <definedName name="Database">#REF!</definedName>
    <definedName name="DBPATH">"湖北杰之行股份2015_数据.cxt"</definedName>
    <definedName name="Dec">#REF!="12月"</definedName>
    <definedName name="diaop">'[5]数据库(万元)'!$L$2:$L$24990</definedName>
    <definedName name="dpe">#REF!</definedName>
    <definedName name="dpjb">#REF!</definedName>
    <definedName name="dpname">OFFSET(#REF!,ROW()-11,MATCH(#REF!,#REF!,)-1)</definedName>
    <definedName name="dpyt">#REF!</definedName>
    <definedName name="dq">#REF!</definedName>
    <definedName name="dxn">[6]dxnsjtempsheet!$A$1:$G$65536</definedName>
    <definedName name="E">[7]Sheet1!$A$9</definedName>
    <definedName name="Feb">#REF!="02月"</definedName>
    <definedName name="FeiY">#REF!</definedName>
    <definedName name="FILETYPE">"DANTI"</definedName>
    <definedName name="fuhe">#REF!</definedName>
    <definedName name="fuheriqi">#REF!</definedName>
    <definedName name="FY_bgf">#REF!</definedName>
    <definedName name="FY_bzf">#REF!</definedName>
    <definedName name="FY_ccbx">#REF!</definedName>
    <definedName name="FY_clsy">#REF!</definedName>
    <definedName name="FY_cwfy">#REF!</definedName>
    <definedName name="FY_cxjl">#REF!</definedName>
    <definedName name="FY_cxtg">#REF!</definedName>
    <definedName name="FY_dhcl">#REF!</definedName>
    <definedName name="FY_dhf">#REF!</definedName>
    <definedName name="FY_dhp">#REF!</definedName>
    <definedName name="FY_dshf">#REF!</definedName>
    <definedName name="FY_fwzj">#REF!</definedName>
    <definedName name="FY_gdgz">#REF!</definedName>
    <definedName name="FY_ghjf">#REF!</definedName>
    <definedName name="FY_heji">#REF!</definedName>
    <definedName name="FY_hwaq">#REF!</definedName>
    <definedName name="FY_it">#REF!</definedName>
    <definedName name="FY_jxjj">#REF!</definedName>
    <definedName name="FY_ldbh">#REF!</definedName>
    <definedName name="FY_lxf">#REF!</definedName>
    <definedName name="FY_pos">#REF!</definedName>
    <definedName name="FY_pxhw">#REF!</definedName>
    <definedName name="FY_qtfy">#REF!</definedName>
    <definedName name="FY_qtzj">#REF!</definedName>
    <definedName name="FY_qywj">#REF!</definedName>
    <definedName name="FY_rccl">#REF!</definedName>
    <definedName name="FY_scfy">#REF!</definedName>
    <definedName name="FY_sckd">#REF!</definedName>
    <definedName name="FY_sdf">#REF!</definedName>
    <definedName name="FY_sebao">#REF!</definedName>
    <definedName name="FY_sf">#REF!</definedName>
    <definedName name="FY_sxf">#REF!</definedName>
    <definedName name="FY_tcgz">#REF!</definedName>
    <definedName name="FY_xlf">#REF!</definedName>
    <definedName name="FY_ywf">#REF!</definedName>
    <definedName name="FY_yzf">#REF!</definedName>
    <definedName name="FY_zdf">#REF!</definedName>
    <definedName name="FY_zgfl">#REF!</definedName>
    <definedName name="FY_zjwy">#REF!</definedName>
    <definedName name="FY_zrf">#REF!</definedName>
    <definedName name="FY_zx">#REF!</definedName>
    <definedName name="FY_zxf">#REF!</definedName>
    <definedName name="g">#REF!</definedName>
    <definedName name="gg">[8]XL4Poppy!$C$9</definedName>
    <definedName name="gs">'[5]数据库(万元)'!$D$2:$D$24990</definedName>
    <definedName name="gsmc">#REF!</definedName>
    <definedName name="H">[9]企业表一!$D$7</definedName>
    <definedName name="HH">[9]企业表一!$D$20</definedName>
    <definedName name="HJ">[9]企业表一!$F$20</definedName>
    <definedName name="hkd">1.0611</definedName>
    <definedName name="HTML_CodePage" hidden="1">950</definedName>
    <definedName name="HTML_Control" hidden="1">{"'9811維修'!$A$1:$J$16"}</definedName>
    <definedName name="HTML_Description" hidden="1">""</definedName>
    <definedName name="HTML_Email" hidden="1">""</definedName>
    <definedName name="HTML_Header" hidden="1">""</definedName>
    <definedName name="HTML_LastUpdate" hidden="1">"1998/12/3"</definedName>
    <definedName name="HTML_LineAfter" hidden="1">TRUE</definedName>
    <definedName name="HTML_LineBefore" hidden="1">TRUE</definedName>
    <definedName name="HTML_Name" hidden="1">"劉曉玲"</definedName>
    <definedName name="HTML_OBDlg2" hidden="1">TRUE</definedName>
    <definedName name="HTML_OBDlg4" hidden="1">TRUE</definedName>
    <definedName name="HTML_OS" hidden="1">0</definedName>
    <definedName name="HTML_PathFile" hidden="1">"\\Dg\dg-f\intpub\data\裕元模具廠維修營業表.htm"</definedName>
    <definedName name="HTML_Title" hidden="1">"裕元模具廠維修營業表"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"60M8001"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39429.6609027778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an">#REF!="01月"</definedName>
    <definedName name="jb">#REF!</definedName>
    <definedName name="jianz">'[5]数据库(万元)'!$M$2:$M$24990</definedName>
    <definedName name="jianzhi">#REF!</definedName>
    <definedName name="jibie">'[5]数据库(万元)'!$I$2:$I$24990</definedName>
    <definedName name="jskd">'[5]数据库(万元)'!$AF$2:$AG$24990</definedName>
    <definedName name="Jul">#REF!="07月"</definedName>
    <definedName name="Jun">#REF!="06月"</definedName>
    <definedName name="jyfy">#REF!</definedName>
    <definedName name="K">[10]Sheet1!$A$1</definedName>
    <definedName name="kehu">#REF!</definedName>
    <definedName name="kemudaima">#REF!</definedName>
    <definedName name="kemuming">#REF!</definedName>
    <definedName name="kuaijiqijian">#REF!</definedName>
    <definedName name="kuwenjian">#REF!</definedName>
    <definedName name="L" hidden="1">{#N/A,#N/A,FALSE,"BBPREP"}</definedName>
    <definedName name="LiuS">#REF!</definedName>
    <definedName name="ljmonth">#N/A</definedName>
    <definedName name="ljmonth1">#N/A</definedName>
    <definedName name="ljmonth2">#N/A</definedName>
    <definedName name="ljmonth3">#N/A</definedName>
    <definedName name="maoli">'[5]数据库(万元)'!$R$2:$R$24990</definedName>
    <definedName name="maoli_maoy">'[5]数据库(万元)'!$AE$2:$AE$24990</definedName>
    <definedName name="maoli_sheng">'[5]数据库(万元)'!$AB$2:$AB$24990</definedName>
    <definedName name="Mar">#REF!="03月"</definedName>
    <definedName name="May">#REF!="05月"</definedName>
    <definedName name="Misstatement_Expansion_Factor">[2]细节测试审计抽样!$W$81:$Z$84</definedName>
    <definedName name="ml">#REF!</definedName>
    <definedName name="mm">#REF!=[11]!month</definedName>
    <definedName name="month">IF(LEN(MONTH(#REF!))=2,MONTH(#REF!),"0"&amp;MONTH(#REF!))&amp;"月"</definedName>
    <definedName name="month2">#REF!</definedName>
    <definedName name="msjs1">[12]个税计算器!$D$5</definedName>
    <definedName name="NeedControl">#N/A</definedName>
    <definedName name="Nov">#REF!="11月"</definedName>
    <definedName name="nowmonth">'[5]数据库(万元)'!$B$2:$B$24990=month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ct">#REF!="10月"</definedName>
    <definedName name="OTH_PROC_RISK">[2]细节测试审计抽样!$M$59</definedName>
    <definedName name="pp">#REF!</definedName>
    <definedName name="_xlnm.Print_Area">#REF!</definedName>
    <definedName name="print_area_mar">'[13]XJ8809'!$A$2:$H$44</definedName>
    <definedName name="Print_Area_MI">#REF!</definedName>
    <definedName name="print_area_mr">'[13]XJ8809'!$A$2:$H$44</definedName>
    <definedName name="_xlnm.Print_Titles">'[14]9908AAA庫存'!#REF!</definedName>
    <definedName name="PROJCODE">" "</definedName>
    <definedName name="Projection_Method">[2]细节测试审计抽样!$M$115</definedName>
    <definedName name="Q">[10]Sheet1!$A$5</definedName>
    <definedName name="qichushu">#REF!</definedName>
    <definedName name="QT_fjs">#REF!</definedName>
    <definedName name="QT_gdss">#REF!</definedName>
    <definedName name="QT_ppfl">'[15]3.1数据库(电商&amp;工厂店)'!$BZ$2:$BZ$15042</definedName>
    <definedName name="QT_qhbt">#REF!</definedName>
    <definedName name="QT_qtfl">#REF!</definedName>
    <definedName name="QT_qtsr">#REF!</definedName>
    <definedName name="QT_qtzc">#REF!</definedName>
    <definedName name="QT_sjfj1">'[15]3.1数据库(电商&amp;工厂店)'!$BS$2:$BS$15042</definedName>
    <definedName name="QT_sjfj2">'[15]3.2数据库(贸易加点)'!$O$2:$O$15264</definedName>
    <definedName name="QT_tclr">#REF!</definedName>
    <definedName name="QT_yqss">#REF!</definedName>
    <definedName name="QT_ywsr">#REF!</definedName>
    <definedName name="QT_ywzc">#REF!</definedName>
    <definedName name="QT_zcsh">#REF!</definedName>
    <definedName name="QT_zfbz">#REF!</definedName>
    <definedName name="QT_zzs">#REF!</definedName>
    <definedName name="QT_zzsy">#REF!</definedName>
    <definedName name="qtpp">'[5]数据库(万元)'!$T$2:$T$24990</definedName>
    <definedName name="quan">'[5]数据库(万元)'!$O$2:$O$24990</definedName>
    <definedName name="quyu">#REF!</definedName>
    <definedName name="rgfy">#REF!</definedName>
    <definedName name="RMM">[2]细节测试审计抽样!$M$58</definedName>
    <definedName name="ROW_NUM">[2]细节测试审计抽样!$U$75</definedName>
    <definedName name="rtrrt">#N/A</definedName>
    <definedName name="s" hidden="1">{#N/A,#N/A,FALSE,"BBPREP"}</definedName>
    <definedName name="SAPBEXrevision" hidden="1">10</definedName>
    <definedName name="SAPBEXsysID" hidden="1">"LNG"</definedName>
    <definedName name="SAPBEXwbID" hidden="1">"43JYC2GBUIJ00DZ7Q1P4KFLRQ"</definedName>
    <definedName name="scfy">#REF!</definedName>
    <definedName name="sckd">#REF!</definedName>
    <definedName name="sdfy">#REF!</definedName>
    <definedName name="SDZL1">[16]明细表!$AI$7</definedName>
    <definedName name="SDZL2">[16]明细表!$AJ$7</definedName>
    <definedName name="SDZL3">[16]明细表!$AK$7</definedName>
    <definedName name="SDZL4">[16]明细表!$AL$7</definedName>
    <definedName name="SDZL5">[16]明细表!$AM$7</definedName>
    <definedName name="Sept">#REF!="09月"</definedName>
    <definedName name="shenqianshu">#REF!</definedName>
    <definedName name="sj">'[5]数据库(万元)'!$A$2:$A$24990="实际"</definedName>
    <definedName name="sjcolu">INDIRECT(ADDRESS(2,MATCH(#REF!,[17]实际汇总!$A$1:$BO$1,0),1,1,"实际")&amp;":"&amp;ADDRESS(65536,MATCH(#REF!,[17]实际汇总!$A$1:$BO$1,0),1,1))</definedName>
    <definedName name="ss">#N/A</definedName>
    <definedName name="ssls">#REF!</definedName>
    <definedName name="st">#REF!</definedName>
    <definedName name="SU">#REF!</definedName>
    <definedName name="suoyinhao">#REF!</definedName>
    <definedName name="sy">#REF!</definedName>
    <definedName name="t" hidden="1">{#N/A,#N/A,FALSE,"BBPREP"}</definedName>
    <definedName name="TBSTYLE">"general"</definedName>
    <definedName name="TextRefCopy1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>#REF!</definedName>
    <definedName name="TextRefCopy130">#REF!</definedName>
    <definedName name="TextRefCopy131">#REF!</definedName>
    <definedName name="TextRefCopy132">#REF!</definedName>
    <definedName name="TextRefCopy13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#REF!</definedName>
    <definedName name="TextRefCopy157">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78">#REF!</definedName>
    <definedName name="TextRefCopy179">#REF!</definedName>
    <definedName name="TextRefCopy18">#REF!</definedName>
    <definedName name="TextRefCopy180">#REF!</definedName>
    <definedName name="TextRefCopy181">#REF!</definedName>
    <definedName name="TextRefCopy182">#REF!</definedName>
    <definedName name="TextRefCopy183">#REF!</definedName>
    <definedName name="TextRefCopy184">#REF!</definedName>
    <definedName name="TextRefCopy185">#REF!</definedName>
    <definedName name="TextRefCopy186">#REF!</definedName>
    <definedName name="TextRefCopy187">#REF!</definedName>
    <definedName name="TextRefCopy188">#REF!</definedName>
    <definedName name="TextRefCopy189">#REF!</definedName>
    <definedName name="TextRefCopy19">#REF!</definedName>
    <definedName name="TextRefCopy190">#REF!</definedName>
    <definedName name="TextRefCopy191">#REF!</definedName>
    <definedName name="TextRefCopy192">#REF!</definedName>
    <definedName name="TextRefCopy193">#REF!</definedName>
    <definedName name="TextRefCopy194">#REF!</definedName>
    <definedName name="TextRefCopy195">#REF!</definedName>
    <definedName name="TextRefCopy196">#REF!</definedName>
    <definedName name="TextRefCopy197">#REF!</definedName>
    <definedName name="TextRefCopy198">#REF!</definedName>
    <definedName name="TextRefCopy199">#REF!</definedName>
    <definedName name="TextRefCopy2">#REF!</definedName>
    <definedName name="TextRefCopy20">#REF!</definedName>
    <definedName name="TextRefCopy200">#REF!</definedName>
    <definedName name="TextRefCopy201">#REF!</definedName>
    <definedName name="TextRefCopy202">#REF!</definedName>
    <definedName name="TextRefCopy203">#REF!</definedName>
    <definedName name="TextRefCopy204">#REF!</definedName>
    <definedName name="TextRefCopy205">#REF!</definedName>
    <definedName name="TextRefCopy206">#REF!</definedName>
    <definedName name="TextRefCopy207">#REF!</definedName>
    <definedName name="TextRefCopy208">#REF!</definedName>
    <definedName name="TextRefCopy209">#REF!</definedName>
    <definedName name="TextRefCopy21">#REF!</definedName>
    <definedName name="TextRefCopy210">#REF!</definedName>
    <definedName name="TextRefCopy211">#REF!</definedName>
    <definedName name="TextRefCopy212">#REF!</definedName>
    <definedName name="TextRefCopy213">#REF!</definedName>
    <definedName name="TextRefCopy214">#REF!</definedName>
    <definedName name="TextRefCopy215">#REF!</definedName>
    <definedName name="TextRefCopy216">#REF!</definedName>
    <definedName name="TextRefCopy217">#REF!</definedName>
    <definedName name="TextRefCopy218">#REF!</definedName>
    <definedName name="TextRefCopy219">#REF!</definedName>
    <definedName name="TextRefCopy22">#REF!</definedName>
    <definedName name="TextRefCopy220">#REF!</definedName>
    <definedName name="TextRefCopy221">#REF!</definedName>
    <definedName name="TextRefCopy222">#REF!</definedName>
    <definedName name="TextRefCopy223">#REF!</definedName>
    <definedName name="TextRefCopy224">#REF!</definedName>
    <definedName name="TextRefCopy225">#REF!</definedName>
    <definedName name="TextRefCopy226">#REF!</definedName>
    <definedName name="TextRefCopy227">#REF!</definedName>
    <definedName name="TextRefCopy228">#REF!</definedName>
    <definedName name="TextRefCopy229">#REF!</definedName>
    <definedName name="TextRefCopy23">#REF!</definedName>
    <definedName name="TextRefCopy230">#REF!</definedName>
    <definedName name="TextRefCopy231">#REF!</definedName>
    <definedName name="TextRefCopy232">#REF!</definedName>
    <definedName name="TextRefCopy233">#REF!</definedName>
    <definedName name="TextRefCopy234">#REF!</definedName>
    <definedName name="TextRefCopy235">#REF!</definedName>
    <definedName name="TextRefCopy236">#REF!</definedName>
    <definedName name="TextRefCopy237">#REF!</definedName>
    <definedName name="TextRefCopy238">[18]Sheet1!#REF!</definedName>
    <definedName name="TextRefCopy239">[18]Sheet1!#REF!</definedName>
    <definedName name="TextRefCopy24">#REF!</definedName>
    <definedName name="TextRefCopy240">[18]Sheet1!#REF!</definedName>
    <definedName name="TextRefCopy241">[18]Sheet1!#REF!</definedName>
    <definedName name="TextRefCopy242">[18]Sheet1!#REF!</definedName>
    <definedName name="TextRefCopy243">[18]Sheet1!#REF!</definedName>
    <definedName name="TextRefCopy244">[18]Sheet1!#REF!</definedName>
    <definedName name="TextRefCopy245">[18]Sheet1!#REF!</definedName>
    <definedName name="TextRefCopy246">[18]Sheet1!#REF!</definedName>
    <definedName name="TextRefCopy247">[18]Sheet1!#REF!</definedName>
    <definedName name="TextRefCopy248">[18]Sheet1!#REF!</definedName>
    <definedName name="TextRefCopy249">[18]Sheet1!#REF!</definedName>
    <definedName name="TextRefCopy25">#REF!</definedName>
    <definedName name="TextRefCopy250">[18]Sheet1!#REF!</definedName>
    <definedName name="TextRefCopy251">[18]Sheet1!#REF!</definedName>
    <definedName name="TextRefCopy252">[18]Sheet1!#REF!</definedName>
    <definedName name="TextRefCopy253">[18]Sheet1!#REF!</definedName>
    <definedName name="TextRefCopy254">[18]Sheet1!#REF!</definedName>
    <definedName name="TextRefCopy255">[18]Sheet1!#REF!</definedName>
    <definedName name="TextRefCopy256">[18]Sheet1!#REF!</definedName>
    <definedName name="TextRefCopy26">#REF!</definedName>
    <definedName name="TextRefCopy260">[18]Sheet1!#REF!</definedName>
    <definedName name="TextRefCopy261">[18]Sheet1!#REF!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261</definedName>
    <definedName name="time">MID([4]主要指标!$A$1,1,FIND("月",[4]主要指标!$A$1))</definedName>
    <definedName name="tq">'[5]数据库(万元)'!$A$2:$A$24990="同期"</definedName>
    <definedName name="tqcolu">INDIRECT(ADDRESS(2,MATCH(#REF!,#REF!,0),1,1,"同期")&amp;":"&amp;ADDRESS(65536,MATCH(#REF!,#REF!,0),1,1))</definedName>
    <definedName name="UFPrn20040107125954">#REF!</definedName>
    <definedName name="UFPrn20040811110647">#REF!</definedName>
    <definedName name="UFPrn20040907133340">#REF!</definedName>
    <definedName name="UFPrn20041202154147">#REF!</definedName>
    <definedName name="UFPrn20050119150029">#REF!</definedName>
    <definedName name="UFPrn20050121115115">#REF!</definedName>
    <definedName name="UFPrn20050307143218">#REF!</definedName>
    <definedName name="UFPrn20050320130608">#REF!</definedName>
    <definedName name="UFPrn20060207133347">#REF!</definedName>
    <definedName name="UFPrn20060207200521">#REF!</definedName>
    <definedName name="UFPrn20060207200536">#REF!</definedName>
    <definedName name="UFPrn20060207200551">#REF!</definedName>
    <definedName name="UFPrn20060207200603">#REF!</definedName>
    <definedName name="UFPrn20060306172647">#REF!</definedName>
    <definedName name="UFPrn20060306172717">#REF!</definedName>
    <definedName name="UFPrn20060308093926">#REF!</definedName>
    <definedName name="UFPrn20070226083825">#REF!</definedName>
    <definedName name="UFPrn20100517155803">#REF!</definedName>
    <definedName name="UFPrn20100517155821">#REF!</definedName>
    <definedName name="UFPrn20100517160921">#REF!</definedName>
    <definedName name="UFPrn20101015134818">[19]科目余额表!#REF!</definedName>
    <definedName name="UFPrn20101015134859">#REF!</definedName>
    <definedName name="UFPrn20110408195812">#REF!</definedName>
    <definedName name="UFPrn20110408195824">#REF!</definedName>
    <definedName name="UFPrn20161213094501">'[20]201101-201202'!$A$1:$J$17160</definedName>
    <definedName name="usd">8.2773</definedName>
    <definedName name="we">[21]企业表一!$F$17</definedName>
    <definedName name="WORKCODE">" "</definedName>
    <definedName name="wrn.负债及权益." hidden="1">{"负债及权益",#N/A,FALSE,"TB-BS"}</definedName>
    <definedName name="wrn.现金." hidden="1">{"现金主表",#N/A,FALSE,"正式Cashflow"}</definedName>
    <definedName name="wrn.现金主表." hidden="1">{"现金主表",#N/A,FALSE,"正式Cashflow"}</definedName>
    <definedName name="wrn.资产." hidden="1">{"资产",#N/A,FALSE,"TB-BS"}</definedName>
    <definedName name="X">[22]关南Bt2000大包装!$O$5:$O$19</definedName>
    <definedName name="xh" hidden="1">{"'廠9811'!$A$1:$P$62"}</definedName>
    <definedName name="xiangmu">#REF!</definedName>
    <definedName name="XiT">#REF!</definedName>
    <definedName name="XREF_COLUMN_1" hidden="1">#REF!</definedName>
    <definedName name="XRefActiveRow" hidden="1">#REF!</definedName>
    <definedName name="XRefColumnsCount" hidden="1">1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RangeCount" hidden="1">1</definedName>
    <definedName name="xs">'[5]数据库(万元)'!$P$2:$P$24990</definedName>
    <definedName name="XS_cben2">'[15]3.2数据库(贸易加点)'!$M$2:$M$15264</definedName>
    <definedName name="XS_diaop">#REF!</definedName>
    <definedName name="XS_diaop1">'[15]3.1数据库(电商&amp;工厂店)'!$O$2:$O$15042</definedName>
    <definedName name="XS_diaop2">'[15]3.2数据库(贸易加点)'!$J$2:$J$15264</definedName>
    <definedName name="XS_fxfl">#REF!</definedName>
    <definedName name="XS_jianz">#REF!</definedName>
    <definedName name="XS_lius">#REF!</definedName>
    <definedName name="XS_lius1">'[15]3.1数据库(电商&amp;工厂店)'!$S$2:$S$15042</definedName>
    <definedName name="XS_lius2">'[15]3.2数据库(贸易加点)'!$L$2:$L$15264</definedName>
    <definedName name="XS_maoli">#REF!</definedName>
    <definedName name="xs_maoy">'[5]数据库(万元)'!$AC$2:$AC$24990</definedName>
    <definedName name="XS_quan">#REF!</definedName>
    <definedName name="xs_sheng">'[5]数据库(万元)'!$Z$2:$Z$24990</definedName>
    <definedName name="XS_tclr">#REF!</definedName>
    <definedName name="xslx">'[5]数据库(万元)'!$G$2:$G$24990</definedName>
    <definedName name="XX_fykm">#REF!</definedName>
    <definedName name="XX_gs">#REF!</definedName>
    <definedName name="XX_jibie">#REF!</definedName>
    <definedName name="XX_jibie1">'[15]3.1数据库(电商&amp;工厂店)'!$M$2:$M$15042</definedName>
    <definedName name="XX_jibie2">'[15]3.2数据库(贸易加点)'!$I$2:$I$15264</definedName>
    <definedName name="XX_jij">#REF!</definedName>
    <definedName name="XX_ljmm">#N/A</definedName>
    <definedName name="XX_ljmm1">'[15]3.1数据库(电商&amp;工厂店)'!$B$2:$B$15042&lt;=[15]!XX_month</definedName>
    <definedName name="XX_ljmm2">'[15]3.2数据库(贸易加点)'!$B$2:$B$15264&lt;=[15]!XX_month</definedName>
    <definedName name="XX_month">#N/A</definedName>
    <definedName name="XX_nowmm">#N/A</definedName>
    <definedName name="XX_nowmm1">'[15]3.1数据库(电商&amp;工厂店)'!$B$2:$B$15042=[11]!XX_month</definedName>
    <definedName name="XX_nowmm2">'[15]3.2数据库(贸易加点)'!$B$2:$B$15264=[11]!XX_month</definedName>
    <definedName name="XX_pp">#REF!</definedName>
    <definedName name="XX_qtpp">#REF!</definedName>
    <definedName name="XX_sheng">#REF!</definedName>
    <definedName name="XX_sheng1">'[15]3.1数据库(电商&amp;工厂店)'!$G$2:$G$15042</definedName>
    <definedName name="XX_sheng2">'[15]3.2数据库(贸易加点)'!$E$2:$E$15264</definedName>
    <definedName name="XX_sj">#REF!="实际"</definedName>
    <definedName name="XX_sj1">'[15]3.1数据库(电商&amp;工厂店)'!$A$2:$A$15042="实际"</definedName>
    <definedName name="XX_sj2">'[15]3.2数据库(贸易加点)'!$A$2:$A$15264="实际"</definedName>
    <definedName name="XX_time">MID([23]目录!$A$2,1,FIND("月",[23]目录!$A$2))</definedName>
    <definedName name="XX_tq">#REF!="同期"</definedName>
    <definedName name="XX_xslx">#REF!</definedName>
    <definedName name="XX_year">MID(XX_time,1,FIND("年",XX_time))</definedName>
    <definedName name="XX_ys">#REF!="预算"</definedName>
    <definedName name="XX_ys1">'[15]3.1数据库(电商&amp;工厂店)'!$A$2:$A$15042="预算"</definedName>
    <definedName name="XX_ys2">'[15]3.2数据库(贸易加点)'!$A$2:$A$15264="预算"</definedName>
    <definedName name="XX_yt">#REF!</definedName>
    <definedName name="XX_yuef">#REF!</definedName>
    <definedName name="xxy">#REF!</definedName>
    <definedName name="year">#N/A</definedName>
    <definedName name="year_end">[24]Sheet3!$A$1</definedName>
    <definedName name="yeci">#REF!</definedName>
    <definedName name="ys">'[5]数据库(万元)'!$A$2:$A$24990="预算"</definedName>
    <definedName name="yscolu">INDIRECT(ADDRESS(2,MATCH(#REF!,#REF!,0),1,1,"预算")&amp;":"&amp;ADDRESS(65536,MATCH(#REF!,#REF!,0),1,1))</definedName>
    <definedName name="ysfw1">[12]个税计算器!$J$5:$N$13</definedName>
    <definedName name="yt">'[5]数据库(万元)'!$H$2:$H$24990</definedName>
    <definedName name="yta">#REF!&lt;&gt;"分销"</definedName>
    <definedName name="ytb">#REF!="分销"</definedName>
    <definedName name="ytc">#REF!="招商"</definedName>
    <definedName name="zhjjl">#REF!</definedName>
    <definedName name="zlfy">#REF!</definedName>
    <definedName name="zxfy">#REF!</definedName>
    <definedName name="安装转应付款">#REF!</definedName>
    <definedName name="八月">'[25]2005年收入明细new'!$A$3:$N$33</definedName>
    <definedName name="八月二">'[25]2004年收入数据new'!$A$4:$N$31</definedName>
    <definedName name="报表">#REF!</definedName>
    <definedName name="本年累计02">OFFSET('[26]2006年TB'!XFD100,0,月份-1)</definedName>
    <definedName name="本期02表">IF(月份=1,'[26]2006年TB'!$C100,本月)</definedName>
    <definedName name="本循环科目" hidden="1">[27]索引!$D$15:$D$76</definedName>
    <definedName name="本月">OFFSET('[26]2006年TB'!A100,,月份-1)-OFFSET('[26]2006年TB'!A100,,月份-2)</definedName>
    <definedName name="本月内部交易">OFFSET(#REF!,0,MONTH(#REF!)-1)</definedName>
    <definedName name="本月内部其他交易">OFFSET(#REF!,0,MONTH(#REF!)-1)</definedName>
    <definedName name="本月数">#REF!</definedName>
    <definedName name="本月威尚交易">OFFSET(#REF!,0,MONTH(#REF!)-1)</definedName>
    <definedName name="本月威尚其他交易">OFFSET(#REF!,0,MONTH(#REF!)-1)</definedName>
    <definedName name="补贴收入测试">#REF!</definedName>
    <definedName name="补贴收入测试1">#REF!</definedName>
    <definedName name="财本期">IF(季度表,SUM(OFFSET(#REF!,,月份-3):OFFSET(#REF!,,月份-1)),OFFSET(#REF!,0,MONTH(#REF!)-1))</definedName>
    <definedName name="财本月">OFFSET(#REF!,0,MONTH(#REF!)-1)</definedName>
    <definedName name="財務報表_損益表附註_詳細">'[28]損益表附註(詳細)'!#REF!</definedName>
    <definedName name="草颗粒多栏明细账">#REF!</definedName>
    <definedName name="查看区域">#REF!</definedName>
    <definedName name="存货93期初">[21]企业表一!$C$7</definedName>
    <definedName name="存货93期末">[21]企业表一!$D$7</definedName>
    <definedName name="存货94期初">[21]企业表一!$E$7</definedName>
    <definedName name="存货94期末">[21]企业表一!$F$7</definedName>
    <definedName name="存货95期初">[21]企业表一!$G$7</definedName>
    <definedName name="存货95期末">[21]企业表一!$H$7</definedName>
    <definedName name="存货明细表">#REF!</definedName>
    <definedName name="存货期初">[9]企业表一!$C$7</definedName>
    <definedName name="代销部采购款">#REF!</definedName>
    <definedName name="倒扎">#REF!</definedName>
    <definedName name="夺">#REF!</definedName>
    <definedName name="分类">[29]货币资金审定表!$A$9:$A$11</definedName>
    <definedName name="分类2">[29]货币资金审定表!$A$13:$A$15</definedName>
    <definedName name="分类3">[29]货币资金审定表!$A$17:$A$19</definedName>
    <definedName name="分类帐">[22]明细分类账!$A$5:$G$19</definedName>
    <definedName name="分录A">#REF!</definedName>
    <definedName name="分录B">'[30]汇总抵消 '!$J$1:$P$65536</definedName>
    <definedName name="分录C">[31]总部调整!$J$1:$P$65536</definedName>
    <definedName name="负债合计93期末">[21]企业表一!$D$17</definedName>
    <definedName name="负债合计94期末">[21]企业表一!$F$17</definedName>
    <definedName name="负债合计95期末">[21]企业表一!$H$17</definedName>
    <definedName name="固定资产清单">#REF!</definedName>
    <definedName name="管本月">OFFSET(#REF!,0,MONTH(#REF!)-1)</definedName>
    <definedName name="管累计">SUM(#REF!:OFFSET(#REF!,0,MONTH(#REF!)-1))</definedName>
    <definedName name="管线所采购款">#REF!</definedName>
    <definedName name="含黄色量金">#REF!</definedName>
    <definedName name="合计">[32]分产品销售收入、成本分析表!$A$240</definedName>
    <definedName name="合质金">#REF!</definedName>
    <definedName name="河南" hidden="1">{#N/A,#N/A,FALSE,"BBPREP"}</definedName>
    <definedName name="核算项目组合表">#REF!</definedName>
    <definedName name="汇率">[22]关南Bt2000大包装!$L$3</definedName>
    <definedName name="汇总抵消">[31]汇总抵消!$K$1:$R$65536</definedName>
    <definedName name="会计制度">1</definedName>
    <definedName name="季度表">OR(MONTH(#REF!)=3,MONTH(#REF!)=6,MONTH(#REF!)=9)</definedName>
    <definedName name="结论" hidden="1">[27]索引!$D$82:$D$118</definedName>
    <definedName name="金额">#REF!</definedName>
    <definedName name="净_利_润93">'[21]M-5C'!$B$24</definedName>
    <definedName name="净_利_润94">'[21]M-5C'!$D$24</definedName>
    <definedName name="净_利_润95">'[21]M-5C'!$F$24</definedName>
    <definedName name="净资产合计93期初">[21]企业表一!$C$20</definedName>
    <definedName name="净资产合计93期末">[21]企业表一!$D$20</definedName>
    <definedName name="净资产合计94期初">[21]企业表一!$E$20</definedName>
    <definedName name="净资产合计94期末">[21]企业表一!$F$20</definedName>
    <definedName name="净资产合计95期初">[21]企业表一!$G$20</definedName>
    <definedName name="净资产合计95期末">[21]企业表一!$H$20</definedName>
    <definedName name="科目">#N/A</definedName>
    <definedName name="科目余额表">#REF!</definedName>
    <definedName name="了" hidden="1">{#N/A,#N/A,FALSE,"BBPREP"}</definedName>
    <definedName name="累计内部购买">SUM(#REF!:OFFSET(#REF!,0,MONTH(#REF!)-1))</definedName>
    <definedName name="累计内部其他">SUM(#REF!:OFFSET(#REF!,0,MONTH(#REF!)-1))</definedName>
    <definedName name="累计内部销售">SUM(#REF!:OFFSET(#REF!,0,MONTH(#REF!)-1))</definedName>
    <definedName name="累计威尚购买">SUM(#REF!:OFFSET(#REF!,0,MONTH(#REF!)-1))</definedName>
    <definedName name="累计威尚其他">SUM(#REF!:OFFSET(#REF!,0,MONTH(#REF!)-1))</definedName>
    <definedName name="累计威尚销售">SUM(#REF!:OFFSET(#REF!,0,MONTH(#REF!)-1))</definedName>
    <definedName name="利_润_总_额93">'[21]M-5A'!$B$10</definedName>
    <definedName name="利_润_总_额94">'[21]M-5A'!$C$10</definedName>
    <definedName name="利_润_总_额95">'[21]M-5A'!$D$10</definedName>
    <definedName name="流_动_资_产93">'[21]M-5A'!$B$15</definedName>
    <definedName name="流_动_资_产94">'[21]M-5A'!$C$15</definedName>
    <definedName name="流_动_资_产95">'[21]M-5A'!$D$15</definedName>
    <definedName name="流动负债93期末">[21]企业表一!$D$15</definedName>
    <definedName name="流动负债94期末">[21]企业表一!$F$15</definedName>
    <definedName name="流动负债95期末">[21]企业表一!$H$15</definedName>
    <definedName name="煤款">#REF!</definedName>
    <definedName name="明细分类帐2">#REF!</definedName>
    <definedName name="明细分类账">#REF!</definedName>
    <definedName name="内部往来">#REF!</definedName>
    <definedName name="其他产品">[32]分产品销售收入、成本分析表!$A$164</definedName>
    <definedName name="区域.6255845" hidden="1">#REF!</definedName>
    <definedName name="区域.6255845_区域" hidden="1">#REF!</definedName>
    <definedName name="区域.75262_区域" hidden="1">#REF!</definedName>
    <definedName name="区域.9495566" hidden="1">#REF!</definedName>
    <definedName name="区域.9495566_区域" hidden="1">#REF!</definedName>
    <definedName name="生产列1">[22]关南Bt2000大包装!$O$5:$O$22</definedName>
    <definedName name="生产列11">[22]关南Bt2000大包装!$O$5:$O$18</definedName>
    <definedName name="生产列15">[22]关南Bt2000大包装!$N$5:$N$28</definedName>
    <definedName name="生产列16">[22]关南Bt2000大包装!$O$5:$O$21</definedName>
    <definedName name="生产列17">[22]关南Bt2000大包装!$M$5:$M$25</definedName>
    <definedName name="生产列19">[22]关南Bt2000大包装!$P$5:$P$19</definedName>
    <definedName name="生产列2">[22]关南Bt2000大包装!$O$5:$O$19</definedName>
    <definedName name="生产列20">[22]关南Bt2000大包装!$M$5:$M$12</definedName>
    <definedName name="生产列3">[22]关南Bt2000大包装!$M$5:$M$18</definedName>
    <definedName name="生产列4">[22]关南Bt2000大包装!$O$5:$O$30</definedName>
    <definedName name="生产列5">[22]关南Bt2000大包装!$F$6:$F$37</definedName>
    <definedName name="生产列6">[22]关南Bt2000大包装!$O$5:$O$18</definedName>
    <definedName name="生产列7">[22]关南Bt2000大包装!$O$5:$O$17</definedName>
    <definedName name="生产列8">[22]关南Bt2000大包装!$O$5:$O$21</definedName>
    <definedName name="生产列9">[22]关南Bt2000大包装!$O$5:$O$20</definedName>
    <definedName name="生产期">[22]关南Bt2000大包装!$O$5</definedName>
    <definedName name="生产期1">[22]关南Bt2000大包装!$O$5</definedName>
    <definedName name="生产期11">[22]关南Bt2000大包装!$O$5</definedName>
    <definedName name="生产期15">[22]关南Bt2000大包装!$N$5</definedName>
    <definedName name="生产期16">[22]关南Bt2000大包装!$O$5</definedName>
    <definedName name="生产期17">[22]关南Bt2000大包装!$M$5</definedName>
    <definedName name="生产期19">[22]关南Bt2000大包装!$P$5</definedName>
    <definedName name="生产期2">[22]关南Bt2000大包装!$O$5</definedName>
    <definedName name="生产期20">[22]关南Bt2000大包装!$M$5</definedName>
    <definedName name="生产期3">[22]关南Bt2000大包装!$M$5</definedName>
    <definedName name="生产期4">[22]关南Bt2000大包装!$O$5</definedName>
    <definedName name="生产期6">[22]关南Bt2000大包装!$O$5</definedName>
    <definedName name="生产期7">[22]关南Bt2000大包装!$O$5</definedName>
    <definedName name="生产期8">[22]关南Bt2000大包装!$O$5</definedName>
    <definedName name="生产期9">[22]关南Bt2000大包装!$O$5</definedName>
    <definedName name="十堰" hidden="1">{#N/A,#N/A,FALSE,"BBPREP"}</definedName>
    <definedName name="收入">#REF!</definedName>
    <definedName name="数量金额明细账">#REF!</definedName>
    <definedName name="数量金额总账">#REF!</definedName>
    <definedName name="速_动_资_产93">'[21]M-5A'!$B$14</definedName>
    <definedName name="速_动_资_产94">'[21]M-5A'!$C$14</definedName>
    <definedName name="速_动_资_产95">'[21]M-5A'!$D$14</definedName>
    <definedName name="所处行业">1</definedName>
    <definedName name="天然气款">#REF!</definedName>
    <definedName name="投资收益">#REF!</definedName>
    <definedName name="武汉">#REF!</definedName>
    <definedName name="下河清基地多栏明细账">#REF!</definedName>
    <definedName name="营本月">OFFSET(#REF!,0,MONTH(#REF!)-1)</definedName>
    <definedName name="营累计">SUM(#REF!:OFFSET(#REF!,0,MONTH(#REF!)-1))</definedName>
    <definedName name="应收帐款93期初">[21]企业表一!$C$6</definedName>
    <definedName name="应收帐款93期末">[21]企业表一!$D$6</definedName>
    <definedName name="应收帐款94期初">[21]企业表一!$E$6</definedName>
    <definedName name="应收帐款94期末">[21]企业表一!$F$6</definedName>
    <definedName name="应收帐款95期初">[21]企业表一!$G$6</definedName>
    <definedName name="应收帐款95期末">[21]企业表一!$H$6</definedName>
    <definedName name="余额表">#REF!</definedName>
    <definedName name="预付">#REF!</definedName>
    <definedName name="月份">MONTH(#REF!)</definedName>
    <definedName name="在" hidden="1">{"'9811維修'!$A$1:$J$16"}</definedName>
    <definedName name="长期股权投资">#REF!</definedName>
    <definedName name="长期投资">#REF!</definedName>
    <definedName name="账">#REF!</definedName>
    <definedName name="折旧">[33]固定资产清单!$A$5:$F$50</definedName>
    <definedName name="制本期">IF(季度表,SUM(OFFSET(#REF!,,月份-3):OFFSET(#REF!,,月份-1)),OFFSET(#REF!,0,MONTH(#REF!)-1))</definedName>
    <definedName name="制本月">OFFSET(#REF!,0,MONTH(#REF!)-1)</definedName>
    <definedName name="制累计">SUM(#REF!:OFFSET(#REF!,0,MONTH(#REF!)-1))</definedName>
    <definedName name="制气厂应付">#REF!</definedName>
    <definedName name="资产负债表附註__財務報表">#REF!</definedName>
    <definedName name="资产合计93期初">[21]企业表一!$C$14</definedName>
    <definedName name="资产合计93期末">[21]企业表一!$D$14</definedName>
    <definedName name="资产合计94期初">[21]企业表一!$E$14</definedName>
    <definedName name="资产合计94期末">[21]企业表一!$F$14</definedName>
    <definedName name="资产合计95期初">[21]企业表一!$G$14</definedName>
    <definedName name="资产合计95期末">[21]企业表一!$H$14</definedName>
    <definedName name="资产日期">[30]离石试算!$C$5,[30]离石试算!$E$5</definedName>
    <definedName name="自营基地成本多栏明细账">#REF!</definedName>
    <definedName name="总部采购款">#REF!</definedName>
    <definedName name="전">#REF!</definedName>
    <definedName name="주택사업본부">#REF!</definedName>
    <definedName name="철구사업본부">#REF!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G1" authorId="0">
      <text>
        <r>
          <rPr>
            <sz val="11"/>
            <rFont val="宋体"/>
            <charset val="134"/>
          </rPr>
          <t>请填列金蝶系统名称</t>
        </r>
      </text>
    </comment>
    <comment ref="I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可填写公司简称</t>
        </r>
      </text>
    </comment>
    <comment ref="J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按合同出租方名称填列</t>
        </r>
      </text>
    </comment>
    <comment ref="L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物业管理费是按</t>
        </r>
        <r>
          <rPr>
            <sz val="9"/>
            <rFont val="Tahoma"/>
            <charset val="134"/>
          </rPr>
          <t>1231.73</t>
        </r>
        <r>
          <rPr>
            <sz val="9"/>
            <rFont val="宋体"/>
            <charset val="134"/>
          </rPr>
          <t>平计算，每平</t>
        </r>
        <r>
          <rPr>
            <sz val="9"/>
            <rFont val="Tahoma"/>
            <charset val="134"/>
          </rPr>
          <t>25</t>
        </r>
        <r>
          <rPr>
            <sz val="9"/>
            <rFont val="宋体"/>
            <charset val="134"/>
          </rPr>
          <t>元</t>
        </r>
      </text>
    </comment>
    <comment ref="M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开业日为</t>
        </r>
        <r>
          <rPr>
            <sz val="9"/>
            <rFont val="Tahoma"/>
            <charset val="134"/>
          </rPr>
          <t>:2015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30</t>
        </r>
        <r>
          <rPr>
            <sz val="9"/>
            <rFont val="宋体"/>
            <charset val="134"/>
          </rPr>
          <t>日</t>
        </r>
      </text>
    </comment>
    <comment ref="M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装修免租期</t>
        </r>
        <r>
          <rPr>
            <sz val="9"/>
            <rFont val="Tahoma"/>
            <charset val="134"/>
          </rPr>
          <t>:2015.10.01-2015.12.09,</t>
        </r>
        <r>
          <rPr>
            <sz val="9"/>
            <rFont val="宋体"/>
            <charset val="134"/>
          </rPr>
          <t>此期间租金可免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但物业管理费等仍需缴纳</t>
        </r>
      </text>
    </comment>
    <comment ref="M4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物业管理费（</t>
        </r>
        <r>
          <rPr>
            <sz val="9"/>
            <rFont val="Tahoma"/>
            <charset val="134"/>
          </rPr>
          <t>237630/</t>
        </r>
        <r>
          <rPr>
            <sz val="9"/>
            <rFont val="宋体"/>
            <charset val="134"/>
          </rPr>
          <t>年）</t>
        </r>
        <r>
          <rPr>
            <sz val="9"/>
            <rFont val="Tahoma"/>
            <charset val="134"/>
          </rPr>
          <t xml:space="preserve">  POS</t>
        </r>
        <r>
          <rPr>
            <sz val="9"/>
            <rFont val="宋体"/>
            <charset val="134"/>
          </rPr>
          <t>租金（</t>
        </r>
        <r>
          <rPr>
            <sz val="9"/>
            <rFont val="Tahoma"/>
            <charset val="134"/>
          </rPr>
          <t>3600/</t>
        </r>
        <r>
          <rPr>
            <sz val="9"/>
            <rFont val="宋体"/>
            <charset val="134"/>
          </rPr>
          <t>年）</t>
        </r>
      </text>
    </comment>
    <comment ref="L6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此为建筑面积</t>
        </r>
      </text>
    </comment>
    <comment ref="L64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楼</t>
        </r>
        <r>
          <rPr>
            <sz val="9"/>
            <rFont val="Tahoma"/>
            <charset val="134"/>
          </rPr>
          <t>530</t>
        </r>
        <r>
          <rPr>
            <sz val="9"/>
            <rFont val="宋体"/>
            <charset val="134"/>
          </rPr>
          <t>平米</t>
        </r>
        <r>
          <rPr>
            <sz val="9"/>
            <rFont val="Tahoma"/>
            <charset val="134"/>
          </rPr>
          <t>,2</t>
        </r>
        <r>
          <rPr>
            <sz val="9"/>
            <rFont val="宋体"/>
            <charset val="134"/>
          </rPr>
          <t>楼</t>
        </r>
        <r>
          <rPr>
            <sz val="9"/>
            <rFont val="Tahoma"/>
            <charset val="134"/>
          </rPr>
          <t>530</t>
        </r>
        <r>
          <rPr>
            <sz val="9"/>
            <rFont val="宋体"/>
            <charset val="134"/>
          </rPr>
          <t>平米</t>
        </r>
      </text>
    </comment>
  </commentList>
</comments>
</file>

<file path=xl/comments2.xml><?xml version="1.0" encoding="utf-8"?>
<comments xmlns="http://schemas.openxmlformats.org/spreadsheetml/2006/main">
  <authors>
    <author>吴玉娜</author>
  </authors>
  <commentList>
    <comment ref="A5" authorId="0">
      <text>
        <r>
          <rPr>
            <b/>
            <sz val="9"/>
            <rFont val="宋体"/>
            <charset val="134"/>
          </rPr>
          <t>根据企业工程款支付情况，施工方先行垫付，定期结算。因此通过应付账款结算。</t>
        </r>
      </text>
    </comment>
  </commentList>
</comments>
</file>

<file path=xl/sharedStrings.xml><?xml version="1.0" encoding="utf-8"?>
<sst xmlns="http://schemas.openxmlformats.org/spreadsheetml/2006/main" count="3115" uniqueCount="1467">
  <si>
    <t>收益法评估明细表</t>
  </si>
  <si>
    <t>被评估单位：福建卫东新能源股份有限公司</t>
  </si>
  <si>
    <t>评估基准日：</t>
  </si>
  <si>
    <r>
      <rPr>
        <sz val="9"/>
        <rFont val="Arial Narrow"/>
        <charset val="134"/>
      </rPr>
      <t>2017</t>
    </r>
    <r>
      <rPr>
        <sz val="9"/>
        <rFont val="宋体"/>
        <charset val="134"/>
      </rPr>
      <t>年</t>
    </r>
    <r>
      <rPr>
        <sz val="9"/>
        <rFont val="Arial Narrow"/>
        <charset val="134"/>
      </rPr>
      <t>12</t>
    </r>
    <r>
      <rPr>
        <sz val="9"/>
        <rFont val="宋体"/>
        <charset val="134"/>
      </rPr>
      <t>月</t>
    </r>
    <r>
      <rPr>
        <sz val="9"/>
        <rFont val="Arial Narrow"/>
        <charset val="134"/>
      </rPr>
      <t>31</t>
    </r>
    <r>
      <rPr>
        <sz val="9"/>
        <rFont val="宋体"/>
        <charset val="134"/>
      </rPr>
      <t>日</t>
    </r>
  </si>
  <si>
    <t>企业负责人：</t>
  </si>
  <si>
    <t>李恒</t>
  </si>
  <si>
    <t>财务负责人：</t>
  </si>
  <si>
    <t>林岗</t>
  </si>
  <si>
    <t>填表人：</t>
  </si>
  <si>
    <t>填表日期：</t>
  </si>
  <si>
    <t>评估机构：</t>
  </si>
  <si>
    <t>万隆（上海）资产评估有限公司</t>
  </si>
  <si>
    <t>法人代表人：</t>
  </si>
  <si>
    <t>刘宏</t>
  </si>
  <si>
    <t>项目负责人：</t>
  </si>
  <si>
    <t>签字评估师：</t>
  </si>
  <si>
    <t>基本要求</t>
  </si>
  <si>
    <t>申报表由企业根据实际情况填写，相关数据应该与审计报告/会计报表一致。</t>
  </si>
  <si>
    <r>
      <rPr>
        <sz val="10"/>
        <rFont val="宋体"/>
        <charset val="134"/>
      </rPr>
      <t>（</t>
    </r>
    <r>
      <rPr>
        <sz val="10"/>
        <rFont val="Arial Narrow"/>
        <charset val="134"/>
      </rPr>
      <t>1</t>
    </r>
    <r>
      <rPr>
        <sz val="10"/>
        <rFont val="宋体"/>
        <charset val="134"/>
      </rPr>
      <t>）绿色应由企业填报。（</t>
    </r>
    <r>
      <rPr>
        <sz val="10"/>
        <rFont val="Arial Narrow"/>
        <charset val="134"/>
      </rPr>
      <t>2</t>
    </r>
    <r>
      <rPr>
        <sz val="10"/>
        <rFont val="宋体"/>
        <charset val="134"/>
      </rPr>
      <t>）黄色表格可根据实际情况选择是否填列。（</t>
    </r>
    <r>
      <rPr>
        <sz val="10"/>
        <rFont val="Arial Narrow"/>
        <charset val="134"/>
      </rPr>
      <t>3</t>
    </r>
    <r>
      <rPr>
        <sz val="10"/>
        <rFont val="宋体"/>
        <charset val="134"/>
      </rPr>
      <t>）红色表格由评估人员评估计算使用。</t>
    </r>
  </si>
  <si>
    <t>预测总要求</t>
  </si>
  <si>
    <t>数据和财务指标应与历史情况衔接，如果出现超常规变化（这也是审核的重点），应有充分的理由认为预测可实现。</t>
  </si>
  <si>
    <t>主营收入预测要点</t>
  </si>
  <si>
    <r>
      <rPr>
        <sz val="10"/>
        <rFont val="宋体"/>
        <charset val="134"/>
      </rPr>
      <t>（</t>
    </r>
    <r>
      <rPr>
        <sz val="10"/>
        <rFont val="Arial Narrow"/>
        <charset val="134"/>
      </rPr>
      <t>1</t>
    </r>
    <r>
      <rPr>
        <sz val="10"/>
        <rFont val="宋体"/>
        <charset val="134"/>
      </rPr>
      <t>）市场需求容量；（</t>
    </r>
    <r>
      <rPr>
        <sz val="10"/>
        <rFont val="Arial Narrow"/>
        <charset val="134"/>
      </rPr>
      <t>2</t>
    </r>
    <r>
      <rPr>
        <sz val="10"/>
        <rFont val="宋体"/>
        <charset val="134"/>
      </rPr>
      <t>）企业产能；（</t>
    </r>
    <r>
      <rPr>
        <sz val="10"/>
        <rFont val="Arial Narrow"/>
        <charset val="134"/>
      </rPr>
      <t>3</t>
    </r>
    <r>
      <rPr>
        <sz val="10"/>
        <rFont val="宋体"/>
        <charset val="134"/>
      </rPr>
      <t>）企业前几年销量及市场占有率；（</t>
    </r>
    <r>
      <rPr>
        <sz val="10"/>
        <rFont val="Arial Narrow"/>
        <charset val="134"/>
      </rPr>
      <t>4</t>
    </r>
    <r>
      <rPr>
        <sz val="10"/>
        <rFont val="宋体"/>
        <charset val="134"/>
      </rPr>
      <t>）行业竞争企业在行业中的竞争能力（优劣势分析）；（</t>
    </r>
    <r>
      <rPr>
        <sz val="10"/>
        <rFont val="Arial Narrow"/>
        <charset val="134"/>
      </rPr>
      <t>5</t>
    </r>
    <r>
      <rPr>
        <sz val="10"/>
        <rFont val="宋体"/>
        <charset val="134"/>
      </rPr>
      <t>）行业龙头企业的销量情况；（</t>
    </r>
    <r>
      <rPr>
        <sz val="10"/>
        <rFont val="Arial Narrow"/>
        <charset val="134"/>
      </rPr>
      <t>6</t>
    </r>
    <r>
      <rPr>
        <sz val="10"/>
        <rFont val="宋体"/>
        <charset val="134"/>
      </rPr>
      <t>）企业在细分产品领域、营销和宣传方面的策略；（</t>
    </r>
    <r>
      <rPr>
        <sz val="10"/>
        <rFont val="Arial Narrow"/>
        <charset val="134"/>
      </rPr>
      <t>7</t>
    </r>
    <r>
      <rPr>
        <sz val="10"/>
        <rFont val="宋体"/>
        <charset val="134"/>
      </rPr>
      <t>）企业发展规划。（</t>
    </r>
    <r>
      <rPr>
        <sz val="10"/>
        <rFont val="Arial Narrow"/>
        <charset val="134"/>
      </rPr>
      <t>8</t>
    </r>
    <r>
      <rPr>
        <sz val="10"/>
        <rFont val="宋体"/>
        <charset val="134"/>
      </rPr>
      <t>）支出企业预期收益实现的各种资源是否有保障。</t>
    </r>
  </si>
  <si>
    <t>主营业务成本预测要点</t>
  </si>
  <si>
    <t>基本应与历史情况一致。</t>
  </si>
  <si>
    <t>期间费用预测要点</t>
  </si>
  <si>
    <t>基本应与历史情况相当，但应考虑规模效益导致的变化。同时可参考行业企业的费率情况。</t>
  </si>
  <si>
    <t>注意各科目中，是否存在溢余资产、非经营性资产和负债。</t>
  </si>
  <si>
    <t>资产负债分析调整表</t>
  </si>
  <si>
    <t>序号</t>
  </si>
  <si>
    <t>项目\年份</t>
  </si>
  <si>
    <t>账面值</t>
  </si>
  <si>
    <t>其中：非经营性资产</t>
  </si>
  <si>
    <t>经营性资产</t>
  </si>
  <si>
    <t>一、流动资产合计</t>
  </si>
  <si>
    <t>货币资金</t>
  </si>
  <si>
    <t>交易性金融资产净额</t>
  </si>
  <si>
    <t>应收票据</t>
  </si>
  <si>
    <t>应收股利(应收利润)</t>
  </si>
  <si>
    <t>应收利息</t>
  </si>
  <si>
    <t>应收账款净额</t>
  </si>
  <si>
    <t>其他应收款净额</t>
  </si>
  <si>
    <t>预付帐款</t>
  </si>
  <si>
    <t>应收补贴款</t>
  </si>
  <si>
    <t>存货净额</t>
  </si>
  <si>
    <t>待摊费用</t>
  </si>
  <si>
    <t>一年内到期的非流动资产</t>
  </si>
  <si>
    <t xml:space="preserve">                                                                                                                                                                                                     </t>
  </si>
  <si>
    <t>其他流动资产</t>
  </si>
  <si>
    <t>二、非流动资产合计</t>
  </si>
  <si>
    <t>可供出售金融资产净额</t>
  </si>
  <si>
    <t>持有至到期投资净额</t>
  </si>
  <si>
    <t>长期股权投资净额</t>
  </si>
  <si>
    <t>长期应收款</t>
  </si>
  <si>
    <t>投资性房地产</t>
  </si>
  <si>
    <t>固定资产</t>
  </si>
  <si>
    <t>固定资产原价</t>
  </si>
  <si>
    <t>减：累计折旧</t>
  </si>
  <si>
    <t>固定资产净值</t>
  </si>
  <si>
    <t>减：固定资产减值准备</t>
  </si>
  <si>
    <t>固定资产净额</t>
  </si>
  <si>
    <t>工程物资</t>
  </si>
  <si>
    <t>在建工程</t>
  </si>
  <si>
    <t>固定资产清理</t>
  </si>
  <si>
    <t>生产性生物资产净额</t>
  </si>
  <si>
    <t>油气资产净值</t>
  </si>
  <si>
    <t>开发支出</t>
  </si>
  <si>
    <t>商誉</t>
  </si>
  <si>
    <t>无形资产净额</t>
  </si>
  <si>
    <t>长期待摊费用</t>
  </si>
  <si>
    <t>其他非流动资产</t>
  </si>
  <si>
    <t>递延所得税资产</t>
  </si>
  <si>
    <t>三、资产合计</t>
  </si>
  <si>
    <t>四、流动负债合计</t>
  </si>
  <si>
    <t>短期借款</t>
  </si>
  <si>
    <t>交易性金融负债</t>
  </si>
  <si>
    <t>应付票据</t>
  </si>
  <si>
    <t>应付帐款</t>
  </si>
  <si>
    <t>预收帐款</t>
  </si>
  <si>
    <t>应付职工薪酬</t>
  </si>
  <si>
    <t>应付利润（应付股利）</t>
  </si>
  <si>
    <t>应交税费</t>
  </si>
  <si>
    <t>应付利息</t>
  </si>
  <si>
    <t>其他应付款</t>
  </si>
  <si>
    <t>预提费用</t>
  </si>
  <si>
    <t>一年内到期的非流动负债</t>
  </si>
  <si>
    <t>其他流动负债</t>
  </si>
  <si>
    <t>五、非流动负债合计</t>
  </si>
  <si>
    <t>长期借款</t>
  </si>
  <si>
    <t>应付债券</t>
  </si>
  <si>
    <t>长期应付款</t>
  </si>
  <si>
    <t>专项应付款</t>
  </si>
  <si>
    <t>预计负债</t>
  </si>
  <si>
    <t>其他非流动负债</t>
  </si>
  <si>
    <t>递延所得税负债</t>
  </si>
  <si>
    <t>六、负债合计</t>
  </si>
  <si>
    <t>七、净资产</t>
  </si>
  <si>
    <t>其中：少数股东权益</t>
  </si>
  <si>
    <t>八、归属于母公司的净资产</t>
  </si>
  <si>
    <t>利润表分析调整表</t>
  </si>
  <si>
    <t>评估基准日</t>
  </si>
  <si>
    <t>单位：元</t>
  </si>
  <si>
    <t>项目 \ 年份</t>
  </si>
  <si>
    <t>调整分析说明</t>
  </si>
  <si>
    <r>
      <rPr>
        <b/>
        <sz val="11"/>
        <rFont val="宋体"/>
        <charset val="134"/>
      </rPr>
      <t>项目名称</t>
    </r>
    <r>
      <rPr>
        <b/>
        <sz val="12"/>
        <rFont val="宋体"/>
        <charset val="134"/>
      </rPr>
      <t xml:space="preserve"> \ 年份</t>
    </r>
  </si>
  <si>
    <t>单位</t>
  </si>
  <si>
    <t>均值</t>
  </si>
  <si>
    <t>主营收入增长率</t>
  </si>
  <si>
    <t>%</t>
  </si>
  <si>
    <t>——</t>
  </si>
  <si>
    <t>主营业务毛利率</t>
  </si>
  <si>
    <t>其他业务毛利率</t>
  </si>
  <si>
    <t>营业税金比率</t>
  </si>
  <si>
    <t>营业费用比率</t>
  </si>
  <si>
    <t>管理费用比率</t>
  </si>
  <si>
    <t>财务费用比率</t>
  </si>
  <si>
    <t>投资收益比率</t>
  </si>
  <si>
    <t>营业利润比率</t>
  </si>
  <si>
    <t>营业外收入比率</t>
  </si>
  <si>
    <t>营业外支出比率</t>
  </si>
  <si>
    <t>一、</t>
  </si>
  <si>
    <t>营运能力</t>
  </si>
  <si>
    <t>存货周转率</t>
  </si>
  <si>
    <t xml:space="preserve">次 </t>
  </si>
  <si>
    <t>企业以销定产，存货的生产周期为30天</t>
  </si>
  <si>
    <t>应收账款周转率</t>
  </si>
  <si>
    <t>交货后的收款周期为30天,一般预收为20%，应收则80%</t>
  </si>
  <si>
    <t>预付账款周转率</t>
  </si>
  <si>
    <t>企业预付款后一般30天可以提货，预付款约20%</t>
  </si>
  <si>
    <t>流动资产周转率</t>
  </si>
  <si>
    <t>资产周转率</t>
  </si>
  <si>
    <t>应付账款周转率</t>
  </si>
  <si>
    <t>提货后一般一个月内付款，应付款一般比例为80%</t>
  </si>
  <si>
    <t>预收账款周转率</t>
  </si>
  <si>
    <t>付款后至提货时间一般为30天，加上采购时间30天。预收比例为20%</t>
  </si>
  <si>
    <t>二、</t>
  </si>
  <si>
    <t>短期偿债能力</t>
  </si>
  <si>
    <t>流动比率</t>
  </si>
  <si>
    <t>速动比率</t>
  </si>
  <si>
    <t>三、</t>
  </si>
  <si>
    <t>长期偿债能力</t>
  </si>
  <si>
    <t>资产负债率</t>
  </si>
  <si>
    <t>负债与股权比率</t>
  </si>
  <si>
    <t>四、</t>
  </si>
  <si>
    <t>获利能力</t>
  </si>
  <si>
    <t>销售净利率</t>
  </si>
  <si>
    <t>资产净利率</t>
  </si>
  <si>
    <t>成本费用利润率</t>
  </si>
  <si>
    <t>净资产收益率</t>
  </si>
  <si>
    <t>注：运营能力的周转率指标，分母采用期初和期末的均值计算。</t>
  </si>
  <si>
    <t>一、资产负债结构分析</t>
  </si>
  <si>
    <t>1.资产结构及变化分析</t>
  </si>
  <si>
    <t>项目名称</t>
  </si>
  <si>
    <t>金额（万元）</t>
  </si>
  <si>
    <t>比例%</t>
  </si>
  <si>
    <t>流动资产</t>
  </si>
  <si>
    <t>非流动资产</t>
  </si>
  <si>
    <t>合计</t>
  </si>
  <si>
    <r>
      <rPr>
        <b/>
        <sz val="12"/>
        <rFont val="宋体"/>
        <charset val="134"/>
      </rPr>
      <t>2</t>
    </r>
    <r>
      <rPr>
        <b/>
        <sz val="11"/>
        <rFont val="宋体"/>
        <charset val="134"/>
      </rPr>
      <t>.流动资产结构及变化分析</t>
    </r>
  </si>
  <si>
    <r>
      <rPr>
        <b/>
        <sz val="12"/>
        <rFont val="宋体"/>
        <charset val="134"/>
      </rPr>
      <t>3</t>
    </r>
    <r>
      <rPr>
        <b/>
        <sz val="11"/>
        <rFont val="宋体"/>
        <charset val="134"/>
      </rPr>
      <t>.应收账款分析</t>
    </r>
  </si>
  <si>
    <t>账龄</t>
  </si>
  <si>
    <t>账面原值（万元）</t>
  </si>
  <si>
    <t>比例</t>
  </si>
  <si>
    <t>坏账准备（万元）</t>
  </si>
  <si>
    <t>计提比例</t>
  </si>
  <si>
    <t>账面净值（万元）</t>
  </si>
  <si>
    <t>1年以内</t>
  </si>
  <si>
    <t>1～2年</t>
  </si>
  <si>
    <t>2～3年</t>
  </si>
  <si>
    <t>3年以上</t>
  </si>
  <si>
    <t>1～3年</t>
  </si>
  <si>
    <t>坏帐准备</t>
  </si>
  <si>
    <r>
      <rPr>
        <b/>
        <sz val="12"/>
        <rFont val="宋体"/>
        <charset val="134"/>
      </rPr>
      <t>4</t>
    </r>
    <r>
      <rPr>
        <b/>
        <sz val="11"/>
        <rFont val="宋体"/>
        <charset val="134"/>
      </rPr>
      <t>.存货分析</t>
    </r>
  </si>
  <si>
    <t>材料采购（在途材料）</t>
  </si>
  <si>
    <t>原材料</t>
  </si>
  <si>
    <t>在库周转材料</t>
  </si>
  <si>
    <t>委托外加工物质</t>
  </si>
  <si>
    <t>产成品（库存商品）</t>
  </si>
  <si>
    <t>在产品（自制半成品）</t>
  </si>
  <si>
    <t>发出商品</t>
  </si>
  <si>
    <t>在用周转材料</t>
  </si>
  <si>
    <t>存货合计</t>
  </si>
  <si>
    <t>减：存货跌价准备</t>
  </si>
  <si>
    <t>存货增加额</t>
  </si>
  <si>
    <t>增长比率</t>
  </si>
  <si>
    <t>check</t>
  </si>
  <si>
    <t>5.非流动资产结构及分析</t>
  </si>
  <si>
    <t>6.固定资产结构分析</t>
  </si>
  <si>
    <t>房屋建筑物类</t>
  </si>
  <si>
    <t>机器设备</t>
  </si>
  <si>
    <t>车辆</t>
  </si>
  <si>
    <t>电子类和其他设备</t>
  </si>
  <si>
    <t>固定资产合计</t>
  </si>
  <si>
    <t>固定资产增加额</t>
  </si>
  <si>
    <t>7.基准日固定资产成新率分析</t>
  </si>
  <si>
    <t>项目</t>
  </si>
  <si>
    <t>折旧年限</t>
  </si>
  <si>
    <t>固定资产原值（万元）</t>
  </si>
  <si>
    <t>固定资产净值（万元）</t>
  </si>
  <si>
    <t>账面成新率</t>
  </si>
  <si>
    <t>减值准备（万元）</t>
  </si>
  <si>
    <t>固定资产净额（万元）</t>
  </si>
  <si>
    <r>
      <rPr>
        <b/>
        <sz val="11"/>
        <rFont val="宋体"/>
        <charset val="134"/>
      </rPr>
      <t>8</t>
    </r>
    <r>
      <rPr>
        <b/>
        <sz val="11"/>
        <rFont val="宋体"/>
        <charset val="134"/>
      </rPr>
      <t>.无形资产分析</t>
    </r>
  </si>
  <si>
    <t>土地使用权</t>
  </si>
  <si>
    <t>专利权</t>
  </si>
  <si>
    <t>专用软件</t>
  </si>
  <si>
    <r>
      <rPr>
        <b/>
        <sz val="11"/>
        <rFont val="宋体"/>
        <charset val="134"/>
      </rPr>
      <t>9</t>
    </r>
    <r>
      <rPr>
        <b/>
        <sz val="11"/>
        <rFont val="宋体"/>
        <charset val="134"/>
      </rPr>
      <t>.负债结构及变化分析</t>
    </r>
  </si>
  <si>
    <t>负债总额</t>
  </si>
  <si>
    <t>二、偿债能力分析</t>
  </si>
  <si>
    <t>项目名称 \ 年份</t>
  </si>
  <si>
    <t>三、运营能力分析</t>
  </si>
  <si>
    <t>次</t>
  </si>
  <si>
    <t>四、盈利能力分析</t>
  </si>
  <si>
    <t>五、盈利结构分析</t>
  </si>
  <si>
    <r>
      <rPr>
        <b/>
        <sz val="11"/>
        <rFont val="宋体"/>
        <charset val="134"/>
      </rPr>
      <t>1</t>
    </r>
    <r>
      <rPr>
        <b/>
        <sz val="11"/>
        <rFont val="宋体"/>
        <charset val="134"/>
      </rPr>
      <t>.营业收入结构分析</t>
    </r>
  </si>
  <si>
    <t>主营业务收入</t>
  </si>
  <si>
    <t>其他业务收入</t>
  </si>
  <si>
    <t>2.期间费用分析</t>
  </si>
  <si>
    <t>占营业收入比例%</t>
  </si>
  <si>
    <t>营业费用</t>
  </si>
  <si>
    <t>管理费用</t>
  </si>
  <si>
    <t>财务费用</t>
  </si>
  <si>
    <t>3.其他辅助分析（自行决定是否需要）</t>
  </si>
  <si>
    <t>2017 年</t>
  </si>
  <si>
    <t>2016年</t>
  </si>
  <si>
    <t>2015 年</t>
  </si>
  <si>
    <t>金额</t>
  </si>
  <si>
    <t>一、产品销售收入</t>
  </si>
  <si>
    <t xml:space="preserve">其中： 镍氢电池组 </t>
  </si>
  <si>
    <t xml:space="preserve">       镍氢电池单体 </t>
  </si>
  <si>
    <t xml:space="preserve">       镍氢动力电池系统 </t>
  </si>
  <si>
    <t xml:space="preserve">       镍氢动力电池正负极板 </t>
  </si>
  <si>
    <t xml:space="preserve">       镍氢电池生产设备 </t>
  </si>
  <si>
    <t>二、材料销售收入</t>
  </si>
  <si>
    <t>收入合计</t>
  </si>
  <si>
    <t>一、主要管理者的访谈</t>
  </si>
  <si>
    <t>根据访谈情况：卫东新能源公司实行“以销定产”的经营模式，而15年到17年由于处于对购买的非专利技术进行吸收改进创新阶段，未能大规模地投入量产，且产品处于初投入市场状态，销售未达到预期，产能未能满负荷生产，造成各项经营数据都不正常。2018年随着公司销售渠道的拓展，生产电池生产设备及电池组及配件等让其销售收入有了大幅的增加。随着卫东新能源公司销售的拓展，各种盈利能力、营运能力指标将逐渐向良性方向发展。</t>
  </si>
  <si>
    <t>二、截至现场勘查日已签订的销售合同</t>
  </si>
  <si>
    <t>1、合同情况</t>
  </si>
  <si>
    <t>根据统计，截至现场勘查日，被评估企业已经签订的销售合同有8份（其中2份为同一客户），合同总金额为3218.26万元。</t>
  </si>
  <si>
    <t>2、主要合同访谈分析情况</t>
  </si>
  <si>
    <t>福建翰飞新能源科技有限公司</t>
  </si>
  <si>
    <t>同创精密自动化设备有限公司</t>
  </si>
  <si>
    <t>3、登记的合同统计分析</t>
  </si>
  <si>
    <t>合同金额（不含税）</t>
  </si>
  <si>
    <t xml:space="preserve">       镍氢电池组 </t>
  </si>
  <si>
    <t>产品品称</t>
  </si>
  <si>
    <t>2018年</t>
  </si>
  <si>
    <t>2019年</t>
  </si>
  <si>
    <t>2020年</t>
  </si>
  <si>
    <t>2021年</t>
  </si>
  <si>
    <t>2022年</t>
  </si>
  <si>
    <t>2023年及以后</t>
  </si>
  <si>
    <t>镍氢电池组</t>
  </si>
  <si>
    <t>镍氢电池单体</t>
  </si>
  <si>
    <t>镍氢动力电池系统</t>
  </si>
  <si>
    <t>镍氢动力电池正负极板</t>
  </si>
  <si>
    <t>镍氢电池生产设备</t>
  </si>
  <si>
    <t>合  计</t>
  </si>
  <si>
    <t>一、历史数据分析</t>
  </si>
  <si>
    <t>项目内容</t>
  </si>
  <si>
    <t>2015年</t>
  </si>
  <si>
    <t>2017年</t>
  </si>
  <si>
    <t>收入</t>
  </si>
  <si>
    <t>成本</t>
  </si>
  <si>
    <t>成本收入占比</t>
  </si>
  <si>
    <t>材料</t>
  </si>
  <si>
    <t>产品成本合计</t>
  </si>
  <si>
    <t>总成本占主总收入比例</t>
  </si>
  <si>
    <t>成本占比</t>
  </si>
  <si>
    <t>分析：</t>
  </si>
  <si>
    <t>2015年-2017年卫东新能源的生产不足产能的10%，在成本核算上固定成本相对较高，造成单位成本偏高，甚至出现成本倒挂的现象。特别是2017年的营业收入偏低，其中的折旧费跟制造费用则按照实际发生列支，造成2017年的营业成本占营业收入的比例超高，而2015年-2016年的总成本与主营业务收入的比例属于比较正常的范围，在这二年，产能也不未充分发挥。</t>
  </si>
  <si>
    <t>分析结论：17年数据差异较大，若剔除17年因素，采用15、16年的经营数据平均值综合考虑，成本占收入的比率约为70%。</t>
  </si>
  <si>
    <t>二、行业数据分析</t>
  </si>
  <si>
    <r>
      <rPr>
        <sz val="11"/>
        <rFont val="宋体"/>
        <charset val="134"/>
      </rPr>
      <t>通过万得数据查找类似上市公司的经营数据，评估人员发现电池产品的平均销售毛利大部分位于12%~</t>
    </r>
    <r>
      <rPr>
        <sz val="12"/>
        <rFont val="宋体"/>
        <charset val="134"/>
      </rPr>
      <t>2</t>
    </r>
    <r>
      <rPr>
        <sz val="12"/>
        <rFont val="宋体"/>
        <charset val="134"/>
      </rPr>
      <t>0%区间，</t>
    </r>
  </si>
  <si>
    <t>镍</t>
  </si>
  <si>
    <t>锂电池</t>
  </si>
  <si>
    <t>000049</t>
  </si>
  <si>
    <t>002580</t>
  </si>
  <si>
    <t>阀控密封式铅酸蓄电池</t>
  </si>
  <si>
    <t>300207</t>
  </si>
  <si>
    <t>锂离子电池</t>
  </si>
  <si>
    <t>上市公司名称</t>
  </si>
  <si>
    <t>编号</t>
  </si>
  <si>
    <t>主营产品</t>
  </si>
  <si>
    <t>近4期平均毛利率</t>
  </si>
  <si>
    <t>科力远</t>
  </si>
  <si>
    <t>电池占比45.52%</t>
  </si>
  <si>
    <t>南都电池</t>
  </si>
  <si>
    <t>电池占比60.49%</t>
  </si>
  <si>
    <t>鹏辉能源</t>
  </si>
  <si>
    <t>电池占比97.54%</t>
  </si>
  <si>
    <t>德赛电池</t>
  </si>
  <si>
    <t>电池占比100%</t>
  </si>
  <si>
    <t>圣阳股份</t>
  </si>
  <si>
    <t>欣旺达</t>
  </si>
  <si>
    <t>电池占比87.14%</t>
  </si>
  <si>
    <t>厂家</t>
  </si>
  <si>
    <t>产量</t>
  </si>
  <si>
    <t>采购单价</t>
  </si>
  <si>
    <t>2016（7-12）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</si>
  <si>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026-2039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</si>
  <si>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041-2043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</si>
  <si>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045-2048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</si>
  <si>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049-2051</t>
    </r>
  </si>
  <si>
    <r>
      <rPr>
        <sz val="12"/>
        <rFont val="宋体"/>
        <charset val="134"/>
      </rPr>
      <t>药剂P</t>
    </r>
    <r>
      <rPr>
        <sz val="12"/>
        <rFont val="宋体"/>
        <charset val="134"/>
      </rPr>
      <t>AM</t>
    </r>
  </si>
  <si>
    <t>吨</t>
  </si>
  <si>
    <t>单价</t>
  </si>
  <si>
    <t>元/吨</t>
  </si>
  <si>
    <t>药剂PAC</t>
  </si>
  <si>
    <t>药剂单价</t>
  </si>
  <si>
    <t>药剂费用</t>
  </si>
  <si>
    <t>其他材料</t>
  </si>
  <si>
    <t>材料费合计</t>
  </si>
  <si>
    <t>水</t>
  </si>
  <si>
    <t>数量</t>
  </si>
  <si>
    <t>电</t>
  </si>
  <si>
    <t>数量（万kw.h)</t>
  </si>
  <si>
    <t>外购燃料及动力费合计</t>
  </si>
  <si>
    <t>水：</t>
  </si>
  <si>
    <t>处理一万吨水日用水量约7吨</t>
  </si>
  <si>
    <r>
      <rPr>
        <sz val="10"/>
        <color indexed="8"/>
        <rFont val="Arial"/>
        <charset val="134"/>
      </rPr>
      <t xml:space="preserve">  </t>
    </r>
    <r>
      <rPr>
        <sz val="10"/>
        <color indexed="8"/>
        <rFont val="宋体"/>
        <charset val="134"/>
      </rPr>
      <t>工资及员工费用</t>
    </r>
  </si>
  <si>
    <r>
      <rPr>
        <sz val="10"/>
        <color indexed="8"/>
        <rFont val="Arial"/>
        <charset val="134"/>
      </rPr>
      <t xml:space="preserve">  </t>
    </r>
    <r>
      <rPr>
        <sz val="10"/>
        <color indexed="8"/>
        <rFont val="宋体"/>
        <charset val="134"/>
      </rPr>
      <t>办公费</t>
    </r>
  </si>
  <si>
    <t>按照销售工资的5%</t>
  </si>
  <si>
    <r>
      <rPr>
        <sz val="10"/>
        <color indexed="8"/>
        <rFont val="Arial"/>
        <charset val="134"/>
      </rPr>
      <t xml:space="preserve">  </t>
    </r>
    <r>
      <rPr>
        <sz val="10"/>
        <color indexed="8"/>
        <rFont val="宋体"/>
        <charset val="134"/>
      </rPr>
      <t>交际费</t>
    </r>
  </si>
  <si>
    <r>
      <rPr>
        <sz val="10"/>
        <color indexed="8"/>
        <rFont val="宋体"/>
        <charset val="134"/>
      </rPr>
      <t>按照收入的</t>
    </r>
    <r>
      <rPr>
        <sz val="10"/>
        <color indexed="8"/>
        <rFont val="Arial"/>
        <charset val="134"/>
      </rPr>
      <t>0.5%</t>
    </r>
  </si>
  <si>
    <r>
      <rPr>
        <sz val="10"/>
        <color indexed="8"/>
        <rFont val="Arial"/>
        <charset val="134"/>
      </rPr>
      <t xml:space="preserve">  </t>
    </r>
    <r>
      <rPr>
        <sz val="10"/>
        <color indexed="8"/>
        <rFont val="宋体"/>
        <charset val="134"/>
      </rPr>
      <t>车辆交通费</t>
    </r>
  </si>
  <si>
    <r>
      <rPr>
        <sz val="10"/>
        <color indexed="8"/>
        <rFont val="宋体"/>
        <charset val="134"/>
      </rPr>
      <t>按照收入的0.5</t>
    </r>
    <r>
      <rPr>
        <sz val="10"/>
        <color indexed="8"/>
        <rFont val="Arial"/>
        <charset val="134"/>
      </rPr>
      <t>%</t>
    </r>
  </si>
  <si>
    <r>
      <rPr>
        <sz val="10"/>
        <color indexed="8"/>
        <rFont val="Arial"/>
        <charset val="134"/>
      </rPr>
      <t xml:space="preserve">  </t>
    </r>
    <r>
      <rPr>
        <sz val="10"/>
        <color indexed="8"/>
        <rFont val="宋体"/>
        <charset val="134"/>
      </rPr>
      <t>广告费</t>
    </r>
  </si>
  <si>
    <t>差旅费</t>
  </si>
  <si>
    <r>
      <rPr>
        <sz val="10"/>
        <color indexed="8"/>
        <rFont val="宋体"/>
        <charset val="134"/>
      </rPr>
      <t>按照收入的</t>
    </r>
    <r>
      <rPr>
        <sz val="10"/>
        <color indexed="8"/>
        <rFont val="Arial"/>
        <charset val="134"/>
      </rPr>
      <t>0.</t>
    </r>
    <r>
      <rPr>
        <sz val="10"/>
        <color indexed="8"/>
        <rFont val="宋体"/>
        <charset val="134"/>
      </rPr>
      <t>2</t>
    </r>
    <r>
      <rPr>
        <sz val="10"/>
        <color indexed="8"/>
        <rFont val="Arial"/>
        <charset val="134"/>
      </rPr>
      <t>%</t>
    </r>
  </si>
  <si>
    <t>莆田华科
 2016年6月份工资表</t>
  </si>
  <si>
    <t>编
号</t>
  </si>
  <si>
    <t>姓名</t>
  </si>
  <si>
    <t>标准工资</t>
  </si>
  <si>
    <t>缺勤
天数</t>
  </si>
  <si>
    <t>扣缺勤</t>
  </si>
  <si>
    <t>午餐补贴</t>
  </si>
  <si>
    <t>通讯补贴</t>
  </si>
  <si>
    <t>计税工资</t>
  </si>
  <si>
    <t>个税</t>
  </si>
  <si>
    <t>实发工资</t>
  </si>
  <si>
    <t xml:space="preserve">计税工资
</t>
  </si>
  <si>
    <t xml:space="preserve">个税
</t>
  </si>
  <si>
    <t xml:space="preserve">实发工资
</t>
  </si>
  <si>
    <t>午餐
补贴</t>
  </si>
  <si>
    <t>通讯
补贴</t>
  </si>
  <si>
    <t>计税工资加项</t>
  </si>
  <si>
    <t>金额单位：元</t>
  </si>
  <si>
    <r>
      <rPr>
        <sz val="10"/>
        <color indexed="8"/>
        <rFont val="DengXian"/>
        <charset val="134"/>
      </rPr>
      <t>2017</t>
    </r>
    <r>
      <rPr>
        <sz val="10"/>
        <color indexed="8"/>
        <rFont val="宋体"/>
        <charset val="134"/>
      </rPr>
      <t>年</t>
    </r>
  </si>
  <si>
    <r>
      <rPr>
        <sz val="10"/>
        <color indexed="8"/>
        <rFont val="DengXian"/>
        <charset val="134"/>
      </rPr>
      <t>2018</t>
    </r>
    <r>
      <rPr>
        <sz val="10"/>
        <color indexed="8"/>
        <rFont val="宋体"/>
        <charset val="134"/>
      </rPr>
      <t>年</t>
    </r>
  </si>
  <si>
    <r>
      <rPr>
        <sz val="10"/>
        <color indexed="8"/>
        <rFont val="DengXian"/>
        <charset val="134"/>
      </rPr>
      <t>2019年</t>
    </r>
  </si>
  <si>
    <r>
      <rPr>
        <sz val="10"/>
        <color indexed="8"/>
        <rFont val="DengXian"/>
        <charset val="134"/>
      </rPr>
      <t>2020年</t>
    </r>
  </si>
  <si>
    <r>
      <rPr>
        <sz val="10"/>
        <color indexed="8"/>
        <rFont val="DengXian"/>
        <charset val="134"/>
      </rPr>
      <t>2021年</t>
    </r>
  </si>
  <si>
    <r>
      <rPr>
        <sz val="10"/>
        <color indexed="8"/>
        <rFont val="DengXian"/>
        <charset val="134"/>
      </rPr>
      <t>2022年</t>
    </r>
  </si>
  <si>
    <t xml:space="preserve"> 职工人数</t>
  </si>
  <si>
    <t>总部</t>
  </si>
  <si>
    <t>商务</t>
  </si>
  <si>
    <t>贸易</t>
  </si>
  <si>
    <t>零售</t>
  </si>
  <si>
    <t>物流部</t>
  </si>
  <si>
    <t>店铺</t>
  </si>
  <si>
    <t>员工平均工资(单位: 元/人*月)</t>
  </si>
  <si>
    <t>工资汇总</t>
  </si>
  <si>
    <t>管理费用预测表</t>
  </si>
  <si>
    <t>人民币万元</t>
  </si>
  <si>
    <r>
      <rPr>
        <sz val="10"/>
        <rFont val="宋体"/>
        <charset val="134"/>
      </rPr>
      <t>历史费用情况</t>
    </r>
  </si>
  <si>
    <t>三年平均</t>
  </si>
  <si>
    <r>
      <rPr>
        <sz val="10"/>
        <rFont val="宋体"/>
        <charset val="134"/>
      </rPr>
      <t>未来费用预测</t>
    </r>
  </si>
  <si>
    <r>
      <rPr>
        <sz val="10"/>
        <rFont val="MS Sans Serif"/>
        <charset val="134"/>
      </rPr>
      <t>2013</t>
    </r>
    <r>
      <rPr>
        <sz val="10"/>
        <rFont val="宋体"/>
        <charset val="134"/>
      </rPr>
      <t>年</t>
    </r>
  </si>
  <si>
    <r>
      <rPr>
        <sz val="10"/>
        <rFont val="MS Sans Serif"/>
        <charset val="134"/>
      </rPr>
      <t>2014</t>
    </r>
    <r>
      <rPr>
        <sz val="10"/>
        <rFont val="宋体"/>
        <charset val="134"/>
      </rPr>
      <t>年</t>
    </r>
  </si>
  <si>
    <t>工资</t>
  </si>
  <si>
    <t>社会保险费</t>
  </si>
  <si>
    <t>租赁费</t>
  </si>
  <si>
    <t>折旧费</t>
  </si>
  <si>
    <t>办公费</t>
  </si>
  <si>
    <t>税费</t>
  </si>
  <si>
    <t>其他</t>
  </si>
  <si>
    <t>销售费用预测表</t>
  </si>
  <si>
    <t>人民币元</t>
  </si>
  <si>
    <r>
      <rPr>
        <sz val="10"/>
        <rFont val="MS Sans Serif"/>
        <charset val="134"/>
      </rPr>
      <t>3</t>
    </r>
    <r>
      <rPr>
        <sz val="10"/>
        <rFont val="宋体"/>
        <charset val="134"/>
      </rPr>
      <t>年平均</t>
    </r>
  </si>
  <si>
    <t>销售费用</t>
  </si>
  <si>
    <t>物业管理费</t>
  </si>
  <si>
    <t>折旧与摊销</t>
  </si>
  <si>
    <t>水电费</t>
  </si>
  <si>
    <t>商场费用</t>
  </si>
  <si>
    <t>运杂费</t>
  </si>
  <si>
    <t>包装费</t>
  </si>
  <si>
    <t>修理费</t>
  </si>
  <si>
    <r>
      <rPr>
        <b/>
        <sz val="10"/>
        <rFont val="微软雅黑"/>
        <charset val="134"/>
      </rPr>
      <t>店铺序号</t>
    </r>
  </si>
  <si>
    <r>
      <rPr>
        <b/>
        <sz val="10"/>
        <rFont val="微软雅黑"/>
        <charset val="134"/>
      </rPr>
      <t>公司</t>
    </r>
  </si>
  <si>
    <r>
      <rPr>
        <b/>
        <sz val="10"/>
        <rFont val="微软雅黑"/>
        <charset val="134"/>
      </rPr>
      <t>单位</t>
    </r>
  </si>
  <si>
    <r>
      <rPr>
        <b/>
        <sz val="10"/>
        <rFont val="微软雅黑"/>
        <charset val="134"/>
      </rPr>
      <t>地区</t>
    </r>
  </si>
  <si>
    <r>
      <rPr>
        <b/>
        <sz val="10"/>
        <rFont val="微软雅黑"/>
        <charset val="134"/>
      </rPr>
      <t>店铺性质</t>
    </r>
  </si>
  <si>
    <r>
      <rPr>
        <b/>
        <sz val="10"/>
        <rFont val="微软雅黑"/>
        <charset val="134"/>
      </rPr>
      <t>店铺业态</t>
    </r>
  </si>
  <si>
    <r>
      <rPr>
        <b/>
        <sz val="10"/>
        <rFont val="微软雅黑"/>
        <charset val="134"/>
      </rPr>
      <t>店铺名称</t>
    </r>
  </si>
  <si>
    <r>
      <rPr>
        <b/>
        <sz val="10"/>
        <rFont val="Arial"/>
        <charset val="134"/>
      </rPr>
      <t>金蝶系统名称</t>
    </r>
  </si>
  <si>
    <r>
      <rPr>
        <b/>
        <sz val="10"/>
        <rFont val="微软雅黑"/>
        <charset val="134"/>
      </rPr>
      <t>承租方</t>
    </r>
  </si>
  <si>
    <r>
      <rPr>
        <b/>
        <sz val="10"/>
        <rFont val="微软雅黑"/>
        <charset val="134"/>
      </rPr>
      <t>出租方</t>
    </r>
  </si>
  <si>
    <r>
      <rPr>
        <b/>
        <sz val="10"/>
        <rFont val="微软雅黑"/>
        <charset val="134"/>
      </rPr>
      <t>地址</t>
    </r>
  </si>
  <si>
    <r>
      <rPr>
        <b/>
        <sz val="10"/>
        <rFont val="微软雅黑"/>
        <charset val="134"/>
      </rPr>
      <t>面积（</t>
    </r>
    <r>
      <rPr>
        <b/>
        <sz val="10"/>
        <rFont val="Times New Roman"/>
        <charset val="134"/>
      </rPr>
      <t>m</t>
    </r>
    <r>
      <rPr>
        <b/>
        <vertAlign val="superscript"/>
        <sz val="10"/>
        <rFont val="Times New Roman"/>
        <charset val="134"/>
      </rPr>
      <t>2</t>
    </r>
    <r>
      <rPr>
        <b/>
        <sz val="10"/>
        <rFont val="Times New Roman"/>
        <charset val="134"/>
      </rPr>
      <t>)</t>
    </r>
  </si>
  <si>
    <r>
      <rPr>
        <b/>
        <sz val="10"/>
        <rFont val="微软雅黑"/>
        <charset val="134"/>
      </rPr>
      <t>合同期限</t>
    </r>
    <r>
      <rPr>
        <b/>
        <sz val="10"/>
        <rFont val="Times New Roman"/>
        <charset val="134"/>
      </rPr>
      <t>/</t>
    </r>
    <r>
      <rPr>
        <b/>
        <sz val="10"/>
        <rFont val="微软雅黑"/>
        <charset val="134"/>
      </rPr>
      <t>年租金</t>
    </r>
  </si>
  <si>
    <t>租金单价㎡/日</t>
  </si>
  <si>
    <t>2018年租金测算</t>
  </si>
  <si>
    <t>租金上涨率</t>
  </si>
  <si>
    <r>
      <rPr>
        <b/>
        <sz val="10"/>
        <rFont val="微软雅黑"/>
        <charset val="134"/>
      </rPr>
      <t>物业管理费</t>
    </r>
  </si>
  <si>
    <t>物业费测算</t>
  </si>
  <si>
    <r>
      <rPr>
        <b/>
        <sz val="9"/>
        <rFont val="微软雅黑"/>
        <charset val="134"/>
      </rPr>
      <t>关店时间</t>
    </r>
  </si>
  <si>
    <r>
      <rPr>
        <sz val="10"/>
        <rFont val="微软雅黑"/>
        <charset val="134"/>
      </rPr>
      <t>湖北杰之行</t>
    </r>
  </si>
  <si>
    <r>
      <rPr>
        <sz val="10"/>
        <rFont val="微软雅黑"/>
        <charset val="134"/>
      </rPr>
      <t>零售</t>
    </r>
  </si>
  <si>
    <r>
      <rPr>
        <sz val="10"/>
        <rFont val="微软雅黑"/>
        <charset val="134"/>
      </rPr>
      <t>武汉</t>
    </r>
  </si>
  <si>
    <r>
      <rPr>
        <sz val="10"/>
        <rFont val="微软雅黑"/>
        <charset val="134"/>
      </rPr>
      <t>直营</t>
    </r>
  </si>
  <si>
    <r>
      <rPr>
        <sz val="10"/>
        <rFont val="微软雅黑"/>
        <charset val="134"/>
      </rPr>
      <t>地铺店</t>
    </r>
  </si>
  <si>
    <r>
      <rPr>
        <sz val="10"/>
        <rFont val="微软雅黑"/>
        <charset val="134"/>
      </rPr>
      <t>江北红房子耐克、匡威</t>
    </r>
  </si>
  <si>
    <r>
      <rPr>
        <sz val="10"/>
        <rFont val="微软雅黑"/>
        <charset val="134"/>
      </rPr>
      <t>江北红房子</t>
    </r>
  </si>
  <si>
    <r>
      <rPr>
        <sz val="10"/>
        <rFont val="微软雅黑"/>
        <charset val="134"/>
      </rPr>
      <t>武汉市凡荣服饰有限公司</t>
    </r>
  </si>
  <si>
    <r>
      <rPr>
        <sz val="10"/>
        <rFont val="微软雅黑"/>
        <charset val="134"/>
      </rPr>
      <t>武汉市江岸区江汉路</t>
    </r>
    <r>
      <rPr>
        <sz val="10"/>
        <rFont val="Times New Roman"/>
        <charset val="134"/>
      </rPr>
      <t>14</t>
    </r>
    <r>
      <rPr>
        <sz val="10"/>
        <rFont val="微软雅黑"/>
        <charset val="134"/>
      </rPr>
      <t>号</t>
    </r>
  </si>
  <si>
    <r>
      <rPr>
        <sz val="10"/>
        <rFont val="Times New Roman"/>
        <charset val="134"/>
      </rPr>
      <t>2013.08.01-2019.07.31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2300000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</si>
  <si>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t>不涨</t>
  </si>
  <si>
    <r>
      <rPr>
        <sz val="10"/>
        <rFont val="微软雅黑"/>
        <charset val="134"/>
      </rPr>
      <t>运动城</t>
    </r>
  </si>
  <si>
    <r>
      <rPr>
        <sz val="10"/>
        <rFont val="微软雅黑"/>
        <charset val="134"/>
      </rPr>
      <t>江南光谷集合店</t>
    </r>
  </si>
  <si>
    <r>
      <rPr>
        <sz val="10"/>
        <rFont val="微软雅黑"/>
        <charset val="134"/>
      </rPr>
      <t>湖北胜道体育用品有限公司</t>
    </r>
  </si>
  <si>
    <r>
      <rPr>
        <sz val="10"/>
        <rFont val="微软雅黑"/>
        <charset val="134"/>
      </rPr>
      <t>武汉东湖开发区光谷街</t>
    </r>
    <r>
      <rPr>
        <sz val="10"/>
        <rFont val="Times New Roman"/>
        <charset val="134"/>
      </rPr>
      <t>3</t>
    </r>
    <r>
      <rPr>
        <sz val="10"/>
        <rFont val="微软雅黑"/>
        <charset val="134"/>
      </rPr>
      <t>号世界城光谷步行街</t>
    </r>
  </si>
  <si>
    <r>
      <rPr>
        <sz val="10"/>
        <rFont val="Times New Roman"/>
        <charset val="134"/>
      </rPr>
      <t>2015.01.01-2024.12.31(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:100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</si>
  <si>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2017.09.10-2021.01.09</t>
    </r>
    <r>
      <rPr>
        <sz val="10"/>
        <rFont val="宋体"/>
        <charset val="134"/>
      </rPr>
      <t>（固定租金</t>
    </r>
    <r>
      <rPr>
        <sz val="10"/>
        <rFont val="Times New Roman"/>
        <charset val="134"/>
      </rPr>
      <t>900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年；抽成租金保底营业额</t>
    </r>
    <r>
      <rPr>
        <sz val="10"/>
        <rFont val="Times New Roman"/>
        <charset val="134"/>
      </rPr>
      <t>833.33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*5%*12/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2017.09.10-2018.01.09</t>
    </r>
    <r>
      <rPr>
        <sz val="10"/>
        <rFont val="宋体"/>
        <charset val="134"/>
      </rPr>
      <t>免租）</t>
    </r>
  </si>
  <si>
    <r>
      <rPr>
        <sz val="10"/>
        <rFont val="Times New Roman"/>
        <charset val="134"/>
      </rPr>
      <t>2017.09.10-2021.01.09</t>
    </r>
    <r>
      <rPr>
        <sz val="10"/>
        <rFont val="宋体"/>
        <charset val="134"/>
      </rPr>
      <t>（物业管理费</t>
    </r>
    <r>
      <rPr>
        <sz val="10"/>
        <rFont val="Times New Roman"/>
        <charset val="134"/>
      </rPr>
      <t>100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年）（</t>
    </r>
    <r>
      <rPr>
        <sz val="10"/>
        <rFont val="Times New Roman"/>
        <charset val="134"/>
      </rPr>
      <t>2017.09.10-2018.01.09</t>
    </r>
    <r>
      <rPr>
        <sz val="10"/>
        <rFont val="宋体"/>
        <charset val="134"/>
      </rPr>
      <t>免租）</t>
    </r>
  </si>
  <si>
    <r>
      <rPr>
        <sz val="10"/>
        <rFont val="微软雅黑"/>
        <charset val="134"/>
      </rPr>
      <t>江南光谷世界城万斯</t>
    </r>
  </si>
  <si>
    <t>江南光谷世界城万斯</t>
  </si>
  <si>
    <r>
      <rPr>
        <sz val="10"/>
        <rFont val="微软雅黑"/>
        <charset val="134"/>
      </rPr>
      <t>武汉市世界城广场商业管理有限公司</t>
    </r>
  </si>
  <si>
    <r>
      <rPr>
        <sz val="10"/>
        <rFont val="微软雅黑"/>
        <charset val="134"/>
      </rPr>
      <t>武汉市东湖新技术开发区珞瑜路世界城广场</t>
    </r>
    <r>
      <rPr>
        <sz val="10"/>
        <rFont val="Times New Roman"/>
        <charset val="134"/>
      </rPr>
      <t>3035#</t>
    </r>
  </si>
  <si>
    <r>
      <rPr>
        <sz val="10"/>
        <rFont val="Times New Roman"/>
        <charset val="134"/>
      </rPr>
      <t>2013.09.28-2015.09.27</t>
    </r>
    <r>
      <rPr>
        <sz val="10"/>
        <rFont val="微软雅黑"/>
        <charset val="134"/>
      </rPr>
      <t>（租金：</t>
    </r>
    <r>
      <rPr>
        <sz val="10"/>
        <rFont val="Times New Roman"/>
        <charset val="134"/>
      </rPr>
      <t>213660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2015.09.28-2016.09.27</t>
    </r>
    <r>
      <rPr>
        <sz val="10"/>
        <rFont val="微软雅黑"/>
        <charset val="134"/>
      </rPr>
      <t>（租金：</t>
    </r>
    <r>
      <rPr>
        <sz val="10"/>
        <rFont val="Times New Roman"/>
        <charset val="134"/>
      </rPr>
      <t>230748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       2016.09.28-2017.09.27</t>
    </r>
    <r>
      <rPr>
        <sz val="10"/>
        <rFont val="微软雅黑"/>
        <charset val="134"/>
      </rPr>
      <t>（租金：</t>
    </r>
    <r>
      <rPr>
        <sz val="10"/>
        <rFont val="Times New Roman"/>
        <charset val="134"/>
      </rPr>
      <t>230748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2017.09.28-2018.09.27</t>
    </r>
    <r>
      <rPr>
        <sz val="10"/>
        <rFont val="微软雅黑"/>
        <charset val="134"/>
      </rPr>
      <t>（租金：</t>
    </r>
    <r>
      <rPr>
        <sz val="10"/>
        <rFont val="Times New Roman"/>
        <charset val="134"/>
      </rPr>
      <t>230748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</si>
  <si>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Times New Roman"/>
        <charset val="134"/>
      </rPr>
      <t>2013.09.28-2015.09.27</t>
    </r>
    <r>
      <rPr>
        <sz val="10"/>
        <rFont val="微软雅黑"/>
        <charset val="134"/>
      </rPr>
      <t>（物业管理费：</t>
    </r>
    <r>
      <rPr>
        <sz val="10"/>
        <rFont val="Times New Roman"/>
        <charset val="134"/>
      </rPr>
      <t>42732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2015.09.28-2016.09.27</t>
    </r>
    <r>
      <rPr>
        <sz val="10"/>
        <rFont val="微软雅黑"/>
        <charset val="134"/>
      </rPr>
      <t>（物业管理费：</t>
    </r>
    <r>
      <rPr>
        <sz val="10"/>
        <rFont val="Times New Roman"/>
        <charset val="134"/>
      </rPr>
      <t>42732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2016.09.28-2017.09.27</t>
    </r>
    <r>
      <rPr>
        <sz val="10"/>
        <rFont val="微软雅黑"/>
        <charset val="134"/>
      </rPr>
      <t>（物业管理费：</t>
    </r>
    <r>
      <rPr>
        <sz val="10"/>
        <rFont val="Times New Roman"/>
        <charset val="134"/>
      </rPr>
      <t>51278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                      2017.09.28-2018.09.27</t>
    </r>
    <r>
      <rPr>
        <sz val="10"/>
        <rFont val="微软雅黑"/>
        <charset val="134"/>
      </rPr>
      <t>（物业管理费：</t>
    </r>
    <r>
      <rPr>
        <sz val="10"/>
        <rFont val="Times New Roman"/>
        <charset val="134"/>
      </rPr>
      <t>51278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</si>
  <si>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微软雅黑"/>
        <charset val="134"/>
      </rPr>
      <t>集合店</t>
    </r>
  </si>
  <si>
    <r>
      <rPr>
        <sz val="10"/>
        <rFont val="微软雅黑"/>
        <charset val="134"/>
      </rPr>
      <t>武汉宜家集合店</t>
    </r>
  </si>
  <si>
    <r>
      <rPr>
        <sz val="10"/>
        <rFont val="宋体"/>
        <charset val="134"/>
      </rPr>
      <t>江北宜家集合店</t>
    </r>
  </si>
  <si>
    <r>
      <rPr>
        <sz val="10"/>
        <rFont val="微软雅黑"/>
        <charset val="134"/>
      </rPr>
      <t>武汉英特宜家置业有限公司</t>
    </r>
  </si>
  <si>
    <r>
      <rPr>
        <sz val="10"/>
        <rFont val="微软雅黑"/>
        <charset val="134"/>
      </rPr>
      <t>武汉市桥口区长宜路</t>
    </r>
    <r>
      <rPr>
        <sz val="10"/>
        <rFont val="Times New Roman"/>
        <charset val="134"/>
      </rPr>
      <t>1</t>
    </r>
    <r>
      <rPr>
        <sz val="10"/>
        <rFont val="微软雅黑"/>
        <charset val="134"/>
      </rPr>
      <t>号购物中心</t>
    </r>
    <r>
      <rPr>
        <sz val="10"/>
        <rFont val="Times New Roman"/>
        <charset val="134"/>
      </rPr>
      <t>L12</t>
    </r>
    <r>
      <rPr>
        <sz val="10"/>
        <rFont val="微软雅黑"/>
        <charset val="134"/>
      </rPr>
      <t>层</t>
    </r>
    <r>
      <rPr>
        <sz val="10"/>
        <rFont val="Times New Roman"/>
        <charset val="134"/>
      </rPr>
      <t>4-12-23-SU</t>
    </r>
    <r>
      <rPr>
        <sz val="10"/>
        <rFont val="微软雅黑"/>
        <charset val="134"/>
      </rPr>
      <t>和</t>
    </r>
    <r>
      <rPr>
        <sz val="10"/>
        <rFont val="Times New Roman"/>
        <charset val="134"/>
      </rPr>
      <t>4-12-24-SU</t>
    </r>
    <r>
      <rPr>
        <sz val="10"/>
        <rFont val="微软雅黑"/>
        <charset val="134"/>
      </rPr>
      <t>号的物业</t>
    </r>
  </si>
  <si>
    <r>
      <rPr>
        <sz val="10"/>
        <rFont val="Times New Roman"/>
        <charset val="134"/>
      </rPr>
      <t>2015.01.12-2016.01.11(</t>
    </r>
    <r>
      <rPr>
        <sz val="10"/>
        <rFont val="微软雅黑"/>
        <charset val="134"/>
      </rPr>
      <t>提成租金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为</t>
    </r>
    <r>
      <rPr>
        <sz val="10"/>
        <rFont val="Times New Roman"/>
        <charset val="134"/>
      </rPr>
      <t>13%,</t>
    </r>
    <r>
      <rPr>
        <sz val="10"/>
        <rFont val="微软雅黑"/>
        <charset val="134"/>
      </rPr>
      <t>基本租金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无</t>
    </r>
    <r>
      <rPr>
        <sz val="10"/>
        <rFont val="Times New Roman"/>
        <charset val="134"/>
      </rPr>
      <t>;</t>
    </r>
    <r>
      <rPr>
        <sz val="10"/>
        <rFont val="微软雅黑"/>
        <charset val="134"/>
      </rPr>
      <t>两者取其高</t>
    </r>
    <r>
      <rPr>
        <sz val="10"/>
        <rFont val="Times New Roman"/>
        <charset val="134"/>
      </rPr>
      <t>)    2016.01.12-2017.01.11(</t>
    </r>
    <r>
      <rPr>
        <sz val="10"/>
        <rFont val="微软雅黑"/>
        <charset val="134"/>
      </rPr>
      <t>基本租金</t>
    </r>
    <r>
      <rPr>
        <sz val="10"/>
        <rFont val="Times New Roman"/>
        <charset val="134"/>
      </rPr>
      <t>:121.67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提成租金</t>
    </r>
    <r>
      <rPr>
        <sz val="10"/>
        <rFont val="Times New Roman"/>
        <charset val="134"/>
      </rPr>
      <t>:14%,</t>
    </r>
    <r>
      <rPr>
        <sz val="10"/>
        <rFont val="微软雅黑"/>
        <charset val="134"/>
      </rPr>
      <t>两者取其高</t>
    </r>
    <r>
      <rPr>
        <sz val="10"/>
        <rFont val="Times New Roman"/>
        <charset val="134"/>
      </rPr>
      <t>)                                                                      2017.01.12-2018.01.11(</t>
    </r>
    <r>
      <rPr>
        <sz val="10"/>
        <rFont val="微软雅黑"/>
        <charset val="134"/>
      </rPr>
      <t>基本租金</t>
    </r>
    <r>
      <rPr>
        <sz val="10"/>
        <rFont val="Times New Roman"/>
        <charset val="134"/>
      </rPr>
      <t>:182.5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提成租金</t>
    </r>
    <r>
      <rPr>
        <sz val="10"/>
        <rFont val="Times New Roman"/>
        <charset val="134"/>
      </rPr>
      <t>:15%,</t>
    </r>
    <r>
      <rPr>
        <sz val="10"/>
        <rFont val="微软雅黑"/>
        <charset val="134"/>
      </rPr>
      <t>两者取其高</t>
    </r>
    <r>
      <rPr>
        <sz val="10"/>
        <rFont val="Times New Roman"/>
        <charset val="134"/>
      </rPr>
      <t xml:space="preserve">)                        </t>
    </r>
    <r>
      <rPr>
        <sz val="10"/>
        <rFont val="微软雅黑"/>
        <charset val="134"/>
      </rPr>
      <t>免租期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首二个月的免租期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不付租金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但需付物业管理费</t>
    </r>
    <r>
      <rPr>
        <sz val="10"/>
        <rFont val="Times New Roman"/>
        <charset val="134"/>
      </rPr>
      <t>\</t>
    </r>
    <r>
      <rPr>
        <sz val="10"/>
        <rFont val="微软雅黑"/>
        <charset val="134"/>
      </rPr>
      <t>推广费</t>
    </r>
    <r>
      <rPr>
        <sz val="10"/>
        <rFont val="Times New Roman"/>
        <charset val="134"/>
      </rPr>
      <t>\</t>
    </r>
    <r>
      <rPr>
        <sz val="10"/>
        <rFont val="微软雅黑"/>
        <charset val="134"/>
      </rPr>
      <t>公共事业费等</t>
    </r>
    <r>
      <rPr>
        <sz val="10"/>
        <rFont val="Times New Roman"/>
        <charset val="134"/>
      </rPr>
      <t xml:space="preserve">                                                      </t>
    </r>
  </si>
  <si>
    <r>
      <rPr>
        <sz val="10"/>
        <rFont val="Times New Roman"/>
        <charset val="134"/>
      </rPr>
      <t>2015.01.12-2016.01.11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:70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推广费</t>
    </r>
    <r>
      <rPr>
        <sz val="10"/>
        <rFont val="Times New Roman"/>
        <charset val="134"/>
      </rPr>
      <t>;12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 xml:space="preserve">                  2016.01.12-2017.01.11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:70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推广费</t>
    </r>
    <r>
      <rPr>
        <sz val="10"/>
        <rFont val="Times New Roman"/>
        <charset val="134"/>
      </rPr>
      <t>:12.6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 xml:space="preserve">                2017.01.12-2018.01.11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:70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推广费</t>
    </r>
    <r>
      <rPr>
        <sz val="10"/>
        <rFont val="Times New Roman"/>
        <charset val="134"/>
      </rPr>
      <t>:13.23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</si>
  <si>
    <r>
      <rPr>
        <sz val="10"/>
        <rFont val="微软雅黑"/>
        <charset val="134"/>
      </rPr>
      <t>武汉宜家安德玛</t>
    </r>
  </si>
  <si>
    <r>
      <rPr>
        <sz val="10"/>
        <rFont val="Arial"/>
        <charset val="134"/>
      </rPr>
      <t>江北宜家安德玛</t>
    </r>
  </si>
  <si>
    <r>
      <rPr>
        <sz val="10"/>
        <rFont val="微软雅黑"/>
        <charset val="134"/>
      </rPr>
      <t>武汉市桥口区长宜路</t>
    </r>
    <r>
      <rPr>
        <sz val="10"/>
        <rFont val="Times New Roman"/>
        <charset val="134"/>
      </rPr>
      <t>1</t>
    </r>
    <r>
      <rPr>
        <sz val="10"/>
        <rFont val="微软雅黑"/>
        <charset val="134"/>
      </rPr>
      <t>号购物中心</t>
    </r>
    <r>
      <rPr>
        <sz val="10"/>
        <rFont val="Times New Roman"/>
        <charset val="134"/>
      </rPr>
      <t>L11</t>
    </r>
    <r>
      <rPr>
        <sz val="10"/>
        <rFont val="微软雅黑"/>
        <charset val="134"/>
      </rPr>
      <t>层</t>
    </r>
    <r>
      <rPr>
        <sz val="10"/>
        <rFont val="Times New Roman"/>
        <charset val="134"/>
      </rPr>
      <t>4-11-26-SU</t>
    </r>
    <r>
      <rPr>
        <sz val="10"/>
        <rFont val="微软雅黑"/>
        <charset val="134"/>
      </rPr>
      <t>单元号</t>
    </r>
  </si>
  <si>
    <r>
      <rPr>
        <sz val="10"/>
        <rFont val="Times New Roman"/>
        <charset val="134"/>
      </rPr>
      <t>2015.03.23-2016.03.22(</t>
    </r>
    <r>
      <rPr>
        <sz val="10"/>
        <rFont val="微软雅黑"/>
        <charset val="134"/>
      </rPr>
      <t>基本租金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无</t>
    </r>
    <r>
      <rPr>
        <sz val="10"/>
        <rFont val="Times New Roman"/>
        <charset val="134"/>
      </rPr>
      <t xml:space="preserve"> </t>
    </r>
    <r>
      <rPr>
        <sz val="10"/>
        <rFont val="微软雅黑"/>
        <charset val="134"/>
      </rPr>
      <t>提成租金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比例为</t>
    </r>
    <r>
      <rPr>
        <sz val="10"/>
        <rFont val="Times New Roman"/>
        <charset val="134"/>
      </rPr>
      <t>12%,)  2016.03.23-2017.03.22(</t>
    </r>
    <r>
      <rPr>
        <sz val="10"/>
        <rFont val="微软雅黑"/>
        <charset val="134"/>
      </rPr>
      <t>基本租金</t>
    </r>
    <r>
      <rPr>
        <sz val="10"/>
        <rFont val="Times New Roman"/>
        <charset val="134"/>
      </rPr>
      <t>:106.46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提成租金</t>
    </r>
    <r>
      <rPr>
        <sz val="10"/>
        <rFont val="Times New Roman"/>
        <charset val="134"/>
      </rPr>
      <t>:13%,)     2017.03.23-2018.03.22(</t>
    </r>
    <r>
      <rPr>
        <sz val="10"/>
        <rFont val="微软雅黑"/>
        <charset val="134"/>
      </rPr>
      <t>基本租金</t>
    </r>
    <r>
      <rPr>
        <sz val="10"/>
        <rFont val="Times New Roman"/>
        <charset val="134"/>
      </rPr>
      <t>:182.5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提成比例</t>
    </r>
    <r>
      <rPr>
        <sz val="10"/>
        <rFont val="Times New Roman"/>
        <charset val="134"/>
      </rPr>
      <t xml:space="preserve">:14%,)       </t>
    </r>
    <r>
      <rPr>
        <sz val="10"/>
        <rFont val="微软雅黑"/>
        <charset val="134"/>
      </rPr>
      <t>免租期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指开业日起的首三个月</t>
    </r>
    <r>
      <rPr>
        <sz val="10"/>
        <rFont val="Times New Roman"/>
        <charset val="134"/>
      </rPr>
      <t xml:space="preserve">                                                     </t>
    </r>
  </si>
  <si>
    <r>
      <rPr>
        <sz val="10"/>
        <rFont val="Times New Roman"/>
        <charset val="134"/>
      </rPr>
      <t>2015.03.23-2016.03.22(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:70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推广费</t>
    </r>
    <r>
      <rPr>
        <sz val="10"/>
        <rFont val="Times New Roman"/>
        <charset val="134"/>
      </rPr>
      <t>;12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2016.03.23-2017.03.22(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:70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推广费</t>
    </r>
    <r>
      <rPr>
        <sz val="10"/>
        <rFont val="Times New Roman"/>
        <charset val="134"/>
      </rPr>
      <t>:12.6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2017.03.23-2018.03.22(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:70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推广费</t>
    </r>
    <r>
      <rPr>
        <sz val="10"/>
        <rFont val="Times New Roman"/>
        <charset val="134"/>
      </rPr>
      <t>:13.23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</si>
  <si>
    <t>2017.06.15</t>
  </si>
  <si>
    <r>
      <rPr>
        <sz val="10"/>
        <rFont val="微软雅黑"/>
        <charset val="134"/>
      </rPr>
      <t>中百唐家墩集合店</t>
    </r>
  </si>
  <si>
    <r>
      <rPr>
        <sz val="10"/>
        <rFont val="Arial"/>
        <charset val="134"/>
      </rPr>
      <t>武汉唐家墩集合店</t>
    </r>
  </si>
  <si>
    <r>
      <rPr>
        <sz val="10"/>
        <rFont val="微软雅黑"/>
        <charset val="134"/>
      </rPr>
      <t>中百仓储超市有限公司</t>
    </r>
  </si>
  <si>
    <r>
      <rPr>
        <sz val="10"/>
        <rFont val="微软雅黑"/>
        <charset val="134"/>
      </rPr>
      <t>湖北省武汉市中百仓储购物广场唐家墩店二层</t>
    </r>
  </si>
  <si>
    <r>
      <rPr>
        <sz val="10"/>
        <rFont val="Times New Roman"/>
        <charset val="134"/>
      </rPr>
      <t>2015.05.01-2016.12.31(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:31700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   2017.01.01-2017.12.31(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:34236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2018.01.01-2018.12.31(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:36975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2019.01.01-2019.12.31(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:39933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 xml:space="preserve">) </t>
    </r>
  </si>
  <si>
    <r>
      <rPr>
        <sz val="10"/>
        <rFont val="微软雅黑"/>
        <charset val="134"/>
      </rPr>
      <t>江南光谷世界城阿迪</t>
    </r>
    <r>
      <rPr>
        <sz val="10"/>
        <rFont val="Times New Roman"/>
        <charset val="134"/>
      </rPr>
      <t>SH</t>
    </r>
  </si>
  <si>
    <r>
      <rPr>
        <sz val="10"/>
        <rFont val="微软雅黑"/>
        <charset val="134"/>
      </rPr>
      <t>武汉市东湖新技术开发区珞瑜路世界城广场</t>
    </r>
    <r>
      <rPr>
        <sz val="10"/>
        <rFont val="Times New Roman"/>
        <charset val="134"/>
      </rPr>
      <t>(149</t>
    </r>
    <r>
      <rPr>
        <sz val="10"/>
        <rFont val="微软雅黑"/>
        <charset val="134"/>
      </rPr>
      <t>号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</si>
  <si>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2014.12.20-2015.12.19(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:684000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2015.12.20-2016.12.19(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:752400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 2016.12.20-2017.12.19(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:828000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 xml:space="preserve">)   </t>
    </r>
  </si>
  <si>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按</t>
    </r>
    <r>
      <rPr>
        <sz val="10"/>
        <rFont val="Times New Roman"/>
        <charset val="134"/>
      </rPr>
      <t>3</t>
    </r>
    <r>
      <rPr>
        <sz val="10"/>
        <rFont val="微软雅黑"/>
        <charset val="134"/>
      </rPr>
      <t>个月为一期结算</t>
    </r>
    <r>
      <rPr>
        <sz val="10"/>
        <rFont val="Times New Roman"/>
        <charset val="134"/>
      </rPr>
      <t>,50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平方米</t>
    </r>
    <r>
      <rPr>
        <sz val="10"/>
        <rFont val="Times New Roman"/>
        <charset val="134"/>
      </rPr>
      <t xml:space="preserve">    </t>
    </r>
    <r>
      <rPr>
        <sz val="10"/>
        <rFont val="微软雅黑"/>
        <charset val="134"/>
      </rPr>
      <t>营销推广费用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平方米</t>
    </r>
    <r>
      <rPr>
        <sz val="10"/>
        <rFont val="Times New Roman"/>
        <charset val="134"/>
      </rPr>
      <t>,</t>
    </r>
  </si>
  <si>
    <t>合同到期</t>
  </si>
  <si>
    <t>2017.12.20-2018.03.31（租金：69000元/月）</t>
  </si>
  <si>
    <t>物业管理费:,50元/月/平方米营销推广费用:10元/月/平方米,，按3个月为一期结算</t>
  </si>
  <si>
    <r>
      <rPr>
        <sz val="10"/>
        <rFont val="微软雅黑"/>
        <charset val="134"/>
      </rPr>
      <t>江北菱角湖万达集合店</t>
    </r>
  </si>
  <si>
    <r>
      <rPr>
        <sz val="10"/>
        <rFont val="微软雅黑"/>
        <charset val="134"/>
      </rPr>
      <t>武汉万达广场投资有限公司</t>
    </r>
  </si>
  <si>
    <r>
      <rPr>
        <sz val="10"/>
        <rFont val="微软雅黑"/>
        <charset val="134"/>
      </rPr>
      <t>武汉市江汉区新华下路</t>
    </r>
    <r>
      <rPr>
        <sz val="10"/>
        <rFont val="Times New Roman"/>
        <charset val="134"/>
      </rPr>
      <t>63</t>
    </r>
    <r>
      <rPr>
        <sz val="10"/>
        <rFont val="微软雅黑"/>
        <charset val="134"/>
      </rPr>
      <t>号菱角湖万达购物中心</t>
    </r>
  </si>
  <si>
    <r>
      <rPr>
        <sz val="10"/>
        <rFont val="Times New Roman"/>
        <charset val="134"/>
      </rPr>
      <t>2015.08.01-2015.09.17</t>
    </r>
    <r>
      <rPr>
        <sz val="10"/>
        <rFont val="微软雅黑"/>
        <charset val="134"/>
      </rPr>
      <t>（租金：</t>
    </r>
    <r>
      <rPr>
        <sz val="10"/>
        <rFont val="Times New Roman"/>
        <charset val="134"/>
      </rPr>
      <t>232370.84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月）</t>
    </r>
    <r>
      <rPr>
        <sz val="10"/>
        <rFont val="Times New Roman"/>
        <charset val="134"/>
      </rPr>
      <t xml:space="preserve">                                                  2015.09.17-2016.09.16</t>
    </r>
    <r>
      <rPr>
        <sz val="10"/>
        <rFont val="微软雅黑"/>
        <charset val="134"/>
      </rPr>
      <t>（租金：</t>
    </r>
    <r>
      <rPr>
        <sz val="10"/>
        <rFont val="Times New Roman"/>
        <charset val="134"/>
      </rPr>
      <t>2927968.89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</t>
    </r>
  </si>
  <si>
    <r>
      <rPr>
        <sz val="10"/>
        <rFont val="Times New Roman"/>
        <charset val="134"/>
      </rPr>
      <t>2015.08.01-2015.09.17</t>
    </r>
    <r>
      <rPr>
        <sz val="10"/>
        <rFont val="微软雅黑"/>
        <charset val="134"/>
      </rPr>
      <t>（物业：</t>
    </r>
    <r>
      <rPr>
        <sz val="10"/>
        <rFont val="Times New Roman"/>
        <charset val="134"/>
      </rPr>
      <t>297922.8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   2015.08.01-2015.09.17</t>
    </r>
    <r>
      <rPr>
        <sz val="10"/>
        <rFont val="微软雅黑"/>
        <charset val="134"/>
      </rPr>
      <t>（物业：</t>
    </r>
    <r>
      <rPr>
        <sz val="10"/>
        <rFont val="Times New Roman"/>
        <charset val="134"/>
      </rPr>
      <t>301006.15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</t>
    </r>
  </si>
  <si>
    <r>
      <rPr>
        <sz val="10"/>
        <rFont val="Times New Roman"/>
        <charset val="134"/>
      </rPr>
      <t>2016.12.18-2017.12.17(</t>
    </r>
    <r>
      <rPr>
        <sz val="10"/>
        <rFont val="宋体"/>
        <charset val="134"/>
      </rPr>
      <t>租金：</t>
    </r>
    <r>
      <rPr>
        <sz val="10"/>
        <rFont val="Times New Roman"/>
        <charset val="134"/>
      </rPr>
      <t>3468700.80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2017.12.18-2018.12.17(</t>
    </r>
    <r>
      <rPr>
        <sz val="10"/>
        <rFont val="宋体"/>
        <charset val="134"/>
      </rPr>
      <t>租金：</t>
    </r>
    <r>
      <rPr>
        <sz val="10"/>
        <rFont val="Times New Roman"/>
        <charset val="134"/>
      </rPr>
      <t>3468700.80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        2018.12.18-2019.12.17(</t>
    </r>
    <r>
      <rPr>
        <sz val="10"/>
        <rFont val="宋体"/>
        <charset val="134"/>
      </rPr>
      <t>租金：</t>
    </r>
    <r>
      <rPr>
        <sz val="10"/>
        <rFont val="Times New Roman"/>
        <charset val="134"/>
      </rPr>
      <t>3607448.88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       2019.12.18-2020.12.17(</t>
    </r>
    <r>
      <rPr>
        <sz val="10"/>
        <rFont val="宋体"/>
        <charset val="134"/>
      </rPr>
      <t>租金：</t>
    </r>
    <r>
      <rPr>
        <sz val="10"/>
        <rFont val="Times New Roman"/>
        <charset val="134"/>
      </rPr>
      <t>3751785.36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2020.12.18-2021.12.17(</t>
    </r>
    <r>
      <rPr>
        <sz val="10"/>
        <rFont val="宋体"/>
        <charset val="134"/>
      </rPr>
      <t>租金：</t>
    </r>
    <r>
      <rPr>
        <sz val="10"/>
        <rFont val="Times New Roman"/>
        <charset val="134"/>
      </rPr>
      <t>3901902.96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 2021.12.18-2022.12.17(</t>
    </r>
    <r>
      <rPr>
        <sz val="10"/>
        <rFont val="宋体"/>
        <charset val="134"/>
      </rPr>
      <t>租金：</t>
    </r>
    <r>
      <rPr>
        <sz val="10"/>
        <rFont val="Times New Roman"/>
        <charset val="134"/>
      </rPr>
      <t>4057994.52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</si>
  <si>
    <r>
      <rPr>
        <sz val="10"/>
        <rFont val="Times New Roman"/>
        <charset val="134"/>
      </rPr>
      <t>2016.12.18-2017.12.17(</t>
    </r>
    <r>
      <rPr>
        <sz val="10"/>
        <rFont val="宋体"/>
        <charset val="134"/>
      </rPr>
      <t>物业：</t>
    </r>
    <r>
      <rPr>
        <sz val="10"/>
        <rFont val="Times New Roman"/>
        <charset val="134"/>
      </rPr>
      <t>16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平米）</t>
    </r>
    <r>
      <rPr>
        <sz val="10"/>
        <rFont val="Times New Roman"/>
        <charset val="134"/>
      </rPr>
      <t xml:space="preserve">                                                            2017.12.18-2018.12.17(</t>
    </r>
    <r>
      <rPr>
        <sz val="10"/>
        <rFont val="宋体"/>
        <charset val="134"/>
      </rPr>
      <t>物业：</t>
    </r>
    <r>
      <rPr>
        <sz val="10"/>
        <rFont val="Times New Roman"/>
        <charset val="134"/>
      </rPr>
      <t>16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平米）</t>
    </r>
    <r>
      <rPr>
        <sz val="10"/>
        <rFont val="Times New Roman"/>
        <charset val="134"/>
      </rPr>
      <t xml:space="preserve">                                                                      2018.12.18-2019.12.17(</t>
    </r>
    <r>
      <rPr>
        <sz val="10"/>
        <rFont val="宋体"/>
        <charset val="134"/>
      </rPr>
      <t>物业：</t>
    </r>
    <r>
      <rPr>
        <sz val="10"/>
        <rFont val="Times New Roman"/>
        <charset val="134"/>
      </rPr>
      <t>16.24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平米）</t>
    </r>
    <r>
      <rPr>
        <sz val="10"/>
        <rFont val="Times New Roman"/>
        <charset val="134"/>
      </rPr>
      <t xml:space="preserve">                                                                     2019.12.18-2020.12.17(</t>
    </r>
    <r>
      <rPr>
        <sz val="10"/>
        <rFont val="宋体"/>
        <charset val="134"/>
      </rPr>
      <t>物业：</t>
    </r>
    <r>
      <rPr>
        <sz val="10"/>
        <rFont val="Times New Roman"/>
        <charset val="134"/>
      </rPr>
      <t>16.49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平米）</t>
    </r>
    <r>
      <rPr>
        <sz val="10"/>
        <rFont val="Times New Roman"/>
        <charset val="134"/>
      </rPr>
      <t xml:space="preserve">                                                        2020.12.18-2021.12.17(</t>
    </r>
    <r>
      <rPr>
        <sz val="10"/>
        <rFont val="宋体"/>
        <charset val="134"/>
      </rPr>
      <t>物业：</t>
    </r>
    <r>
      <rPr>
        <sz val="10"/>
        <rFont val="Times New Roman"/>
        <charset val="134"/>
      </rPr>
      <t>16.75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平米）</t>
    </r>
    <r>
      <rPr>
        <sz val="10"/>
        <rFont val="Times New Roman"/>
        <charset val="134"/>
      </rPr>
      <t xml:space="preserve">                                                               2021.12.18-2022.12.17(</t>
    </r>
    <r>
      <rPr>
        <sz val="10"/>
        <rFont val="宋体"/>
        <charset val="134"/>
      </rPr>
      <t>物业：</t>
    </r>
    <r>
      <rPr>
        <sz val="10"/>
        <rFont val="Times New Roman"/>
        <charset val="134"/>
      </rPr>
      <t>17.02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平米）</t>
    </r>
  </si>
  <si>
    <r>
      <rPr>
        <sz val="10"/>
        <rFont val="微软雅黑"/>
        <charset val="134"/>
      </rPr>
      <t>江北经开万达运动城</t>
    </r>
  </si>
  <si>
    <r>
      <rPr>
        <sz val="10"/>
        <rFont val="Arial"/>
        <charset val="134"/>
      </rPr>
      <t>江北经开万达集合店</t>
    </r>
  </si>
  <si>
    <r>
      <rPr>
        <sz val="10"/>
        <rFont val="微软雅黑"/>
        <charset val="134"/>
      </rPr>
      <t>武汉经开万达广场投资有限公司</t>
    </r>
  </si>
  <si>
    <r>
      <rPr>
        <sz val="10"/>
        <rFont val="微软雅黑"/>
        <charset val="134"/>
      </rPr>
      <t>武汉市经开万达广场综合楼</t>
    </r>
    <r>
      <rPr>
        <sz val="10"/>
        <rFont val="Times New Roman"/>
        <charset val="134"/>
      </rPr>
      <t>1F-A</t>
    </r>
    <r>
      <rPr>
        <sz val="10"/>
        <rFont val="微软雅黑"/>
        <charset val="134"/>
      </rPr>
      <t>铺位</t>
    </r>
    <r>
      <rPr>
        <sz val="10"/>
        <rFont val="Times New Roman"/>
        <charset val="134"/>
      </rPr>
      <t>,</t>
    </r>
  </si>
  <si>
    <r>
      <rPr>
        <sz val="10"/>
        <rFont val="Times New Roman"/>
        <charset val="134"/>
      </rPr>
      <t>2011.8.26-2012.8.25(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:110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 2012.8.26-2013.8.25(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:110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  2013.8.26-2014.8.25(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:113.3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2014.8.26-2015.8.25(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:116.7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2015.8.26-2016.8.25(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:120.2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2016.8.26-2017.8.25(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:123.81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 xml:space="preserve">) </t>
    </r>
  </si>
  <si>
    <r>
      <rPr>
        <sz val="10"/>
        <rFont val="Times New Roman"/>
        <charset val="134"/>
      </rPr>
      <t>2011.8.26-2012.8.25(</t>
    </r>
    <r>
      <rPr>
        <sz val="10"/>
        <rFont val="宋体"/>
        <charset val="134"/>
      </rPr>
      <t>物业费</t>
    </r>
    <r>
      <rPr>
        <sz val="10"/>
        <rFont val="Times New Roman"/>
        <charset val="134"/>
      </rPr>
      <t>:6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 2012.8.26-2013.8.25(</t>
    </r>
    <r>
      <rPr>
        <sz val="10"/>
        <rFont val="宋体"/>
        <charset val="134"/>
      </rPr>
      <t>物业费</t>
    </r>
    <r>
      <rPr>
        <sz val="10"/>
        <rFont val="Times New Roman"/>
        <charset val="134"/>
      </rPr>
      <t>:6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  2013.8.26-2014.8.25(</t>
    </r>
    <r>
      <rPr>
        <sz val="10"/>
        <rFont val="宋体"/>
        <charset val="134"/>
      </rPr>
      <t>物业费</t>
    </r>
    <r>
      <rPr>
        <sz val="10"/>
        <rFont val="Times New Roman"/>
        <charset val="134"/>
      </rPr>
      <t>:6.24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2014.8.26-2015.8.25(</t>
    </r>
    <r>
      <rPr>
        <sz val="10"/>
        <rFont val="宋体"/>
        <charset val="134"/>
      </rPr>
      <t>物业费</t>
    </r>
    <r>
      <rPr>
        <sz val="10"/>
        <rFont val="Times New Roman"/>
        <charset val="134"/>
      </rPr>
      <t>:6.49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2015.8.26-2016.8.25(</t>
    </r>
    <r>
      <rPr>
        <sz val="10"/>
        <rFont val="宋体"/>
        <charset val="134"/>
      </rPr>
      <t>物业费</t>
    </r>
    <r>
      <rPr>
        <sz val="10"/>
        <rFont val="Times New Roman"/>
        <charset val="134"/>
      </rPr>
      <t>:6.75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2016.8.26-2017.8.25(</t>
    </r>
    <r>
      <rPr>
        <sz val="10"/>
        <rFont val="宋体"/>
        <charset val="134"/>
      </rPr>
      <t>物业费</t>
    </r>
    <r>
      <rPr>
        <sz val="10"/>
        <rFont val="Times New Roman"/>
        <charset val="134"/>
      </rPr>
      <t>:7.02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    2011.8.26-2017.8.25(</t>
    </r>
    <r>
      <rPr>
        <sz val="10"/>
        <rFont val="宋体"/>
        <charset val="134"/>
      </rPr>
      <t>空调费</t>
    </r>
    <r>
      <rPr>
        <sz val="10"/>
        <rFont val="Times New Roman"/>
        <charset val="134"/>
      </rPr>
      <t>:10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</si>
  <si>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2017.8.26-2019.8.25(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:123.81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   2019.8.26-2020.8.25(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:127.52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2020.8.26-2021.8.25(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:131.35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2021.8.26-2022.8.25(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:135.29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2022.8.26-2023.8.25(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:139.35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 xml:space="preserve">) </t>
    </r>
  </si>
  <si>
    <r>
      <rPr>
        <sz val="10"/>
        <rFont val="Times New Roman"/>
        <charset val="134"/>
      </rPr>
      <t>2017.8.26-2019.8.25(</t>
    </r>
    <r>
      <rPr>
        <sz val="10"/>
        <rFont val="宋体"/>
        <charset val="134"/>
      </rPr>
      <t>物业</t>
    </r>
    <r>
      <rPr>
        <sz val="10"/>
        <rFont val="Times New Roman"/>
        <charset val="134"/>
      </rPr>
      <t>:17.02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2019.8.26-2020.8.25(</t>
    </r>
    <r>
      <rPr>
        <sz val="10"/>
        <rFont val="宋体"/>
        <charset val="134"/>
      </rPr>
      <t>物业</t>
    </r>
    <r>
      <rPr>
        <sz val="10"/>
        <rFont val="Times New Roman"/>
        <charset val="134"/>
      </rPr>
      <t>:17.30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2020.8.26-2021.8.25(</t>
    </r>
    <r>
      <rPr>
        <sz val="10"/>
        <rFont val="宋体"/>
        <charset val="134"/>
      </rPr>
      <t>物业</t>
    </r>
    <r>
      <rPr>
        <sz val="10"/>
        <rFont val="Times New Roman"/>
        <charset val="134"/>
      </rPr>
      <t>:17.59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2021.8.26-2022.8.25(</t>
    </r>
    <r>
      <rPr>
        <sz val="10"/>
        <rFont val="宋体"/>
        <charset val="134"/>
      </rPr>
      <t>物业</t>
    </r>
    <r>
      <rPr>
        <sz val="10"/>
        <rFont val="Times New Roman"/>
        <charset val="134"/>
      </rPr>
      <t>:17.89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2022.8.26-2023.8.25(</t>
    </r>
    <r>
      <rPr>
        <sz val="10"/>
        <rFont val="宋体"/>
        <charset val="134"/>
      </rPr>
      <t>物业</t>
    </r>
    <r>
      <rPr>
        <sz val="10"/>
        <rFont val="Times New Roman"/>
        <charset val="134"/>
      </rPr>
      <t>:18.21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 xml:space="preserve">) </t>
    </r>
  </si>
  <si>
    <t>运动城</t>
  </si>
  <si>
    <t>江北经开跑步店</t>
  </si>
  <si>
    <t>江北经开万达集合店</t>
  </si>
  <si>
    <t>湖北万达广场商业管理有限公司经济开发区分公司</t>
  </si>
  <si>
    <t>经开万达0008点位一</t>
  </si>
  <si>
    <t>租金？</t>
  </si>
  <si>
    <t>2017.8.15-2018.8.15（物业：8800元/月）</t>
  </si>
  <si>
    <r>
      <rPr>
        <sz val="10"/>
        <rFont val="微软雅黑"/>
        <charset val="134"/>
      </rPr>
      <t>江南体院集合店</t>
    </r>
  </si>
  <si>
    <r>
      <rPr>
        <sz val="10"/>
        <rFont val="微软雅黑"/>
        <charset val="134"/>
      </rPr>
      <t>武汉市洪山区珞南街珞瑜路</t>
    </r>
    <r>
      <rPr>
        <sz val="10"/>
        <rFont val="Times New Roman"/>
        <charset val="134"/>
      </rPr>
      <t>476</t>
    </r>
    <r>
      <rPr>
        <sz val="10"/>
        <rFont val="微软雅黑"/>
        <charset val="134"/>
      </rPr>
      <t>号</t>
    </r>
  </si>
  <si>
    <r>
      <rPr>
        <sz val="10"/>
        <rFont val="Times New Roman"/>
        <charset val="134"/>
      </rPr>
      <t>2015.05.01-2018.04.30(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</si>
  <si>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江南麦当劳运动城</t>
    </r>
  </si>
  <si>
    <r>
      <rPr>
        <sz val="10"/>
        <rFont val="微软雅黑"/>
        <charset val="134"/>
      </rPr>
      <t>武汉市武昌区解放路</t>
    </r>
    <r>
      <rPr>
        <sz val="10"/>
        <rFont val="Times New Roman"/>
        <charset val="134"/>
      </rPr>
      <t>338</t>
    </r>
    <r>
      <rPr>
        <sz val="10"/>
        <rFont val="微软雅黑"/>
        <charset val="134"/>
      </rPr>
      <t>号</t>
    </r>
    <r>
      <rPr>
        <sz val="10"/>
        <rFont val="Times New Roman"/>
        <charset val="134"/>
      </rPr>
      <t>(</t>
    </r>
    <r>
      <rPr>
        <sz val="10"/>
        <rFont val="微软雅黑"/>
        <charset val="134"/>
      </rPr>
      <t>原</t>
    </r>
    <r>
      <rPr>
        <sz val="10"/>
        <rFont val="Times New Roman"/>
        <charset val="134"/>
      </rPr>
      <t>340</t>
    </r>
    <r>
      <rPr>
        <sz val="10"/>
        <rFont val="微软雅黑"/>
        <charset val="134"/>
      </rPr>
      <t>号</t>
    </r>
    <r>
      <rPr>
        <sz val="10"/>
        <rFont val="Times New Roman"/>
        <charset val="134"/>
      </rPr>
      <t>)2</t>
    </r>
    <r>
      <rPr>
        <sz val="10"/>
        <rFont val="微软雅黑"/>
        <charset val="134"/>
      </rPr>
      <t>栋杰之行运动城</t>
    </r>
  </si>
  <si>
    <r>
      <rPr>
        <sz val="10"/>
        <rFont val="Times New Roman"/>
        <charset val="134"/>
      </rPr>
      <t>2015.08.01-2020.12.31(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:100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</si>
  <si>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武汉杰锐</t>
    </r>
  </si>
  <si>
    <r>
      <rPr>
        <sz val="10"/>
        <rFont val="微软雅黑"/>
        <charset val="134"/>
      </rPr>
      <t>江南光谷天地运动城</t>
    </r>
  </si>
  <si>
    <r>
      <rPr>
        <sz val="10"/>
        <rFont val="Arial"/>
        <charset val="134"/>
      </rPr>
      <t>江南光谷天地集合店</t>
    </r>
  </si>
  <si>
    <r>
      <rPr>
        <sz val="10"/>
        <rFont val="微软雅黑"/>
        <charset val="134"/>
      </rPr>
      <t>湖北长城建设实业有限公司</t>
    </r>
  </si>
  <si>
    <r>
      <rPr>
        <sz val="10"/>
        <rFont val="微软雅黑"/>
        <charset val="134"/>
      </rPr>
      <t>武汉市东湖高新技术开发区关山大道</t>
    </r>
    <r>
      <rPr>
        <sz val="10"/>
        <rFont val="Times New Roman"/>
        <charset val="134"/>
      </rPr>
      <t>591</t>
    </r>
    <r>
      <rPr>
        <sz val="10"/>
        <rFont val="微软雅黑"/>
        <charset val="134"/>
      </rPr>
      <t>号光谷天地</t>
    </r>
  </si>
  <si>
    <r>
      <rPr>
        <sz val="10"/>
        <rFont val="Times New Roman"/>
        <charset val="134"/>
      </rPr>
      <t>2011.07.01-2012.06.30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1944000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2012.07.01-2013.06.30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2052000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2013.07.01-2014.06.30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2160000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           2014.07.01-2015.06.30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2268000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         2015.07.01-2016.06.30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2376000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</si>
  <si>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t>2016.07.05</t>
  </si>
  <si>
    <r>
      <rPr>
        <sz val="10"/>
        <rFont val="微软雅黑"/>
        <charset val="134"/>
      </rPr>
      <t>武汉凯德广场</t>
    </r>
    <r>
      <rPr>
        <sz val="10"/>
        <rFont val="Times New Roman"/>
        <charset val="134"/>
      </rPr>
      <t>1818</t>
    </r>
    <r>
      <rPr>
        <sz val="10"/>
        <rFont val="微软雅黑"/>
        <charset val="134"/>
      </rPr>
      <t>集合店</t>
    </r>
  </si>
  <si>
    <r>
      <rPr>
        <sz val="10"/>
        <rFont val="Arial"/>
        <charset val="134"/>
      </rPr>
      <t>江南凯德广场</t>
    </r>
    <r>
      <rPr>
        <sz val="10"/>
        <rFont val="Times New Roman"/>
        <charset val="134"/>
      </rPr>
      <t>1818</t>
    </r>
    <r>
      <rPr>
        <sz val="10"/>
        <rFont val="Arial"/>
        <charset val="134"/>
      </rPr>
      <t>集合店</t>
    </r>
  </si>
  <si>
    <r>
      <rPr>
        <sz val="10"/>
        <rFont val="微软雅黑"/>
        <charset val="134"/>
      </rPr>
      <t>武汉凯辉中北商用置业有限公司</t>
    </r>
  </si>
  <si>
    <r>
      <rPr>
        <sz val="10"/>
        <rFont val="微软雅黑"/>
        <charset val="134"/>
      </rPr>
      <t>凯德广场</t>
    </r>
    <r>
      <rPr>
        <sz val="10"/>
        <rFont val="Times New Roman"/>
        <charset val="134"/>
      </rPr>
      <t>.1818,</t>
    </r>
    <r>
      <rPr>
        <sz val="10"/>
        <rFont val="微软雅黑"/>
        <charset val="134"/>
      </rPr>
      <t>武汉</t>
    </r>
    <r>
      <rPr>
        <sz val="10"/>
        <rFont val="Times New Roman"/>
        <charset val="134"/>
      </rPr>
      <t>"04</t>
    </r>
    <r>
      <rPr>
        <sz val="10"/>
        <rFont val="微软雅黑"/>
        <charset val="134"/>
      </rPr>
      <t>层</t>
    </r>
    <r>
      <rPr>
        <sz val="10"/>
        <rFont val="Times New Roman"/>
        <charset val="134"/>
      </rPr>
      <t>16*19</t>
    </r>
    <r>
      <rPr>
        <sz val="10"/>
        <rFont val="微软雅黑"/>
        <charset val="134"/>
      </rPr>
      <t>号</t>
    </r>
    <r>
      <rPr>
        <sz val="10"/>
        <rFont val="Times New Roman"/>
        <charset val="134"/>
      </rPr>
      <t>"</t>
    </r>
  </si>
  <si>
    <r>
      <rPr>
        <sz val="10"/>
        <rFont val="Times New Roman"/>
        <charset val="134"/>
      </rPr>
      <t>2015.09.17-2017.09.16(</t>
    </r>
    <r>
      <rPr>
        <sz val="10"/>
        <rFont val="微软雅黑"/>
        <charset val="134"/>
      </rPr>
      <t>月保底租金</t>
    </r>
    <r>
      <rPr>
        <sz val="10"/>
        <rFont val="Times New Roman"/>
        <charset val="134"/>
      </rPr>
      <t>32803.2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(</t>
    </r>
    <r>
      <rPr>
        <sz val="10"/>
        <rFont val="微软雅黑"/>
        <charset val="134"/>
      </rPr>
      <t>提成租金月营业额的</t>
    </r>
    <r>
      <rPr>
        <sz val="10"/>
        <rFont val="Times New Roman"/>
        <charset val="134"/>
      </rPr>
      <t>10%)                                                                     2017.09.17-2018.09.16(</t>
    </r>
    <r>
      <rPr>
        <sz val="10"/>
        <rFont val="微软雅黑"/>
        <charset val="134"/>
      </rPr>
      <t>月保底租金</t>
    </r>
    <r>
      <rPr>
        <sz val="10"/>
        <rFont val="Times New Roman"/>
        <charset val="134"/>
      </rPr>
      <t>36903.6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(</t>
    </r>
    <r>
      <rPr>
        <sz val="10"/>
        <rFont val="微软雅黑"/>
        <charset val="134"/>
      </rPr>
      <t>提成租金月营业额的</t>
    </r>
    <r>
      <rPr>
        <sz val="10"/>
        <rFont val="Times New Roman"/>
        <charset val="134"/>
      </rPr>
      <t>11%)                                                                      2018.09.17-2019.09.16(</t>
    </r>
    <r>
      <rPr>
        <sz val="10"/>
        <rFont val="微软雅黑"/>
        <charset val="134"/>
      </rPr>
      <t>月保底租金</t>
    </r>
    <r>
      <rPr>
        <sz val="10"/>
        <rFont val="Times New Roman"/>
        <charset val="134"/>
      </rPr>
      <t>41004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(</t>
    </r>
    <r>
      <rPr>
        <sz val="10"/>
        <rFont val="微软雅黑"/>
        <charset val="134"/>
      </rPr>
      <t>提成租金月营业额的</t>
    </r>
    <r>
      <rPr>
        <sz val="10"/>
        <rFont val="Times New Roman"/>
        <charset val="134"/>
      </rPr>
      <t>12%)                                                                                  2019.09.17-2020.09.16(</t>
    </r>
    <r>
      <rPr>
        <sz val="10"/>
        <rFont val="微软雅黑"/>
        <charset val="134"/>
      </rPr>
      <t>月保底租金</t>
    </r>
    <r>
      <rPr>
        <sz val="10"/>
        <rFont val="Times New Roman"/>
        <charset val="134"/>
      </rPr>
      <t>45104.4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(</t>
    </r>
    <r>
      <rPr>
        <sz val="10"/>
        <rFont val="微软雅黑"/>
        <charset val="134"/>
      </rPr>
      <t>提成租金月营业额的</t>
    </r>
    <r>
      <rPr>
        <sz val="10"/>
        <rFont val="Times New Roman"/>
        <charset val="134"/>
      </rPr>
      <t xml:space="preserve">13%) </t>
    </r>
  </si>
  <si>
    <r>
      <rPr>
        <sz val="10"/>
        <rFont val="Times New Roman"/>
        <charset val="134"/>
      </rPr>
      <t>2015.09.17-2017.09.16(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24602.4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2017.09.17-2018.09.16  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24602.4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       2018.09.17-2019.09.16  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24602.4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2019.09.17-2020.09.16 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24602.4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</si>
  <si>
    <r>
      <rPr>
        <sz val="9"/>
        <rFont val="宋体"/>
        <charset val="134"/>
      </rPr>
      <t>原合同终止</t>
    </r>
  </si>
  <si>
    <r>
      <rPr>
        <sz val="10"/>
        <rFont val="Times New Roman"/>
        <charset val="134"/>
      </rPr>
      <t>2016.12.10-2017.09.16</t>
    </r>
    <r>
      <rPr>
        <sz val="10"/>
        <rFont val="宋体"/>
        <charset val="134"/>
      </rPr>
      <t>（月保底租金</t>
    </r>
    <r>
      <rPr>
        <sz val="10"/>
        <rFont val="Times New Roman"/>
        <charset val="134"/>
      </rPr>
      <t>19930.47</t>
    </r>
    <r>
      <rPr>
        <sz val="10"/>
        <rFont val="宋体"/>
        <charset val="134"/>
      </rPr>
      <t>元）</t>
    </r>
    <r>
      <rPr>
        <sz val="10"/>
        <rFont val="Times New Roman"/>
        <charset val="134"/>
      </rPr>
      <t xml:space="preserve">                                                          2017.09.17-2018.09.16</t>
    </r>
    <r>
      <rPr>
        <sz val="10"/>
        <rFont val="宋体"/>
        <charset val="134"/>
      </rPr>
      <t>（月保底租金</t>
    </r>
    <r>
      <rPr>
        <sz val="10"/>
        <rFont val="Times New Roman"/>
        <charset val="134"/>
      </rPr>
      <t>22539.17</t>
    </r>
    <r>
      <rPr>
        <sz val="10"/>
        <rFont val="宋体"/>
        <charset val="134"/>
      </rPr>
      <t>元）</t>
    </r>
    <r>
      <rPr>
        <sz val="10"/>
        <rFont val="Times New Roman"/>
        <charset val="134"/>
      </rPr>
      <t xml:space="preserve">                                                                              2018.09.17-2019.09.16</t>
    </r>
    <r>
      <rPr>
        <sz val="10"/>
        <rFont val="宋体"/>
        <charset val="134"/>
      </rPr>
      <t>（月保底租金</t>
    </r>
    <r>
      <rPr>
        <sz val="10"/>
        <rFont val="Times New Roman"/>
        <charset val="134"/>
      </rPr>
      <t>25147.87</t>
    </r>
    <r>
      <rPr>
        <sz val="10"/>
        <rFont val="宋体"/>
        <charset val="134"/>
      </rPr>
      <t>元）</t>
    </r>
    <r>
      <rPr>
        <sz val="10"/>
        <rFont val="Times New Roman"/>
        <charset val="134"/>
      </rPr>
      <t xml:space="preserve">                                                             2019.09.17-2020.09.16</t>
    </r>
    <r>
      <rPr>
        <sz val="10"/>
        <rFont val="宋体"/>
        <charset val="134"/>
      </rPr>
      <t>（月保底租金</t>
    </r>
    <r>
      <rPr>
        <sz val="10"/>
        <rFont val="Times New Roman"/>
        <charset val="134"/>
      </rPr>
      <t>27756.57</t>
    </r>
    <r>
      <rPr>
        <sz val="10"/>
        <rFont val="宋体"/>
        <charset val="134"/>
      </rPr>
      <t>元）</t>
    </r>
  </si>
  <si>
    <r>
      <rPr>
        <sz val="10"/>
        <rFont val="Times New Roman"/>
        <charset val="134"/>
      </rPr>
      <t>2016.12.10-2020.09.16</t>
    </r>
    <r>
      <rPr>
        <sz val="10"/>
        <rFont val="宋体"/>
        <charset val="134"/>
      </rPr>
      <t>（物业管理费</t>
    </r>
    <r>
      <rPr>
        <sz val="10"/>
        <rFont val="Times New Roman"/>
        <charset val="134"/>
      </rPr>
      <t>16591.33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月）</t>
    </r>
  </si>
  <si>
    <r>
      <rPr>
        <sz val="10"/>
        <rFont val="微软雅黑"/>
        <charset val="134"/>
      </rPr>
      <t>武汉摩尔城集合店</t>
    </r>
  </si>
  <si>
    <r>
      <rPr>
        <sz val="10"/>
        <rFont val="Arial"/>
        <charset val="134"/>
      </rPr>
      <t>江北王家湾摩尔城集合店</t>
    </r>
  </si>
  <si>
    <r>
      <rPr>
        <sz val="10"/>
        <rFont val="微软雅黑"/>
        <charset val="134"/>
      </rPr>
      <t>湖北恒信德龙实业有限公司武汉摩尔在管理分公司</t>
    </r>
  </si>
  <si>
    <r>
      <rPr>
        <sz val="10"/>
        <rFont val="微软雅黑"/>
        <charset val="134"/>
      </rPr>
      <t>武汉市汉阳区龙阳大道特</t>
    </r>
    <r>
      <rPr>
        <sz val="10"/>
        <rFont val="Times New Roman"/>
        <charset val="134"/>
      </rPr>
      <t>6</t>
    </r>
    <r>
      <rPr>
        <sz val="10"/>
        <rFont val="微软雅黑"/>
        <charset val="134"/>
      </rPr>
      <t>号武汉摩尔城二层</t>
    </r>
    <r>
      <rPr>
        <sz val="10"/>
        <rFont val="Times New Roman"/>
        <charset val="134"/>
      </rPr>
      <t>22-008</t>
    </r>
    <r>
      <rPr>
        <sz val="10"/>
        <rFont val="微软雅黑"/>
        <charset val="134"/>
      </rPr>
      <t>号商铺</t>
    </r>
    <r>
      <rPr>
        <sz val="10"/>
        <rFont val="Times New Roman"/>
        <charset val="134"/>
      </rPr>
      <t>(A</t>
    </r>
    <r>
      <rPr>
        <sz val="10"/>
        <rFont val="微软雅黑"/>
        <charset val="134"/>
      </rPr>
      <t>区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</si>
  <si>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2015.10.01-2017.09.30(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:61200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2017.10.01-2019.09.30(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:72720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2019.10.01-2020.09.30(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:85680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  <r>
      <rPr>
        <sz val="10"/>
        <rFont val="微软雅黑"/>
        <charset val="134"/>
      </rPr>
      <t>或月营业额的</t>
    </r>
    <r>
      <rPr>
        <sz val="10"/>
        <rFont val="Times New Roman"/>
        <charset val="134"/>
      </rPr>
      <t>15%</t>
    </r>
  </si>
  <si>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:54000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店庆费</t>
    </r>
    <r>
      <rPr>
        <sz val="10"/>
        <rFont val="Times New Roman"/>
        <charset val="134"/>
      </rPr>
      <t>:5000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年度促销费</t>
    </r>
    <r>
      <rPr>
        <sz val="10"/>
        <rFont val="Times New Roman"/>
        <charset val="134"/>
      </rPr>
      <t>:10000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,</t>
    </r>
  </si>
  <si>
    <r>
      <rPr>
        <sz val="10"/>
        <rFont val="微软雅黑"/>
        <charset val="134"/>
      </rPr>
      <t>黄石</t>
    </r>
  </si>
  <si>
    <r>
      <rPr>
        <sz val="10"/>
        <rFont val="微软雅黑"/>
        <charset val="134"/>
      </rPr>
      <t>黄石新百集合店</t>
    </r>
  </si>
  <si>
    <r>
      <rPr>
        <sz val="10"/>
        <rFont val="微软雅黑"/>
        <charset val="134"/>
      </rPr>
      <t>大金新百百货股份有限公司黄石分公司</t>
    </r>
  </si>
  <si>
    <r>
      <rPr>
        <sz val="10"/>
        <rFont val="微软雅黑"/>
        <charset val="134"/>
      </rPr>
      <t>湖北省黄石市黄石大道</t>
    </r>
    <r>
      <rPr>
        <sz val="10"/>
        <rFont val="Times New Roman"/>
        <charset val="134"/>
      </rPr>
      <t>678</t>
    </r>
    <r>
      <rPr>
        <sz val="10"/>
        <rFont val="微软雅黑"/>
        <charset val="134"/>
      </rPr>
      <t>号大金百货黄石新百商场一楼</t>
    </r>
  </si>
  <si>
    <r>
      <rPr>
        <sz val="10"/>
        <rFont val="Times New Roman"/>
        <charset val="134"/>
      </rPr>
      <t>2015.09.30-2020.06.30(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:1056000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 xml:space="preserve">)        </t>
    </r>
    <r>
      <rPr>
        <sz val="10"/>
        <rFont val="微软雅黑"/>
        <charset val="134"/>
      </rPr>
      <t>营业管理费</t>
    </r>
    <r>
      <rPr>
        <sz val="10"/>
        <rFont val="Times New Roman"/>
        <charset val="134"/>
      </rPr>
      <t>:3000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;</t>
    </r>
    <r>
      <rPr>
        <sz val="10"/>
        <rFont val="微软雅黑"/>
        <charset val="134"/>
      </rPr>
      <t>店庆费</t>
    </r>
    <r>
      <rPr>
        <sz val="10"/>
        <rFont val="Times New Roman"/>
        <charset val="134"/>
      </rPr>
      <t>:5000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;</t>
    </r>
    <r>
      <rPr>
        <sz val="10"/>
        <rFont val="微软雅黑"/>
        <charset val="134"/>
      </rPr>
      <t>刷卡金额</t>
    </r>
    <r>
      <rPr>
        <sz val="10"/>
        <rFont val="Times New Roman"/>
        <charset val="134"/>
      </rPr>
      <t>1%</t>
    </r>
    <r>
      <rPr>
        <sz val="10"/>
        <rFont val="微软雅黑"/>
        <charset val="134"/>
      </rPr>
      <t>外卡手续费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刷卡金额</t>
    </r>
    <r>
      <rPr>
        <sz val="10"/>
        <rFont val="Times New Roman"/>
        <charset val="134"/>
      </rPr>
      <t>2.5%</t>
    </r>
    <r>
      <rPr>
        <sz val="10"/>
        <rFont val="微软雅黑"/>
        <charset val="134"/>
      </rPr>
      <t>内卡手续费</t>
    </r>
    <r>
      <rPr>
        <sz val="10"/>
        <rFont val="Times New Roman"/>
        <charset val="134"/>
      </rPr>
      <t xml:space="preserve">,                   </t>
    </r>
    <r>
      <rPr>
        <sz val="10"/>
        <rFont val="微软雅黑"/>
        <charset val="134"/>
      </rPr>
      <t>第</t>
    </r>
    <r>
      <rPr>
        <sz val="10"/>
        <rFont val="Times New Roman"/>
        <charset val="134"/>
      </rPr>
      <t>4</t>
    </r>
    <r>
      <rPr>
        <sz val="10"/>
        <rFont val="微软雅黑"/>
        <charset val="134"/>
      </rPr>
      <t>年起租金递增</t>
    </r>
    <r>
      <rPr>
        <sz val="10"/>
        <rFont val="Times New Roman"/>
        <charset val="134"/>
      </rPr>
      <t>8%</t>
    </r>
  </si>
  <si>
    <r>
      <rPr>
        <sz val="10"/>
        <rFont val="微软雅黑"/>
        <charset val="134"/>
      </rPr>
      <t>销售年超过</t>
    </r>
    <r>
      <rPr>
        <sz val="10"/>
        <rFont val="Times New Roman"/>
        <charset val="134"/>
      </rPr>
      <t>1000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年加提</t>
    </r>
    <r>
      <rPr>
        <sz val="10"/>
        <rFont val="Times New Roman"/>
        <charset val="134"/>
      </rPr>
      <t>3%</t>
    </r>
    <r>
      <rPr>
        <sz val="10"/>
        <rFont val="微软雅黑"/>
        <charset val="134"/>
      </rPr>
      <t>作为物业管理费</t>
    </r>
  </si>
  <si>
    <t>2016.5.31</t>
  </si>
  <si>
    <r>
      <rPr>
        <sz val="10"/>
        <rFont val="微软雅黑"/>
        <charset val="134"/>
      </rPr>
      <t>武汉壹方集合店</t>
    </r>
  </si>
  <si>
    <r>
      <rPr>
        <sz val="10"/>
        <rFont val="Arial"/>
        <charset val="134"/>
      </rPr>
      <t>江北武汉天地集合店</t>
    </r>
  </si>
  <si>
    <r>
      <rPr>
        <sz val="10"/>
        <rFont val="微软雅黑"/>
        <charset val="134"/>
      </rPr>
      <t>武汉瑞安天地房地产发展有限公司</t>
    </r>
  </si>
  <si>
    <r>
      <rPr>
        <sz val="10"/>
        <rFont val="微软雅黑"/>
        <charset val="134"/>
      </rPr>
      <t>武汉市江岸区中山大道</t>
    </r>
    <r>
      <rPr>
        <sz val="10"/>
        <rFont val="Times New Roman"/>
        <charset val="134"/>
      </rPr>
      <t>1515</t>
    </r>
    <r>
      <rPr>
        <sz val="10"/>
        <rFont val="微软雅黑"/>
        <charset val="134"/>
      </rPr>
      <t>号壹方购物中心</t>
    </r>
    <r>
      <rPr>
        <sz val="10"/>
        <rFont val="Times New Roman"/>
        <charset val="134"/>
      </rPr>
      <t>3</t>
    </r>
    <r>
      <rPr>
        <sz val="10"/>
        <rFont val="微软雅黑"/>
        <charset val="134"/>
      </rPr>
      <t>层商</t>
    </r>
    <r>
      <rPr>
        <sz val="10"/>
        <rFont val="Times New Roman"/>
        <charset val="134"/>
      </rPr>
      <t>1A\1B\44</t>
    </r>
    <r>
      <rPr>
        <sz val="10"/>
        <rFont val="微软雅黑"/>
        <charset val="134"/>
      </rPr>
      <t>室</t>
    </r>
  </si>
  <si>
    <r>
      <rPr>
        <sz val="10"/>
        <rFont val="Times New Roman"/>
        <charset val="134"/>
      </rPr>
      <t>2016.09.17-2017.09.16(</t>
    </r>
    <r>
      <rPr>
        <sz val="10"/>
        <rFont val="微软雅黑"/>
        <charset val="134"/>
      </rPr>
      <t>保底租金</t>
    </r>
    <r>
      <rPr>
        <sz val="10"/>
        <rFont val="Times New Roman"/>
        <charset val="134"/>
      </rPr>
      <t>:0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  2017.09.17-2018.09.16(</t>
    </r>
    <r>
      <rPr>
        <sz val="10"/>
        <rFont val="微软雅黑"/>
        <charset val="134"/>
      </rPr>
      <t>保底租金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为第一年平均提成租金的</t>
    </r>
    <r>
      <rPr>
        <sz val="10"/>
        <rFont val="Times New Roman"/>
        <charset val="134"/>
      </rPr>
      <t>80%)         2018.09.17-2019.09.16(</t>
    </r>
    <r>
      <rPr>
        <sz val="10"/>
        <rFont val="微软雅黑"/>
        <charset val="134"/>
      </rPr>
      <t>保底租金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为第二年平均提成租金的</t>
    </r>
    <r>
      <rPr>
        <sz val="10"/>
        <rFont val="Times New Roman"/>
        <charset val="134"/>
      </rPr>
      <t>80%)                              2019.09.17-2020.09.16(</t>
    </r>
    <r>
      <rPr>
        <sz val="10"/>
        <rFont val="微软雅黑"/>
        <charset val="134"/>
      </rPr>
      <t>保底租金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为第三年平均提成租金的</t>
    </r>
    <r>
      <rPr>
        <sz val="10"/>
        <rFont val="Times New Roman"/>
        <charset val="134"/>
      </rPr>
      <t>80%)                                2020.09.17-2021.09.16(</t>
    </r>
    <r>
      <rPr>
        <sz val="10"/>
        <rFont val="微软雅黑"/>
        <charset val="134"/>
      </rPr>
      <t>保底租金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为第四年平均提成租金的</t>
    </r>
    <r>
      <rPr>
        <sz val="10"/>
        <rFont val="Times New Roman"/>
        <charset val="134"/>
      </rPr>
      <t>80%)                              2021.09.17-2022.09.16(</t>
    </r>
    <r>
      <rPr>
        <sz val="10"/>
        <rFont val="微软雅黑"/>
        <charset val="134"/>
      </rPr>
      <t>保底租金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为第五年平均提成租金的</t>
    </r>
    <r>
      <rPr>
        <sz val="10"/>
        <rFont val="Times New Roman"/>
        <charset val="134"/>
      </rPr>
      <t>80%)                                     2016.09.17-2019.09.16(</t>
    </r>
    <r>
      <rPr>
        <sz val="10"/>
        <rFont val="微软雅黑"/>
        <charset val="134"/>
      </rPr>
      <t>抽成租金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销售额的</t>
    </r>
    <r>
      <rPr>
        <sz val="10"/>
        <rFont val="Times New Roman"/>
        <charset val="134"/>
      </rPr>
      <t>9%)  2019.09.17-2022.09.16(</t>
    </r>
    <r>
      <rPr>
        <sz val="10"/>
        <rFont val="微软雅黑"/>
        <charset val="134"/>
      </rPr>
      <t>抽成租金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销售额的</t>
    </r>
    <r>
      <rPr>
        <sz val="10"/>
        <rFont val="Times New Roman"/>
        <charset val="134"/>
      </rPr>
      <t xml:space="preserve">10%)   </t>
    </r>
    <r>
      <rPr>
        <sz val="10"/>
        <rFont val="微软雅黑"/>
        <charset val="134"/>
      </rPr>
      <t>两者取其高者</t>
    </r>
    <r>
      <rPr>
        <sz val="10"/>
        <rFont val="Times New Roman"/>
        <charset val="134"/>
      </rPr>
      <t xml:space="preserve">                                                                                                                    </t>
    </r>
  </si>
  <si>
    <t>营业额？</t>
  </si>
  <si>
    <r>
      <rPr>
        <sz val="10"/>
        <rFont val="微软雅黑"/>
        <charset val="134"/>
      </rPr>
      <t>推广费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:30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</si>
  <si>
    <r>
      <rPr>
        <sz val="10"/>
        <rFont val="微软雅黑"/>
        <charset val="134"/>
      </rPr>
      <t>武汉壹方万斯店</t>
    </r>
  </si>
  <si>
    <r>
      <rPr>
        <sz val="10"/>
        <rFont val="Arial"/>
        <charset val="134"/>
      </rPr>
      <t>江北武汉天地万斯</t>
    </r>
  </si>
  <si>
    <r>
      <rPr>
        <sz val="10"/>
        <rFont val="微软雅黑"/>
        <charset val="134"/>
      </rPr>
      <t>武汉市江岸区中山大道</t>
    </r>
    <r>
      <rPr>
        <sz val="10"/>
        <rFont val="Times New Roman"/>
        <charset val="134"/>
      </rPr>
      <t>1515</t>
    </r>
    <r>
      <rPr>
        <sz val="10"/>
        <rFont val="微软雅黑"/>
        <charset val="134"/>
      </rPr>
      <t>号壹方购物中心</t>
    </r>
    <r>
      <rPr>
        <sz val="10"/>
        <rFont val="Times New Roman"/>
        <charset val="134"/>
      </rPr>
      <t>3</t>
    </r>
    <r>
      <rPr>
        <sz val="10"/>
        <rFont val="微软雅黑"/>
        <charset val="134"/>
      </rPr>
      <t>层商</t>
    </r>
    <r>
      <rPr>
        <sz val="10"/>
        <rFont val="Times New Roman"/>
        <charset val="134"/>
      </rPr>
      <t>38</t>
    </r>
    <r>
      <rPr>
        <sz val="10"/>
        <rFont val="微软雅黑"/>
        <charset val="134"/>
      </rPr>
      <t>室</t>
    </r>
  </si>
  <si>
    <r>
      <rPr>
        <sz val="10"/>
        <rFont val="Times New Roman"/>
        <charset val="134"/>
      </rPr>
      <t>2016.09.17-2017.09.16(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:6.58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天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平米或当月营业额</t>
    </r>
    <r>
      <rPr>
        <sz val="10"/>
        <rFont val="Times New Roman"/>
        <charset val="134"/>
      </rPr>
      <t>16%</t>
    </r>
    <r>
      <rPr>
        <sz val="10"/>
        <rFont val="微软雅黑"/>
        <charset val="134"/>
      </rPr>
      <t>提取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两者取其高者</t>
    </r>
    <r>
      <rPr>
        <sz val="10"/>
        <rFont val="Times New Roman"/>
        <charset val="134"/>
      </rPr>
      <t>)                    2017.09.17-2018.09.16(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:7.23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天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平米或当月营业额</t>
    </r>
    <r>
      <rPr>
        <sz val="10"/>
        <rFont val="Times New Roman"/>
        <charset val="134"/>
      </rPr>
      <t>16%</t>
    </r>
    <r>
      <rPr>
        <sz val="10"/>
        <rFont val="微软雅黑"/>
        <charset val="134"/>
      </rPr>
      <t>提取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两者取其高者</t>
    </r>
    <r>
      <rPr>
        <sz val="10"/>
        <rFont val="Times New Roman"/>
        <charset val="134"/>
      </rPr>
      <t>)               2018.09.17-2019.09.30(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:7.96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天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平米或当月营业额</t>
    </r>
    <r>
      <rPr>
        <sz val="10"/>
        <rFont val="Times New Roman"/>
        <charset val="134"/>
      </rPr>
      <t>17%</t>
    </r>
    <r>
      <rPr>
        <sz val="10"/>
        <rFont val="微软雅黑"/>
        <charset val="134"/>
      </rPr>
      <t>提取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两者取其高者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</si>
  <si>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推广费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:55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</si>
  <si>
    <t>武汉壹方阿迪生活店</t>
  </si>
  <si>
    <t>江北武汉天地阿迪NEO</t>
  </si>
  <si>
    <t>武汉瑞安天地房地产发展有限公司</t>
  </si>
  <si>
    <t>武汉市江岸区中山大道1515号壹方购物中心3层商41室</t>
  </si>
  <si>
    <r>
      <rPr>
        <sz val="10"/>
        <rFont val="Times New Roman"/>
        <charset val="134"/>
      </rPr>
      <t>2017.11.1-2018.09.30(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:10.85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天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
2018.10.1-2019.09.30(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:11.93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天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
2019.10.1-2020.09.30(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:13.12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天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 xml:space="preserve">)
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=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*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1+5%</t>
    </r>
    <r>
      <rPr>
        <sz val="10"/>
        <rFont val="宋体"/>
        <charset val="134"/>
      </rPr>
      <t>）</t>
    </r>
    <r>
      <rPr>
        <sz val="10"/>
        <rFont val="Times New Roman"/>
        <charset val="134"/>
      </rPr>
      <t xml:space="preserve">                                                           2017.4.28-2018.4.27</t>
    </r>
    <r>
      <rPr>
        <sz val="10"/>
        <rFont val="宋体"/>
        <charset val="134"/>
      </rPr>
      <t>（当月营业额</t>
    </r>
    <r>
      <rPr>
        <sz val="10"/>
        <rFont val="Times New Roman"/>
        <charset val="134"/>
      </rPr>
      <t>16%</t>
    </r>
    <r>
      <rPr>
        <sz val="10"/>
        <rFont val="宋体"/>
        <charset val="134"/>
      </rPr>
      <t xml:space="preserve">提取）
</t>
    </r>
    <r>
      <rPr>
        <sz val="10"/>
        <rFont val="Times New Roman"/>
        <charset val="134"/>
      </rPr>
      <t>2018.4.28-2019.4.27</t>
    </r>
    <r>
      <rPr>
        <sz val="10"/>
        <rFont val="宋体"/>
        <charset val="134"/>
      </rPr>
      <t>（当月营业额</t>
    </r>
    <r>
      <rPr>
        <sz val="10"/>
        <rFont val="Times New Roman"/>
        <charset val="134"/>
      </rPr>
      <t>17%</t>
    </r>
    <r>
      <rPr>
        <sz val="10"/>
        <rFont val="宋体"/>
        <charset val="134"/>
      </rPr>
      <t xml:space="preserve">提取）
</t>
    </r>
    <r>
      <rPr>
        <sz val="10"/>
        <rFont val="Times New Roman"/>
        <charset val="134"/>
      </rPr>
      <t>2019.4.28-2020.4.27</t>
    </r>
    <r>
      <rPr>
        <sz val="10"/>
        <rFont val="宋体"/>
        <charset val="134"/>
      </rPr>
      <t>（当月营业额</t>
    </r>
    <r>
      <rPr>
        <sz val="10"/>
        <rFont val="Times New Roman"/>
        <charset val="134"/>
      </rPr>
      <t>18%</t>
    </r>
    <r>
      <rPr>
        <sz val="10"/>
        <rFont val="宋体"/>
        <charset val="134"/>
      </rPr>
      <t>提取）
两者取其高者</t>
    </r>
  </si>
  <si>
    <r>
      <rPr>
        <sz val="10"/>
        <rFont val="宋体"/>
        <charset val="134"/>
      </rPr>
      <t>物业管理费：</t>
    </r>
    <r>
      <rPr>
        <sz val="10"/>
        <rFont val="Times New Roman"/>
        <charset val="134"/>
      </rPr>
      <t>63.6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平米，</t>
    </r>
    <r>
      <rPr>
        <sz val="10"/>
        <rFont val="Times New Roman"/>
        <charset val="134"/>
      </rPr>
      <t>18451.63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</si>
  <si>
    <r>
      <rPr>
        <sz val="10"/>
        <rFont val="微软雅黑"/>
        <charset val="134"/>
      </rPr>
      <t>黄石万达广场耐克</t>
    </r>
    <r>
      <rPr>
        <sz val="10"/>
        <rFont val="Times New Roman"/>
        <charset val="134"/>
      </rPr>
      <t>360</t>
    </r>
    <r>
      <rPr>
        <sz val="10"/>
        <rFont val="微软雅黑"/>
        <charset val="134"/>
      </rPr>
      <t>店</t>
    </r>
  </si>
  <si>
    <r>
      <rPr>
        <sz val="10"/>
        <rFont val="Arial"/>
        <charset val="134"/>
      </rPr>
      <t>黄石万达耐克</t>
    </r>
    <r>
      <rPr>
        <sz val="10"/>
        <rFont val="Times New Roman"/>
        <charset val="134"/>
      </rPr>
      <t>360</t>
    </r>
  </si>
  <si>
    <r>
      <rPr>
        <sz val="10"/>
        <rFont val="微软雅黑"/>
        <charset val="134"/>
      </rPr>
      <t>黄石万达广场投资有限公司</t>
    </r>
  </si>
  <si>
    <r>
      <rPr>
        <sz val="10"/>
        <rFont val="微软雅黑"/>
        <charset val="134"/>
      </rPr>
      <t>黄石市黄石万达广场购物中心室内步行街一层</t>
    </r>
    <r>
      <rPr>
        <sz val="10"/>
        <rFont val="Times New Roman"/>
        <charset val="134"/>
      </rPr>
      <t>1015</t>
    </r>
    <r>
      <rPr>
        <sz val="10"/>
        <rFont val="微软雅黑"/>
        <charset val="134"/>
      </rPr>
      <t>号商铺</t>
    </r>
  </si>
  <si>
    <r>
      <rPr>
        <sz val="10"/>
        <rFont val="Times New Roman"/>
        <charset val="134"/>
      </rPr>
      <t>2016.02.25-2018.02.24(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:25480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2018.02.25-2018.04.02(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:27263.60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</si>
  <si>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2016.02.25-2018.02.24(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:5005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</si>
  <si>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湖北杰之行</t>
    </r>
  </si>
  <si>
    <r>
      <rPr>
        <sz val="10"/>
        <rFont val="宋体"/>
        <charset val="134"/>
      </rPr>
      <t>零售</t>
    </r>
  </si>
  <si>
    <r>
      <rPr>
        <sz val="10"/>
        <rFont val="宋体"/>
        <charset val="134"/>
      </rPr>
      <t>集合店</t>
    </r>
  </si>
  <si>
    <r>
      <rPr>
        <sz val="9"/>
        <rFont val="微软雅黑"/>
        <charset val="134"/>
      </rPr>
      <t>同学广场集合店</t>
    </r>
  </si>
  <si>
    <r>
      <rPr>
        <sz val="9"/>
        <rFont val="微软雅黑"/>
        <charset val="134"/>
      </rPr>
      <t>武汉圣淘沙实业有限公司</t>
    </r>
  </si>
  <si>
    <r>
      <rPr>
        <sz val="9"/>
        <rFont val="微软雅黑"/>
        <charset val="134"/>
      </rPr>
      <t>武汉市洪山区民族大道</t>
    </r>
    <r>
      <rPr>
        <sz val="9"/>
        <rFont val="Times New Roman"/>
        <charset val="134"/>
      </rPr>
      <t>219</t>
    </r>
    <r>
      <rPr>
        <sz val="9"/>
        <rFont val="微软雅黑"/>
        <charset val="134"/>
      </rPr>
      <t>号</t>
    </r>
    <r>
      <rPr>
        <sz val="9"/>
        <rFont val="Times New Roman"/>
        <charset val="134"/>
      </rPr>
      <t>“</t>
    </r>
    <r>
      <rPr>
        <sz val="9"/>
        <rFont val="微软雅黑"/>
        <charset val="134"/>
      </rPr>
      <t>同学广场</t>
    </r>
    <r>
      <rPr>
        <sz val="9"/>
        <rFont val="Times New Roman"/>
        <charset val="134"/>
      </rPr>
      <t>”1</t>
    </r>
    <r>
      <rPr>
        <sz val="9"/>
        <rFont val="微软雅黑"/>
        <charset val="134"/>
      </rPr>
      <t>层及</t>
    </r>
    <r>
      <rPr>
        <sz val="9"/>
        <rFont val="Times New Roman"/>
        <charset val="134"/>
      </rPr>
      <t>2</t>
    </r>
    <r>
      <rPr>
        <sz val="9"/>
        <rFont val="微软雅黑"/>
        <charset val="134"/>
      </rPr>
      <t>层</t>
    </r>
    <r>
      <rPr>
        <sz val="9"/>
        <rFont val="Times New Roman"/>
        <charset val="134"/>
      </rPr>
      <t>1F-056/2F-050</t>
    </r>
  </si>
  <si>
    <r>
      <rPr>
        <sz val="9"/>
        <rFont val="Times New Roman"/>
        <charset val="134"/>
      </rPr>
      <t>201612.31-2017.12.30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97980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月）</t>
    </r>
    <r>
      <rPr>
        <sz val="9"/>
        <rFont val="Times New Roman"/>
        <charset val="134"/>
      </rPr>
      <t xml:space="preserve">  2017.12.31-2018.12.30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117150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月）</t>
    </r>
    <r>
      <rPr>
        <sz val="9"/>
        <rFont val="Times New Roman"/>
        <charset val="134"/>
      </rPr>
      <t xml:space="preserve">  2018.12.31-2019.12.30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127800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月）</t>
    </r>
    <r>
      <rPr>
        <sz val="9"/>
        <rFont val="Times New Roman"/>
        <charset val="134"/>
      </rPr>
      <t xml:space="preserve"> 2019.12.31-2022.12.30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141666.67</t>
    </r>
    <r>
      <rPr>
        <sz val="9"/>
        <rFont val="微软雅黑"/>
        <charset val="134"/>
      </rPr>
      <t>）</t>
    </r>
    <r>
      <rPr>
        <sz val="9"/>
        <rFont val="Times New Roman"/>
        <charset val="134"/>
      </rPr>
      <t xml:space="preserve"> 2022.12.31-2026.12.30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155000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月）</t>
    </r>
    <r>
      <rPr>
        <sz val="9"/>
        <rFont val="Times New Roman"/>
        <charset val="134"/>
      </rPr>
      <t xml:space="preserve"> </t>
    </r>
    <r>
      <rPr>
        <sz val="9"/>
        <rFont val="微软雅黑"/>
        <charset val="134"/>
      </rPr>
      <t>抽成租金：年销售</t>
    </r>
    <r>
      <rPr>
        <sz val="9"/>
        <rFont val="Times New Roman"/>
        <charset val="134"/>
      </rPr>
      <t>1200</t>
    </r>
    <r>
      <rPr>
        <sz val="9"/>
        <rFont val="微软雅黑"/>
        <charset val="134"/>
      </rPr>
      <t>万，超出部分按照</t>
    </r>
    <r>
      <rPr>
        <sz val="9"/>
        <rFont val="Times New Roman"/>
        <charset val="134"/>
      </rPr>
      <t>15%</t>
    </r>
    <r>
      <rPr>
        <sz val="9"/>
        <rFont val="微软雅黑"/>
        <charset val="134"/>
      </rPr>
      <t>收取抽成租金）</t>
    </r>
  </si>
  <si>
    <r>
      <rPr>
        <sz val="10"/>
        <rFont val="Arial"/>
        <charset val="134"/>
      </rPr>
      <t>月度租赁费中：</t>
    </r>
    <r>
      <rPr>
        <sz val="10"/>
        <rFont val="Times New Roman"/>
        <charset val="134"/>
      </rPr>
      <t>60%</t>
    </r>
    <r>
      <rPr>
        <sz val="10"/>
        <rFont val="Arial"/>
        <charset val="134"/>
      </rPr>
      <t>为物业管理费</t>
    </r>
    <r>
      <rPr>
        <sz val="10"/>
        <rFont val="Times New Roman"/>
        <charset val="134"/>
      </rPr>
      <t xml:space="preserve">   40%</t>
    </r>
    <r>
      <rPr>
        <sz val="10"/>
        <rFont val="Arial"/>
        <charset val="134"/>
      </rPr>
      <t>为店铺租金</t>
    </r>
  </si>
  <si>
    <t>未开</t>
  </si>
  <si>
    <r>
      <rPr>
        <sz val="10"/>
        <rFont val="宋体"/>
        <charset val="134"/>
      </rPr>
      <t>地铺店</t>
    </r>
  </si>
  <si>
    <r>
      <rPr>
        <sz val="9"/>
        <rFont val="微软雅黑"/>
        <charset val="134"/>
      </rPr>
      <t>古田凯德</t>
    </r>
  </si>
  <si>
    <r>
      <rPr>
        <sz val="9"/>
        <rFont val="微软雅黑"/>
        <charset val="134"/>
      </rPr>
      <t>江北古田凯德</t>
    </r>
  </si>
  <si>
    <r>
      <rPr>
        <sz val="9"/>
        <rFont val="微软雅黑"/>
        <charset val="134"/>
      </rPr>
      <t>武汉凯德古田商业职业有限公司</t>
    </r>
  </si>
  <si>
    <r>
      <rPr>
        <sz val="9"/>
        <rFont val="微软雅黑"/>
        <charset val="134"/>
      </rPr>
      <t>武汉市硚口区解放大道</t>
    </r>
    <r>
      <rPr>
        <sz val="9"/>
        <rFont val="Times New Roman"/>
        <charset val="134"/>
      </rPr>
      <t>18</t>
    </r>
    <r>
      <rPr>
        <sz val="9"/>
        <rFont val="微软雅黑"/>
        <charset val="134"/>
      </rPr>
      <t>号</t>
    </r>
    <r>
      <rPr>
        <sz val="9"/>
        <rFont val="Times New Roman"/>
        <charset val="134"/>
      </rPr>
      <t>1</t>
    </r>
    <r>
      <rPr>
        <sz val="9"/>
        <rFont val="微软雅黑"/>
        <charset val="134"/>
      </rPr>
      <t>层</t>
    </r>
    <r>
      <rPr>
        <sz val="9"/>
        <rFont val="Times New Roman"/>
        <charset val="134"/>
      </rPr>
      <t>06/07</t>
    </r>
    <r>
      <rPr>
        <sz val="9"/>
        <rFont val="微软雅黑"/>
        <charset val="134"/>
      </rPr>
      <t>号</t>
    </r>
  </si>
  <si>
    <r>
      <rPr>
        <sz val="9"/>
        <rFont val="微软雅黑"/>
        <charset val="134"/>
      </rPr>
      <t>第一年固定租金</t>
    </r>
    <r>
      <rPr>
        <sz val="9"/>
        <rFont val="Times New Roman"/>
        <charset val="134"/>
      </rPr>
      <t>:236.40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月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平米，抽成租金</t>
    </r>
    <r>
      <rPr>
        <sz val="9"/>
        <rFont val="Times New Roman"/>
        <charset val="134"/>
      </rPr>
      <t>:</t>
    </r>
    <r>
      <rPr>
        <sz val="9"/>
        <rFont val="微软雅黑"/>
        <charset val="134"/>
      </rPr>
      <t>月营业额的</t>
    </r>
    <r>
      <rPr>
        <sz val="9"/>
        <rFont val="Times New Roman"/>
        <charset val="134"/>
      </rPr>
      <t>16%</t>
    </r>
    <r>
      <rPr>
        <sz val="9"/>
        <rFont val="微软雅黑"/>
        <charset val="134"/>
      </rPr>
      <t>，
第二年固定租金</t>
    </r>
    <r>
      <rPr>
        <sz val="9"/>
        <rFont val="Times New Roman"/>
        <charset val="134"/>
      </rPr>
      <t>:260.40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月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平米，抽成租金</t>
    </r>
    <r>
      <rPr>
        <sz val="9"/>
        <rFont val="Times New Roman"/>
        <charset val="134"/>
      </rPr>
      <t>:</t>
    </r>
    <r>
      <rPr>
        <sz val="9"/>
        <rFont val="微软雅黑"/>
        <charset val="134"/>
      </rPr>
      <t>月营业额的</t>
    </r>
    <r>
      <rPr>
        <sz val="9"/>
        <rFont val="Times New Roman"/>
        <charset val="134"/>
      </rPr>
      <t xml:space="preserve">17%
</t>
    </r>
    <r>
      <rPr>
        <sz val="9"/>
        <rFont val="微软雅黑"/>
        <charset val="134"/>
      </rPr>
      <t>第三年固定租金</t>
    </r>
    <r>
      <rPr>
        <sz val="9"/>
        <rFont val="Times New Roman"/>
        <charset val="134"/>
      </rPr>
      <t>:286.40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月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平米，抽成租金</t>
    </r>
    <r>
      <rPr>
        <sz val="9"/>
        <rFont val="Times New Roman"/>
        <charset val="134"/>
      </rPr>
      <t>:</t>
    </r>
    <r>
      <rPr>
        <sz val="9"/>
        <rFont val="微软雅黑"/>
        <charset val="134"/>
      </rPr>
      <t>月营业额的</t>
    </r>
    <r>
      <rPr>
        <sz val="9"/>
        <rFont val="Times New Roman"/>
        <charset val="134"/>
      </rPr>
      <t>18%</t>
    </r>
  </si>
  <si>
    <r>
      <rPr>
        <sz val="10"/>
        <rFont val="Times New Roman"/>
        <charset val="134"/>
      </rPr>
      <t>63.6</t>
    </r>
    <r>
      <rPr>
        <sz val="10"/>
        <rFont val="Arial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Arial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Arial"/>
        <charset val="134"/>
      </rPr>
      <t>平米</t>
    </r>
  </si>
  <si>
    <r>
      <rPr>
        <sz val="10"/>
        <rFont val="Arial"/>
        <charset val="134"/>
      </rPr>
      <t>江南光谷世界城集合店</t>
    </r>
  </si>
  <si>
    <r>
      <rPr>
        <sz val="10"/>
        <rFont val="Arial"/>
        <charset val="134"/>
      </rPr>
      <t>湖北杰之行</t>
    </r>
  </si>
  <si>
    <r>
      <rPr>
        <sz val="10"/>
        <rFont val="Arial"/>
        <charset val="134"/>
      </rPr>
      <t>武汉市世界城广场商业管理有限公司</t>
    </r>
  </si>
  <si>
    <r>
      <rPr>
        <sz val="10"/>
        <rFont val="Arial"/>
        <charset val="134"/>
      </rPr>
      <t>武汉市东湖新技术开发区珞瑜路世界城广场</t>
    </r>
    <r>
      <rPr>
        <sz val="10"/>
        <rFont val="Times New Roman"/>
        <charset val="134"/>
      </rPr>
      <t>341-343#</t>
    </r>
  </si>
  <si>
    <r>
      <rPr>
        <sz val="10"/>
        <rFont val="Times New Roman"/>
        <charset val="134"/>
      </rPr>
      <t xml:space="preserve">2014.10.01-2015.09.30 </t>
    </r>
    <r>
      <rPr>
        <sz val="10"/>
        <rFont val="宋体"/>
        <charset val="134"/>
      </rPr>
      <t>租金：</t>
    </r>
    <r>
      <rPr>
        <sz val="10"/>
        <rFont val="Times New Roman"/>
        <charset val="134"/>
      </rPr>
      <t>765720/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物业及推广：</t>
    </r>
    <r>
      <rPr>
        <sz val="10"/>
        <rFont val="Times New Roman"/>
        <charset val="134"/>
      </rPr>
      <t>153144/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                                 2015.10.01-2016.09.30 </t>
    </r>
    <r>
      <rPr>
        <sz val="10"/>
        <rFont val="宋体"/>
        <charset val="134"/>
      </rPr>
      <t>租金：</t>
    </r>
    <r>
      <rPr>
        <sz val="10"/>
        <rFont val="Times New Roman"/>
        <charset val="134"/>
      </rPr>
      <t>826980/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物业及推广：</t>
    </r>
    <r>
      <rPr>
        <sz val="10"/>
        <rFont val="Times New Roman"/>
        <charset val="134"/>
      </rPr>
      <t>153144/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                                            2016.10.01-2017.09.30 </t>
    </r>
    <r>
      <rPr>
        <sz val="10"/>
        <rFont val="宋体"/>
        <charset val="134"/>
      </rPr>
      <t>租金：</t>
    </r>
    <r>
      <rPr>
        <sz val="10"/>
        <rFont val="Times New Roman"/>
        <charset val="134"/>
      </rPr>
      <t>908652/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物业及推广：</t>
    </r>
    <r>
      <rPr>
        <sz val="10"/>
        <rFont val="Times New Roman"/>
        <charset val="134"/>
      </rPr>
      <t>153144/</t>
    </r>
    <r>
      <rPr>
        <sz val="10"/>
        <rFont val="宋体"/>
        <charset val="134"/>
      </rPr>
      <t>年</t>
    </r>
  </si>
  <si>
    <r>
      <rPr>
        <sz val="9"/>
        <rFont val="宋体"/>
        <charset val="134"/>
      </rPr>
      <t>关店</t>
    </r>
  </si>
  <si>
    <r>
      <rPr>
        <sz val="10"/>
        <rFont val="微软雅黑"/>
        <charset val="134"/>
      </rPr>
      <t>孝感</t>
    </r>
  </si>
  <si>
    <r>
      <rPr>
        <sz val="10"/>
        <rFont val="微软雅黑"/>
        <charset val="134"/>
      </rPr>
      <t>孝感城站路李宁</t>
    </r>
  </si>
  <si>
    <r>
      <rPr>
        <sz val="10"/>
        <rFont val="微软雅黑"/>
        <charset val="134"/>
      </rPr>
      <t>孝感市勤奋服务中心</t>
    </r>
  </si>
  <si>
    <r>
      <rPr>
        <sz val="10"/>
        <rFont val="微软雅黑"/>
        <charset val="134"/>
      </rPr>
      <t>孝感市城站路</t>
    </r>
    <r>
      <rPr>
        <sz val="10"/>
        <rFont val="Times New Roman"/>
        <charset val="134"/>
      </rPr>
      <t>26</t>
    </r>
    <r>
      <rPr>
        <sz val="10"/>
        <rFont val="微软雅黑"/>
        <charset val="134"/>
      </rPr>
      <t>号（孝感市城站路小天桥南门面两间及二楼）</t>
    </r>
  </si>
  <si>
    <r>
      <rPr>
        <sz val="10"/>
        <rFont val="Times New Roman"/>
        <charset val="134"/>
      </rPr>
      <t>2015.05.01-2016.02.14(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:9.8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                       2016.02.15-2019.02.14(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:9.8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</si>
  <si>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t>湖北孝城控股集团安华资产管理有限公司</t>
  </si>
  <si>
    <t>2017.9.18-2019.2.14(租金:9.8万元/年)</t>
  </si>
  <si>
    <r>
      <rPr>
        <sz val="10"/>
        <rFont val="微软雅黑"/>
        <charset val="134"/>
      </rPr>
      <t>孝感新概念运动城</t>
    </r>
  </si>
  <si>
    <r>
      <rPr>
        <sz val="10"/>
        <rFont val="Arial"/>
        <charset val="134"/>
      </rPr>
      <t>孝感新概念集合店</t>
    </r>
  </si>
  <si>
    <r>
      <rPr>
        <sz val="10"/>
        <rFont val="微软雅黑"/>
        <charset val="134"/>
      </rPr>
      <t>孝感市文昌中学</t>
    </r>
  </si>
  <si>
    <r>
      <rPr>
        <sz val="10"/>
        <rFont val="微软雅黑"/>
        <charset val="134"/>
      </rPr>
      <t>孝感市文化路</t>
    </r>
    <r>
      <rPr>
        <sz val="10"/>
        <rFont val="Times New Roman"/>
        <charset val="134"/>
      </rPr>
      <t>166</t>
    </r>
    <r>
      <rPr>
        <sz val="10"/>
        <rFont val="微软雅黑"/>
        <charset val="134"/>
      </rPr>
      <t>号（孝感市文昌中学文化路街面门面）</t>
    </r>
  </si>
  <si>
    <r>
      <rPr>
        <sz val="10"/>
        <rFont val="Times New Roman"/>
        <charset val="134"/>
      </rPr>
      <t>2015.05.01-2023.08.17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1400000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                            </t>
    </r>
    <r>
      <rPr>
        <sz val="10"/>
        <rFont val="微软雅黑"/>
        <charset val="134"/>
      </rPr>
      <t>分三次提前支付</t>
    </r>
    <r>
      <rPr>
        <sz val="10"/>
        <rFont val="Times New Roman"/>
        <charset val="134"/>
      </rPr>
      <t>600</t>
    </r>
    <r>
      <rPr>
        <sz val="10"/>
        <rFont val="微软雅黑"/>
        <charset val="134"/>
      </rPr>
      <t>万，每季度支付</t>
    </r>
    <r>
      <rPr>
        <sz val="10"/>
        <rFont val="Times New Roman"/>
        <charset val="134"/>
      </rPr>
      <t>20</t>
    </r>
    <r>
      <rPr>
        <sz val="10"/>
        <rFont val="微软雅黑"/>
        <charset val="134"/>
      </rPr>
      <t>万房租</t>
    </r>
  </si>
  <si>
    <r>
      <rPr>
        <sz val="10"/>
        <rFont val="微软雅黑"/>
        <charset val="134"/>
      </rPr>
      <t>孝感文化广场运动城</t>
    </r>
  </si>
  <si>
    <r>
      <rPr>
        <sz val="10"/>
        <rFont val="宋体"/>
        <charset val="134"/>
      </rPr>
      <t>孝感文化广场阿迪</t>
    </r>
  </si>
  <si>
    <r>
      <rPr>
        <sz val="10"/>
        <rFont val="微软雅黑"/>
        <charset val="134"/>
      </rPr>
      <t>杨少平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李萍</t>
    </r>
  </si>
  <si>
    <r>
      <rPr>
        <sz val="10"/>
        <rFont val="微软雅黑"/>
        <charset val="134"/>
      </rPr>
      <t>孝感市文化路</t>
    </r>
    <r>
      <rPr>
        <sz val="10"/>
        <rFont val="Times New Roman"/>
        <charset val="134"/>
      </rPr>
      <t>2</t>
    </r>
    <r>
      <rPr>
        <sz val="10"/>
        <rFont val="微软雅黑"/>
        <charset val="134"/>
      </rPr>
      <t>号宇济文化广场的商用房</t>
    </r>
    <r>
      <rPr>
        <sz val="10"/>
        <rFont val="Times New Roman"/>
        <charset val="134"/>
      </rPr>
      <t>102#\202#\302#\103#\203#\303#</t>
    </r>
  </si>
  <si>
    <r>
      <rPr>
        <sz val="10"/>
        <rFont val="Times New Roman"/>
        <charset val="134"/>
      </rPr>
      <t>2015.05.01-2017.12.30(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:50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  <r>
      <rPr>
        <sz val="10"/>
        <rFont val="微软雅黑"/>
        <charset val="134"/>
      </rPr>
      <t>合同签订时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租金已支付到</t>
    </r>
    <r>
      <rPr>
        <sz val="10"/>
        <rFont val="Times New Roman"/>
        <charset val="134"/>
      </rPr>
      <t>2015.09.30,2015.09.01</t>
    </r>
    <r>
      <rPr>
        <sz val="10"/>
        <rFont val="微软雅黑"/>
        <charset val="134"/>
      </rPr>
      <t>前支付</t>
    </r>
    <r>
      <rPr>
        <sz val="10"/>
        <rFont val="Times New Roman"/>
        <charset val="134"/>
      </rPr>
      <t>2015.10.01-2016.09.30</t>
    </r>
    <r>
      <rPr>
        <sz val="10"/>
        <rFont val="微软雅黑"/>
        <charset val="134"/>
      </rPr>
      <t>的房租</t>
    </r>
    <r>
      <rPr>
        <sz val="10"/>
        <rFont val="Times New Roman"/>
        <charset val="134"/>
      </rPr>
      <t>50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,2016.09.01</t>
    </r>
    <r>
      <rPr>
        <sz val="10"/>
        <rFont val="微软雅黑"/>
        <charset val="134"/>
      </rPr>
      <t>前支付</t>
    </r>
    <r>
      <rPr>
        <sz val="10"/>
        <rFont val="Times New Roman"/>
        <charset val="134"/>
      </rPr>
      <t>2016.10.01-2017.12.30</t>
    </r>
    <r>
      <rPr>
        <sz val="10"/>
        <rFont val="微软雅黑"/>
        <charset val="134"/>
      </rPr>
      <t>的房租</t>
    </r>
    <r>
      <rPr>
        <sz val="10"/>
        <rFont val="Times New Roman"/>
        <charset val="134"/>
      </rPr>
      <t>62.5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,</t>
    </r>
  </si>
  <si>
    <t>是否续租？续租租金</t>
  </si>
  <si>
    <t>孝感宇济文化广场</t>
  </si>
  <si>
    <t>孝感宇济文化广场运动城</t>
  </si>
  <si>
    <t>严雄武</t>
  </si>
  <si>
    <t>孝感文化路2号宇济广场一楼104.105号房屋</t>
  </si>
  <si>
    <r>
      <rPr>
        <sz val="10"/>
        <rFont val="Times New Roman"/>
        <charset val="134"/>
      </rPr>
      <t>2017.10.1-2020.9.30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2000000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年）三年一次性付清</t>
    </r>
  </si>
  <si>
    <r>
      <rPr>
        <sz val="10"/>
        <rFont val="微软雅黑"/>
        <charset val="134"/>
      </rPr>
      <t>荆州</t>
    </r>
  </si>
  <si>
    <r>
      <rPr>
        <sz val="10"/>
        <rFont val="微软雅黑"/>
        <charset val="134"/>
      </rPr>
      <t>荆州旗舰李宁</t>
    </r>
  </si>
  <si>
    <r>
      <rPr>
        <sz val="10"/>
        <rFont val="微软雅黑"/>
        <charset val="134"/>
      </rPr>
      <t>陈刚</t>
    </r>
  </si>
  <si>
    <r>
      <rPr>
        <sz val="10"/>
        <rFont val="微软雅黑"/>
        <charset val="134"/>
      </rPr>
      <t>沙市区北京路沙市饭店</t>
    </r>
    <r>
      <rPr>
        <sz val="10"/>
        <rFont val="Times New Roman"/>
        <charset val="134"/>
      </rPr>
      <t>235-1</t>
    </r>
    <r>
      <rPr>
        <sz val="10"/>
        <rFont val="微软雅黑"/>
        <charset val="134"/>
      </rPr>
      <t>号北面临街门店</t>
    </r>
    <r>
      <rPr>
        <sz val="10"/>
        <rFont val="Times New Roman"/>
        <charset val="134"/>
      </rPr>
      <t>1-2</t>
    </r>
    <r>
      <rPr>
        <sz val="10"/>
        <rFont val="微软雅黑"/>
        <charset val="134"/>
      </rPr>
      <t>楼</t>
    </r>
  </si>
  <si>
    <r>
      <rPr>
        <sz val="10"/>
        <rFont val="Times New Roman"/>
        <charset val="134"/>
      </rPr>
      <t>2015.07.01-2019.12.31(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:65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</si>
  <si>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荆州广源大厦耐克</t>
    </r>
    <r>
      <rPr>
        <sz val="10"/>
        <rFont val="Times New Roman"/>
        <charset val="134"/>
      </rPr>
      <t>360</t>
    </r>
  </si>
  <si>
    <r>
      <rPr>
        <sz val="10"/>
        <rFont val="Arial"/>
        <charset val="134"/>
      </rPr>
      <t>荆州广源耐克</t>
    </r>
  </si>
  <si>
    <r>
      <rPr>
        <sz val="10"/>
        <rFont val="微软雅黑"/>
        <charset val="134"/>
      </rPr>
      <t>王东林</t>
    </r>
  </si>
  <si>
    <r>
      <rPr>
        <sz val="10"/>
        <rFont val="微软雅黑"/>
        <charset val="134"/>
      </rPr>
      <t>荆州市广源商城物业共二层，（一层</t>
    </r>
    <r>
      <rPr>
        <sz val="10"/>
        <rFont val="Times New Roman"/>
        <charset val="134"/>
      </rPr>
      <t>177</t>
    </r>
    <r>
      <rPr>
        <sz val="10"/>
        <rFont val="微软雅黑"/>
        <charset val="134"/>
      </rPr>
      <t>平方米，二层</t>
    </r>
    <r>
      <rPr>
        <sz val="10"/>
        <rFont val="Times New Roman"/>
        <charset val="134"/>
      </rPr>
      <t>380</t>
    </r>
    <r>
      <rPr>
        <sz val="10"/>
        <rFont val="微软雅黑"/>
        <charset val="134"/>
      </rPr>
      <t>平方米）</t>
    </r>
  </si>
  <si>
    <r>
      <rPr>
        <sz val="10"/>
        <rFont val="Times New Roman"/>
        <charset val="134"/>
      </rPr>
      <t>2015.05.01-2019.08.14(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:50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</si>
  <si>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张勇</t>
    </r>
  </si>
  <si>
    <r>
      <rPr>
        <sz val="10"/>
        <rFont val="Times New Roman"/>
        <charset val="134"/>
      </rPr>
      <t>2015.05.01-2019.08.14(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:90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</si>
  <si>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荆州广源大厦李宁</t>
    </r>
  </si>
  <si>
    <r>
      <rPr>
        <sz val="10"/>
        <rFont val="微软雅黑"/>
        <charset val="134"/>
      </rPr>
      <t>荆州市杰之行</t>
    </r>
  </si>
  <si>
    <r>
      <rPr>
        <sz val="10"/>
        <rFont val="微软雅黑"/>
        <charset val="134"/>
      </rPr>
      <t>荆州市沙市区北京中路广源大厦一楼</t>
    </r>
  </si>
  <si>
    <r>
      <rPr>
        <sz val="10"/>
        <rFont val="Times New Roman"/>
        <charset val="134"/>
      </rPr>
      <t>2015.07.01-2016.12.31(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:100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                    2017.01.01-2017.12.31(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:150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</si>
  <si>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t>是否续租</t>
  </si>
  <si>
    <r>
      <rPr>
        <sz val="10"/>
        <rFont val="微软雅黑"/>
        <charset val="134"/>
      </rPr>
      <t>荆州金石耐克店</t>
    </r>
  </si>
  <si>
    <r>
      <rPr>
        <sz val="10"/>
        <rFont val="Arial"/>
        <charset val="134"/>
      </rPr>
      <t>荆州金石耐克鞋店</t>
    </r>
  </si>
  <si>
    <r>
      <rPr>
        <sz val="10"/>
        <rFont val="微软雅黑"/>
        <charset val="134"/>
      </rPr>
      <t>金毅</t>
    </r>
  </si>
  <si>
    <r>
      <rPr>
        <sz val="10"/>
        <rFont val="微软雅黑"/>
        <charset val="134"/>
      </rPr>
      <t>沙市北京中路</t>
    </r>
    <r>
      <rPr>
        <sz val="10"/>
        <rFont val="Times New Roman"/>
        <charset val="134"/>
      </rPr>
      <t>219</t>
    </r>
    <r>
      <rPr>
        <sz val="10"/>
        <rFont val="微软雅黑"/>
        <charset val="134"/>
      </rPr>
      <t>号店堂</t>
    </r>
    <r>
      <rPr>
        <sz val="10"/>
        <rFont val="Times New Roman"/>
        <charset val="134"/>
      </rPr>
      <t>(</t>
    </r>
    <r>
      <rPr>
        <sz val="10"/>
        <rFont val="微软雅黑"/>
        <charset val="134"/>
      </rPr>
      <t>金石商场西边第一间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</si>
  <si>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2015.08.16-2016.08.15(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:15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                2016.08.16-2019.08.15(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:15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</si>
  <si>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荆州小南洋耐克、阿迪</t>
    </r>
  </si>
  <si>
    <r>
      <rPr>
        <sz val="10"/>
        <rFont val="Arial"/>
        <charset val="134"/>
      </rPr>
      <t>荆州小南洋耐克店</t>
    </r>
  </si>
  <si>
    <r>
      <rPr>
        <sz val="10"/>
        <rFont val="Arial"/>
        <charset val="134"/>
      </rPr>
      <t>万四平</t>
    </r>
  </si>
  <si>
    <r>
      <rPr>
        <sz val="10"/>
        <rFont val="微软雅黑"/>
        <charset val="134"/>
      </rPr>
      <t>陈源信</t>
    </r>
  </si>
  <si>
    <r>
      <rPr>
        <sz val="10"/>
        <rFont val="微软雅黑"/>
        <charset val="134"/>
      </rPr>
      <t>沙市北京路</t>
    </r>
    <r>
      <rPr>
        <sz val="10"/>
        <rFont val="Times New Roman"/>
        <charset val="134"/>
      </rPr>
      <t>207</t>
    </r>
    <r>
      <rPr>
        <sz val="10"/>
        <rFont val="微软雅黑"/>
        <charset val="134"/>
      </rPr>
      <t>号一、二楼</t>
    </r>
  </si>
  <si>
    <r>
      <rPr>
        <sz val="10"/>
        <rFont val="Times New Roman"/>
        <charset val="134"/>
      </rPr>
      <t>2015.07.19-2016.03.18(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:666667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本期间房租已支付</t>
    </r>
    <r>
      <rPr>
        <sz val="10"/>
        <rFont val="Times New Roman"/>
        <charset val="134"/>
      </rPr>
      <t>)                                                                                 2016.03.19-2019.03.18(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:110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</si>
  <si>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2015.07.19-2016.03.18(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:1466667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本期间房租已支付</t>
    </r>
    <r>
      <rPr>
        <sz val="10"/>
        <rFont val="Times New Roman"/>
        <charset val="134"/>
      </rPr>
      <t>)                                                                                2016.03.19-2019.03.18(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:242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</si>
  <si>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荆州北京路地下商城综合折扣店</t>
    </r>
  </si>
  <si>
    <r>
      <rPr>
        <sz val="10"/>
        <rFont val="Arial"/>
        <charset val="134"/>
      </rPr>
      <t>荆州地下商城集合店</t>
    </r>
  </si>
  <si>
    <r>
      <rPr>
        <sz val="10"/>
        <rFont val="微软雅黑"/>
        <charset val="134"/>
      </rPr>
      <t>万四平</t>
    </r>
  </si>
  <si>
    <r>
      <rPr>
        <sz val="10"/>
        <rFont val="微软雅黑"/>
        <charset val="134"/>
      </rPr>
      <t>沙市区北京路中央大道</t>
    </r>
    <r>
      <rPr>
        <sz val="10"/>
        <rFont val="Times New Roman"/>
        <charset val="134"/>
      </rPr>
      <t>B</t>
    </r>
    <r>
      <rPr>
        <sz val="10"/>
        <rFont val="微软雅黑"/>
        <charset val="134"/>
      </rPr>
      <t>区</t>
    </r>
    <r>
      <rPr>
        <sz val="10"/>
        <rFont val="Times New Roman"/>
        <charset val="134"/>
      </rPr>
      <t>B35</t>
    </r>
    <r>
      <rPr>
        <sz val="10"/>
        <rFont val="微软雅黑"/>
        <charset val="134"/>
      </rPr>
      <t>、</t>
    </r>
    <r>
      <rPr>
        <sz val="10"/>
        <rFont val="Times New Roman"/>
        <charset val="134"/>
      </rPr>
      <t>B36</t>
    </r>
    <r>
      <rPr>
        <sz val="10"/>
        <rFont val="微软雅黑"/>
        <charset val="134"/>
      </rPr>
      <t>、</t>
    </r>
    <r>
      <rPr>
        <sz val="10"/>
        <rFont val="Times New Roman"/>
        <charset val="134"/>
      </rPr>
      <t>B37</t>
    </r>
    <r>
      <rPr>
        <sz val="10"/>
        <rFont val="微软雅黑"/>
        <charset val="134"/>
      </rPr>
      <t>、</t>
    </r>
    <r>
      <rPr>
        <sz val="10"/>
        <rFont val="Times New Roman"/>
        <charset val="134"/>
      </rPr>
      <t>B38</t>
    </r>
    <r>
      <rPr>
        <sz val="10"/>
        <rFont val="微软雅黑"/>
        <charset val="134"/>
      </rPr>
      <t>、</t>
    </r>
    <r>
      <rPr>
        <sz val="10"/>
        <rFont val="Times New Roman"/>
        <charset val="134"/>
      </rPr>
      <t>B39</t>
    </r>
    <r>
      <rPr>
        <sz val="10"/>
        <rFont val="微软雅黑"/>
        <charset val="134"/>
      </rPr>
      <t>、</t>
    </r>
    <r>
      <rPr>
        <sz val="10"/>
        <rFont val="Times New Roman"/>
        <charset val="134"/>
      </rPr>
      <t>B40</t>
    </r>
    <r>
      <rPr>
        <sz val="10"/>
        <rFont val="微软雅黑"/>
        <charset val="134"/>
      </rPr>
      <t>商铺</t>
    </r>
  </si>
  <si>
    <r>
      <rPr>
        <sz val="10"/>
        <rFont val="Times New Roman"/>
        <charset val="134"/>
      </rPr>
      <t>2016.01.01-2016.12.31(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:25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2017.01.01-2017.12.30(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</si>
  <si>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荆州城中城阿迪</t>
    </r>
    <r>
      <rPr>
        <sz val="10"/>
        <rFont val="Times New Roman"/>
        <charset val="134"/>
      </rPr>
      <t>\</t>
    </r>
    <r>
      <rPr>
        <sz val="10"/>
        <rFont val="微软雅黑"/>
        <charset val="134"/>
      </rPr>
      <t>耐克店</t>
    </r>
  </si>
  <si>
    <r>
      <rPr>
        <sz val="10"/>
        <rFont val="Arial"/>
        <charset val="134"/>
      </rPr>
      <t>荆州荆中路城中城</t>
    </r>
  </si>
  <si>
    <r>
      <rPr>
        <sz val="10"/>
        <rFont val="微软雅黑"/>
        <charset val="134"/>
      </rPr>
      <t>李卫</t>
    </r>
  </si>
  <si>
    <r>
      <rPr>
        <sz val="10"/>
        <rFont val="微软雅黑"/>
        <charset val="134"/>
      </rPr>
      <t>荆中路</t>
    </r>
    <r>
      <rPr>
        <sz val="10"/>
        <rFont val="Times New Roman"/>
        <charset val="134"/>
      </rPr>
      <t>46</t>
    </r>
    <r>
      <rPr>
        <sz val="10"/>
        <rFont val="微软雅黑"/>
        <charset val="134"/>
      </rPr>
      <t>号</t>
    </r>
    <r>
      <rPr>
        <sz val="10"/>
        <rFont val="Times New Roman"/>
        <charset val="134"/>
      </rPr>
      <t>1-2</t>
    </r>
    <r>
      <rPr>
        <sz val="10"/>
        <rFont val="微软雅黑"/>
        <charset val="134"/>
      </rPr>
      <t>楼</t>
    </r>
  </si>
  <si>
    <r>
      <rPr>
        <sz val="10"/>
        <rFont val="Times New Roman"/>
        <charset val="134"/>
      </rPr>
      <t>2015.07.01-2016.03.31(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235950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其中</t>
    </r>
    <r>
      <rPr>
        <sz val="10"/>
        <rFont val="Times New Roman"/>
        <charset val="134"/>
      </rPr>
      <t>:2015.07.01-2015.09.30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78650</t>
    </r>
    <r>
      <rPr>
        <sz val="10"/>
        <rFont val="微软雅黑"/>
        <charset val="134"/>
      </rPr>
      <t>元已支付</t>
    </r>
    <r>
      <rPr>
        <sz val="10"/>
        <rFont val="Times New Roman"/>
        <charset val="134"/>
      </rPr>
      <t>)      2016.04.01-2018.03.31(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:314600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                                             2018.04.01-2021.03.31(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:410180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</si>
  <si>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2015.07.01-2016.03.31(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481140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其中</t>
    </r>
    <r>
      <rPr>
        <sz val="10"/>
        <rFont val="Times New Roman"/>
        <charset val="134"/>
      </rPr>
      <t>:2015.07.01-2015.09.30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160380</t>
    </r>
    <r>
      <rPr>
        <sz val="10"/>
        <rFont val="微软雅黑"/>
        <charset val="134"/>
      </rPr>
      <t>元已支付</t>
    </r>
    <r>
      <rPr>
        <sz val="10"/>
        <rFont val="Times New Roman"/>
        <charset val="134"/>
      </rPr>
      <t>)       2016.04.01-2018.03.31(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:641520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                                             2018.04.01-2021.03.31(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:641520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</si>
  <si>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荆州万达广场</t>
    </r>
    <r>
      <rPr>
        <sz val="10"/>
        <rFont val="Times New Roman"/>
        <charset val="134"/>
      </rPr>
      <t>(</t>
    </r>
    <r>
      <rPr>
        <sz val="10"/>
        <rFont val="微软雅黑"/>
        <charset val="134"/>
      </rPr>
      <t>二楼</t>
    </r>
    <r>
      <rPr>
        <sz val="10"/>
        <rFont val="Times New Roman"/>
        <charset val="134"/>
      </rPr>
      <t>)</t>
    </r>
  </si>
  <si>
    <r>
      <rPr>
        <sz val="10"/>
        <rFont val="Arial"/>
        <charset val="134"/>
      </rPr>
      <t>荆州万达集合店</t>
    </r>
  </si>
  <si>
    <r>
      <rPr>
        <sz val="10"/>
        <rFont val="微软雅黑"/>
        <charset val="134"/>
      </rPr>
      <t>荆州万达广场投资有限公司</t>
    </r>
  </si>
  <si>
    <r>
      <rPr>
        <sz val="10"/>
        <rFont val="微软雅黑"/>
        <charset val="134"/>
      </rPr>
      <t>荆州万达广场室内步行街</t>
    </r>
    <r>
      <rPr>
        <sz val="10"/>
        <rFont val="Times New Roman"/>
        <charset val="134"/>
      </rPr>
      <t>2</t>
    </r>
    <r>
      <rPr>
        <sz val="10"/>
        <rFont val="微软雅黑"/>
        <charset val="134"/>
      </rPr>
      <t>楼</t>
    </r>
    <r>
      <rPr>
        <sz val="10"/>
        <rFont val="Times New Roman"/>
        <charset val="134"/>
      </rPr>
      <t>2002AA-2002AB-2002B</t>
    </r>
  </si>
  <si>
    <r>
      <rPr>
        <sz val="10"/>
        <rFont val="Times New Roman"/>
        <charset val="134"/>
      </rPr>
      <t>2015.08.01-2016.09.19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665364/</t>
    </r>
    <r>
      <rPr>
        <sz val="10"/>
        <rFont val="微软雅黑"/>
        <charset val="134"/>
      </rPr>
      <t xml:space="preserve">年）
</t>
    </r>
    <r>
      <rPr>
        <sz val="10"/>
        <rFont val="Times New Roman"/>
        <charset val="134"/>
      </rPr>
      <t>2016.09.20-2017.06.19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711939.48/</t>
    </r>
    <r>
      <rPr>
        <sz val="10"/>
        <rFont val="微软雅黑"/>
        <charset val="134"/>
      </rPr>
      <t>年）</t>
    </r>
  </si>
  <si>
    <t>2016.04.30</t>
  </si>
  <si>
    <r>
      <rPr>
        <sz val="10"/>
        <rFont val="微软雅黑"/>
        <charset val="134"/>
      </rPr>
      <t>荆州万达广场</t>
    </r>
    <r>
      <rPr>
        <sz val="10"/>
        <rFont val="Times New Roman"/>
        <charset val="134"/>
      </rPr>
      <t>(</t>
    </r>
    <r>
      <rPr>
        <sz val="10"/>
        <rFont val="微软雅黑"/>
        <charset val="134"/>
      </rPr>
      <t>三楼</t>
    </r>
    <r>
      <rPr>
        <sz val="10"/>
        <rFont val="Times New Roman"/>
        <charset val="134"/>
      </rPr>
      <t>)</t>
    </r>
  </si>
  <si>
    <r>
      <rPr>
        <sz val="10"/>
        <rFont val="Arial"/>
        <charset val="134"/>
      </rPr>
      <t>荆州万达百货集合店</t>
    </r>
  </si>
  <si>
    <r>
      <rPr>
        <sz val="10"/>
        <rFont val="微软雅黑"/>
        <charset val="134"/>
      </rPr>
      <t>荆州市荆州万达广场内购物中心三层的部分区域</t>
    </r>
  </si>
  <si>
    <r>
      <rPr>
        <sz val="10"/>
        <rFont val="Times New Roman"/>
        <charset val="134"/>
      </rPr>
      <t>2016.03.01-2017.02.28(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:50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           2017.03.01-2018.02.28(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      2018.03.01-2019.02.28(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:62.4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        2019.03.01-2020.02.28(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:64.9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      2020.03.01-2021.02.28(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:67.5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        2021.03.01-2022.02.28(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:70.2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</si>
  <si>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2016.03.01-2017.02.28(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           2017.03.01-2018.02.28(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      2018.03.01-2019.02.28(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:6.24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        2019.03.01-2020.02.28(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:6.49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      2020.03.01-2021.02.28(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:6.75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                           2021.03.01-2022.02.28(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:7.02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 xml:space="preserve">)                     </t>
    </r>
    <r>
      <rPr>
        <sz val="10"/>
        <rFont val="微软雅黑"/>
        <charset val="134"/>
      </rPr>
      <t>空调使用费为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超时空调服务费标准为</t>
    </r>
    <r>
      <rPr>
        <sz val="10"/>
        <rFont val="Times New Roman"/>
        <charset val="134"/>
      </rPr>
      <t>0.08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小时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</si>
  <si>
    <r>
      <rPr>
        <sz val="10"/>
        <rFont val="微软雅黑"/>
        <charset val="134"/>
      </rPr>
      <t>荆州新概念运动城</t>
    </r>
  </si>
  <si>
    <r>
      <rPr>
        <sz val="10"/>
        <rFont val="微软雅黑"/>
        <charset val="134"/>
      </rPr>
      <t>荆州市荆州区球场路商业步行街</t>
    </r>
    <r>
      <rPr>
        <sz val="10"/>
        <rFont val="Times New Roman"/>
        <charset val="134"/>
      </rPr>
      <t>D</t>
    </r>
    <r>
      <rPr>
        <sz val="10"/>
        <rFont val="微软雅黑"/>
        <charset val="134"/>
      </rPr>
      <t>栋</t>
    </r>
    <r>
      <rPr>
        <sz val="10"/>
        <rFont val="Times New Roman"/>
        <charset val="134"/>
      </rPr>
      <t>1</t>
    </r>
    <r>
      <rPr>
        <sz val="10"/>
        <rFont val="微软雅黑"/>
        <charset val="134"/>
      </rPr>
      <t>层</t>
    </r>
    <r>
      <rPr>
        <sz val="10"/>
        <rFont val="Times New Roman"/>
        <charset val="134"/>
      </rPr>
      <t>106-108</t>
    </r>
    <r>
      <rPr>
        <sz val="10"/>
        <rFont val="微软雅黑"/>
        <charset val="134"/>
      </rPr>
      <t>室</t>
    </r>
  </si>
  <si>
    <r>
      <rPr>
        <sz val="10"/>
        <rFont val="Times New Roman"/>
        <charset val="134"/>
      </rPr>
      <t>2015.07.01-2016.12.31(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:100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                      2017.01.01-2017.12.31(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:65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</si>
  <si>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宜昌</t>
    </r>
  </si>
  <si>
    <r>
      <rPr>
        <sz val="10"/>
        <rFont val="微软雅黑"/>
        <charset val="134"/>
      </rPr>
      <t>宜昌西陵李宁</t>
    </r>
  </si>
  <si>
    <r>
      <rPr>
        <sz val="10"/>
        <rFont val="微软雅黑"/>
        <charset val="134"/>
      </rPr>
      <t>邱小杰</t>
    </r>
  </si>
  <si>
    <r>
      <rPr>
        <sz val="10"/>
        <rFont val="微软雅黑"/>
        <charset val="134"/>
      </rPr>
      <t>宜昌西陵一路</t>
    </r>
    <r>
      <rPr>
        <sz val="10"/>
        <rFont val="Times New Roman"/>
        <charset val="134"/>
      </rPr>
      <t>67</t>
    </r>
    <r>
      <rPr>
        <sz val="10"/>
        <rFont val="微软雅黑"/>
        <charset val="134"/>
      </rPr>
      <t>号</t>
    </r>
  </si>
  <si>
    <r>
      <rPr>
        <sz val="10"/>
        <rFont val="Times New Roman"/>
        <charset val="134"/>
      </rPr>
      <t>2015.05.01-2018.04.30(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:50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</si>
  <si>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宜昌</t>
    </r>
    <r>
      <rPr>
        <sz val="10"/>
        <rFont val="Times New Roman"/>
        <charset val="134"/>
      </rPr>
      <t>CBD</t>
    </r>
    <r>
      <rPr>
        <sz val="10"/>
        <rFont val="微软雅黑"/>
        <charset val="134"/>
      </rPr>
      <t>集合店</t>
    </r>
  </si>
  <si>
    <r>
      <rPr>
        <sz val="10"/>
        <rFont val="微软雅黑"/>
        <charset val="134"/>
      </rPr>
      <t>宜昌市夷陵大道</t>
    </r>
    <r>
      <rPr>
        <sz val="10"/>
        <rFont val="Times New Roman"/>
        <charset val="134"/>
      </rPr>
      <t>58</t>
    </r>
    <r>
      <rPr>
        <sz val="10"/>
        <rFont val="微软雅黑"/>
        <charset val="134"/>
      </rPr>
      <t>号南一层</t>
    </r>
    <r>
      <rPr>
        <sz val="10"/>
        <rFont val="Times New Roman"/>
        <charset val="134"/>
      </rPr>
      <t>0001374</t>
    </r>
    <r>
      <rPr>
        <sz val="10"/>
        <rFont val="微软雅黑"/>
        <charset val="134"/>
      </rPr>
      <t>室一</t>
    </r>
    <r>
      <rPr>
        <sz val="10"/>
        <rFont val="Times New Roman"/>
        <charset val="134"/>
      </rPr>
      <t>\</t>
    </r>
    <r>
      <rPr>
        <sz val="10"/>
        <rFont val="微软雅黑"/>
        <charset val="134"/>
      </rPr>
      <t>二楼</t>
    </r>
  </si>
  <si>
    <r>
      <rPr>
        <sz val="10"/>
        <rFont val="Times New Roman"/>
        <charset val="134"/>
      </rPr>
      <t>2015.07.01-2025.08.31(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:300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</si>
  <si>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2017.01.01-2018.12.31(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:312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2019.01.01-2020.12.31(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:330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2021.01.01-2022.12.31(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:348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2023.01.01-2024.08.31(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:372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</si>
  <si>
    <r>
      <rPr>
        <sz val="10"/>
        <rFont val="宋体"/>
        <charset val="134"/>
      </rPr>
      <t>宜昌</t>
    </r>
  </si>
  <si>
    <r>
      <rPr>
        <sz val="9"/>
        <rFont val="微软雅黑"/>
        <charset val="134"/>
      </rPr>
      <t>宜昌万达集合二店</t>
    </r>
  </si>
  <si>
    <r>
      <rPr>
        <sz val="9"/>
        <rFont val="微软雅黑"/>
        <charset val="134"/>
      </rPr>
      <t>宜昌万达广场投资有限公司</t>
    </r>
  </si>
  <si>
    <r>
      <rPr>
        <sz val="9"/>
        <rFont val="微软雅黑"/>
        <charset val="134"/>
      </rPr>
      <t>宜昌伍家岗区沿江大道特</t>
    </r>
    <r>
      <rPr>
        <sz val="9"/>
        <rFont val="Times New Roman"/>
        <charset val="134"/>
      </rPr>
      <t>168</t>
    </r>
    <r>
      <rPr>
        <sz val="9"/>
        <rFont val="微软雅黑"/>
        <charset val="134"/>
      </rPr>
      <t>号</t>
    </r>
  </si>
  <si>
    <r>
      <rPr>
        <sz val="9"/>
        <rFont val="Times New Roman"/>
        <charset val="134"/>
      </rPr>
      <t>2016.10.25-2017.10.24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90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  2017.10.25-2018.10.24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90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      2018.10.25-2019.10.24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93.6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   2019.10.25-2020.10.24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97.34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       2020.10.25-2021.10.24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101.23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2021.10.25-2024.10.24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105.28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</si>
  <si>
    <r>
      <rPr>
        <sz val="9"/>
        <rFont val="Times New Roman"/>
        <charset val="134"/>
      </rPr>
      <t>2016.10.25-2017.10.24</t>
    </r>
    <r>
      <rPr>
        <sz val="9"/>
        <rFont val="微软雅黑"/>
        <charset val="134"/>
      </rPr>
      <t>（物业：</t>
    </r>
    <r>
      <rPr>
        <sz val="9"/>
        <rFont val="Times New Roman"/>
        <charset val="134"/>
      </rPr>
      <t>16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                                     2017.10.25-2018.10.24</t>
    </r>
    <r>
      <rPr>
        <sz val="9"/>
        <rFont val="微软雅黑"/>
        <charset val="134"/>
      </rPr>
      <t>（物业：</t>
    </r>
    <r>
      <rPr>
        <sz val="9"/>
        <rFont val="Times New Roman"/>
        <charset val="134"/>
      </rPr>
      <t>16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      2018.10.25-2019.10.24</t>
    </r>
    <r>
      <rPr>
        <sz val="9"/>
        <rFont val="微软雅黑"/>
        <charset val="134"/>
      </rPr>
      <t>（物业：</t>
    </r>
    <r>
      <rPr>
        <sz val="9"/>
        <rFont val="Times New Roman"/>
        <charset val="134"/>
      </rPr>
      <t>16.24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                                        2019.10.25-2020.10.24</t>
    </r>
    <r>
      <rPr>
        <sz val="9"/>
        <rFont val="微软雅黑"/>
        <charset val="134"/>
      </rPr>
      <t>（物业：</t>
    </r>
    <r>
      <rPr>
        <sz val="9"/>
        <rFont val="Times New Roman"/>
        <charset val="134"/>
      </rPr>
      <t>16.48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                                     2020.10.25-2021.10.24</t>
    </r>
    <r>
      <rPr>
        <sz val="9"/>
        <rFont val="微软雅黑"/>
        <charset val="134"/>
      </rPr>
      <t>（物业：</t>
    </r>
    <r>
      <rPr>
        <sz val="9"/>
        <rFont val="Times New Roman"/>
        <charset val="134"/>
      </rPr>
      <t>16.73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                                     2021.10.25-2024.10.24</t>
    </r>
    <r>
      <rPr>
        <sz val="9"/>
        <rFont val="微软雅黑"/>
        <charset val="134"/>
      </rPr>
      <t>（物业：</t>
    </r>
    <r>
      <rPr>
        <sz val="9"/>
        <rFont val="Times New Roman"/>
        <charset val="134"/>
      </rPr>
      <t>16.98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</si>
  <si>
    <r>
      <rPr>
        <sz val="9"/>
        <rFont val="Times New Roman"/>
        <charset val="134"/>
      </rPr>
      <t>2016.11.26-2017.11.25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360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 2017.11.26-2018.11.25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388.8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  <r>
      <rPr>
        <sz val="9"/>
        <rFont val="Times New Roman"/>
        <charset val="134"/>
      </rPr>
      <t xml:space="preserve">                       2017.11.26-2019.11.25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419.9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</si>
  <si>
    <r>
      <rPr>
        <sz val="9"/>
        <rFont val="Times New Roman"/>
        <charset val="134"/>
      </rPr>
      <t>2016.11.26-2019.11.25</t>
    </r>
    <r>
      <rPr>
        <sz val="9"/>
        <rFont val="微软雅黑"/>
        <charset val="134"/>
      </rPr>
      <t>（物业：</t>
    </r>
    <r>
      <rPr>
        <sz val="9"/>
        <rFont val="Times New Roman"/>
        <charset val="134"/>
      </rPr>
      <t>60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平方米）</t>
    </r>
  </si>
  <si>
    <r>
      <rPr>
        <sz val="10"/>
        <rFont val="微软雅黑"/>
        <charset val="134"/>
      </rPr>
      <t>宜昌万达运动城</t>
    </r>
  </si>
  <si>
    <r>
      <rPr>
        <sz val="10"/>
        <rFont val="Arial"/>
        <charset val="134"/>
      </rPr>
      <t>宜昌万达集合店</t>
    </r>
  </si>
  <si>
    <r>
      <rPr>
        <sz val="10"/>
        <rFont val="微软雅黑"/>
        <charset val="134"/>
      </rPr>
      <t>宜昌万达广场投资有限公司</t>
    </r>
  </si>
  <si>
    <r>
      <rPr>
        <sz val="10"/>
        <rFont val="微软雅黑"/>
        <charset val="134"/>
      </rPr>
      <t>宜昌市沿江大道特</t>
    </r>
    <r>
      <rPr>
        <sz val="10"/>
        <rFont val="Times New Roman"/>
        <charset val="134"/>
      </rPr>
      <t>166</t>
    </r>
    <r>
      <rPr>
        <sz val="10"/>
        <rFont val="微软雅黑"/>
        <charset val="134"/>
      </rPr>
      <t>号万达广场综合楼一楼杰之行运动城</t>
    </r>
  </si>
  <si>
    <r>
      <rPr>
        <sz val="10"/>
        <rFont val="Times New Roman"/>
        <charset val="134"/>
      </rPr>
      <t>2015.08.01-2017.08.25(</t>
    </r>
    <r>
      <rPr>
        <sz val="10"/>
        <rFont val="微软雅黑"/>
        <charset val="134"/>
      </rPr>
      <t>起租日为</t>
    </r>
    <r>
      <rPr>
        <sz val="10"/>
        <rFont val="Times New Roman"/>
        <charset val="134"/>
      </rPr>
      <t>2010.08.26),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:95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租金第三年起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每个年度按按上一年度标准递增</t>
    </r>
    <r>
      <rPr>
        <sz val="10"/>
        <rFont val="Times New Roman"/>
        <charset val="134"/>
      </rPr>
      <t>3%</t>
    </r>
  </si>
  <si>
    <r>
      <rPr>
        <sz val="10"/>
        <rFont val="Times New Roman"/>
        <charset val="134"/>
      </rPr>
      <t>2015.08.01-2017.08.25(</t>
    </r>
    <r>
      <rPr>
        <sz val="10"/>
        <rFont val="微软雅黑"/>
        <charset val="134"/>
      </rPr>
      <t>起租日为</t>
    </r>
    <r>
      <rPr>
        <sz val="10"/>
        <rFont val="Times New Roman"/>
        <charset val="134"/>
      </rPr>
      <t>2010.08.26),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空调使用费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物业管理费第三年起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每个年度按按上一年度标准递增</t>
    </r>
    <r>
      <rPr>
        <sz val="10"/>
        <rFont val="Times New Roman"/>
        <charset val="134"/>
      </rPr>
      <t>3%</t>
    </r>
  </si>
  <si>
    <r>
      <rPr>
        <sz val="10"/>
        <rFont val="微软雅黑"/>
        <charset val="134"/>
      </rPr>
      <t>襄阳</t>
    </r>
  </si>
  <si>
    <r>
      <rPr>
        <sz val="10"/>
        <rFont val="微软雅黑"/>
        <charset val="134"/>
      </rPr>
      <t>襄樊长虹李宁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襄樊长虹耐克</t>
    </r>
  </si>
  <si>
    <r>
      <rPr>
        <sz val="10"/>
        <rFont val="Arial"/>
        <charset val="134"/>
      </rPr>
      <t>襄阳长虹集合店</t>
    </r>
  </si>
  <si>
    <r>
      <rPr>
        <sz val="10"/>
        <rFont val="微软雅黑"/>
        <charset val="134"/>
      </rPr>
      <t>襄阳市汇誉商业管理有限公司</t>
    </r>
  </si>
  <si>
    <r>
      <rPr>
        <sz val="10"/>
        <rFont val="微软雅黑"/>
        <charset val="134"/>
      </rPr>
      <t>襄樊市长虹路民发商业广场</t>
    </r>
  </si>
  <si>
    <r>
      <rPr>
        <sz val="10"/>
        <rFont val="Times New Roman"/>
        <charset val="134"/>
      </rPr>
      <t>2016.01.01-2016.12.31(</t>
    </r>
    <r>
      <rPr>
        <sz val="10"/>
        <rFont val="微软雅黑"/>
        <charset val="134"/>
      </rPr>
      <t>租金：</t>
    </r>
    <r>
      <rPr>
        <sz val="10"/>
        <rFont val="Times New Roman"/>
        <charset val="134"/>
      </rPr>
      <t>160275*3=480825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季）</t>
    </r>
    <r>
      <rPr>
        <sz val="10"/>
        <rFont val="Times New Roman"/>
        <charset val="134"/>
      </rPr>
      <t>2017.01.01-2017.12.31(</t>
    </r>
    <r>
      <rPr>
        <sz val="10"/>
        <rFont val="微软雅黑"/>
        <charset val="134"/>
      </rPr>
      <t>租金：</t>
    </r>
    <r>
      <rPr>
        <sz val="10"/>
        <rFont val="Times New Roman"/>
        <charset val="134"/>
      </rPr>
      <t>173090*3=519270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季）</t>
    </r>
  </si>
  <si>
    <r>
      <rPr>
        <sz val="10"/>
        <rFont val="Times New Roman"/>
        <charset val="134"/>
      </rPr>
      <t xml:space="preserve">                                                                     2016.01.01-2016.12.31(</t>
    </r>
    <r>
      <rPr>
        <sz val="10"/>
        <rFont val="微软雅黑"/>
        <charset val="134"/>
      </rPr>
      <t>物业：</t>
    </r>
    <r>
      <rPr>
        <sz val="10"/>
        <rFont val="Times New Roman"/>
        <charset val="134"/>
      </rPr>
      <t>97440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季，公摊：</t>
    </r>
    <r>
      <rPr>
        <sz val="10"/>
        <rFont val="Times New Roman"/>
        <charset val="134"/>
      </rPr>
      <t>26574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季）</t>
    </r>
    <r>
      <rPr>
        <sz val="10"/>
        <rFont val="Times New Roman"/>
        <charset val="134"/>
      </rPr>
      <t xml:space="preserve">                                                                        2017.01.01-2017.12.31(</t>
    </r>
    <r>
      <rPr>
        <sz val="10"/>
        <rFont val="微软雅黑"/>
        <charset val="134"/>
      </rPr>
      <t>物业：</t>
    </r>
    <r>
      <rPr>
        <sz val="10"/>
        <rFont val="Times New Roman"/>
        <charset val="134"/>
      </rPr>
      <t>102756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季，公摊：</t>
    </r>
    <r>
      <rPr>
        <sz val="10"/>
        <rFont val="Times New Roman"/>
        <charset val="134"/>
      </rPr>
      <t>31182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季）</t>
    </r>
  </si>
  <si>
    <r>
      <rPr>
        <sz val="9"/>
        <rFont val="Times New Roman"/>
        <charset val="134"/>
      </rPr>
      <t>2016</t>
    </r>
    <r>
      <rPr>
        <sz val="9"/>
        <rFont val="宋体"/>
        <charset val="134"/>
      </rPr>
      <t>年</t>
    </r>
    <r>
      <rPr>
        <sz val="9"/>
        <rFont val="Times New Roman"/>
        <charset val="134"/>
      </rPr>
      <t>9</t>
    </r>
    <r>
      <rPr>
        <sz val="9"/>
        <rFont val="宋体"/>
        <charset val="134"/>
      </rPr>
      <t>月</t>
    </r>
    <r>
      <rPr>
        <sz val="9"/>
        <rFont val="Times New Roman"/>
        <charset val="134"/>
      </rPr>
      <t>30</t>
    </r>
    <r>
      <rPr>
        <sz val="9"/>
        <rFont val="宋体"/>
        <charset val="134"/>
      </rPr>
      <t>日终止</t>
    </r>
  </si>
  <si>
    <r>
      <rPr>
        <sz val="10"/>
        <rFont val="宋体"/>
        <charset val="134"/>
      </rPr>
      <t>襄阳长虹集合店</t>
    </r>
  </si>
  <si>
    <r>
      <rPr>
        <sz val="10"/>
        <rFont val="Times New Roman"/>
        <charset val="134"/>
      </rPr>
      <t>2016.10.1-2016.12.31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75290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     2017.1.1-2019.12.31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121973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    2020.1.1-2021.12.31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131711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</si>
  <si>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2016.10.1-2016.12.31</t>
    </r>
    <r>
      <rPr>
        <sz val="10"/>
        <rFont val="宋体"/>
        <charset val="134"/>
      </rPr>
      <t>（物业：</t>
    </r>
    <r>
      <rPr>
        <sz val="10"/>
        <rFont val="Times New Roman"/>
        <charset val="134"/>
      </rPr>
      <t>29130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     2017.1.1-2019.12.31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31461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    2020.1.1-2021.12.31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33958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</si>
  <si>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襄樊长虹李宁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襄樊长虹耐克（仓库）</t>
    </r>
  </si>
  <si>
    <r>
      <rPr>
        <sz val="10"/>
        <rFont val="微软雅黑"/>
        <charset val="134"/>
      </rPr>
      <t>民发商业广场时尚名店</t>
    </r>
    <r>
      <rPr>
        <sz val="10"/>
        <rFont val="Times New Roman"/>
        <charset val="134"/>
      </rPr>
      <t>-1F1#</t>
    </r>
  </si>
  <si>
    <r>
      <rPr>
        <sz val="10"/>
        <rFont val="Times New Roman"/>
        <charset val="134"/>
      </rPr>
      <t>2015.01.01-2017.12.31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450*12=5400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</si>
  <si>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宋体"/>
        <charset val="134"/>
      </rPr>
      <t>襄阳杰丽</t>
    </r>
  </si>
  <si>
    <r>
      <rPr>
        <sz val="10"/>
        <rFont val="微软雅黑"/>
        <charset val="134"/>
      </rPr>
      <t>襄樊新概念运动城</t>
    </r>
  </si>
  <si>
    <r>
      <rPr>
        <sz val="10"/>
        <rFont val="微软雅黑"/>
        <charset val="134"/>
      </rPr>
      <t>襄樊璐萌物业服务有限公司</t>
    </r>
  </si>
  <si>
    <r>
      <rPr>
        <sz val="10"/>
        <rFont val="微软雅黑"/>
        <charset val="134"/>
      </rPr>
      <t>襄樊市樊城区解放路</t>
    </r>
    <r>
      <rPr>
        <sz val="10"/>
        <rFont val="Times New Roman"/>
        <charset val="134"/>
      </rPr>
      <t>228</t>
    </r>
    <r>
      <rPr>
        <sz val="10"/>
        <rFont val="微软雅黑"/>
        <charset val="134"/>
      </rPr>
      <t>号</t>
    </r>
  </si>
  <si>
    <r>
      <rPr>
        <sz val="10"/>
        <rFont val="Times New Roman"/>
        <charset val="134"/>
      </rPr>
      <t>2009.06.01-2016.09.30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960000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</si>
  <si>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宋体"/>
        <charset val="134"/>
      </rPr>
      <t>直营</t>
    </r>
  </si>
  <si>
    <r>
      <rPr>
        <sz val="10"/>
        <rFont val="Arial"/>
        <charset val="134"/>
      </rPr>
      <t>湖北美亚置业集团有限公司</t>
    </r>
  </si>
  <si>
    <r>
      <rPr>
        <sz val="10"/>
        <rFont val="Times New Roman"/>
        <charset val="134"/>
      </rPr>
      <t>2016.10.01-2022.09.30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1630000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</si>
  <si>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微软雅黑"/>
        <charset val="134"/>
      </rPr>
      <t>襄樊绅士广场运动城</t>
    </r>
  </si>
  <si>
    <r>
      <rPr>
        <sz val="10"/>
        <rFont val="Arial"/>
        <charset val="134"/>
      </rPr>
      <t>襄樊绅士运动城</t>
    </r>
  </si>
  <si>
    <r>
      <rPr>
        <sz val="10"/>
        <rFont val="微软雅黑"/>
        <charset val="134"/>
      </rPr>
      <t>襄樊市鹰翔摩托车有限公司</t>
    </r>
  </si>
  <si>
    <r>
      <rPr>
        <sz val="10"/>
        <rFont val="微软雅黑"/>
        <charset val="134"/>
      </rPr>
      <t>襄樊市樊城区长征路</t>
    </r>
    <r>
      <rPr>
        <sz val="10"/>
        <rFont val="Times New Roman"/>
        <charset val="134"/>
      </rPr>
      <t>125</t>
    </r>
    <r>
      <rPr>
        <sz val="10"/>
        <rFont val="微软雅黑"/>
        <charset val="134"/>
      </rPr>
      <t>号</t>
    </r>
  </si>
  <si>
    <r>
      <rPr>
        <sz val="10"/>
        <rFont val="Times New Roman"/>
        <charset val="134"/>
      </rPr>
      <t>2015.08.01-2018.12.31(40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</si>
  <si>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襄樊万达运动城</t>
    </r>
  </si>
  <si>
    <r>
      <rPr>
        <sz val="10"/>
        <rFont val="微软雅黑"/>
        <charset val="134"/>
      </rPr>
      <t>襄樊万达广场投资有限公司</t>
    </r>
  </si>
  <si>
    <r>
      <rPr>
        <sz val="10"/>
        <rFont val="微软雅黑"/>
        <charset val="134"/>
      </rPr>
      <t>襄樊市高新区紫贞路</t>
    </r>
    <r>
      <rPr>
        <sz val="10"/>
        <rFont val="Times New Roman"/>
        <charset val="134"/>
      </rPr>
      <t>8</t>
    </r>
    <r>
      <rPr>
        <sz val="10"/>
        <rFont val="微软雅黑"/>
        <charset val="134"/>
      </rPr>
      <t>号</t>
    </r>
  </si>
  <si>
    <r>
      <rPr>
        <sz val="10"/>
        <rFont val="Times New Roman"/>
        <charset val="134"/>
      </rPr>
      <t>2010.11.26-2012.11.25(85/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2012.11.26-2013.11.25(87.55/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2013.11.26-2014.11.25(90.18/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2014.11.26-2015.11.25(92.88/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2015.11.26-2016.11.25(95.67/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2016.11.26-2017.11.25(98.54/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</si>
  <si>
    <r>
      <rPr>
        <sz val="10"/>
        <rFont val="Times New Roman"/>
        <charset val="134"/>
      </rPr>
      <t>2010.11.26-2012.11.25(5/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2012.11.26-2013.11.25(5.15/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2013.11.26-2015.11.25(5.46/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2015.11.26-2016.11.25(5.63/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2016.11.26-2017.11.25(5.80/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                                2010.11.26-2017.11.25(10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</si>
  <si>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2017.8.1-2019.7.31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103/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                                 2019.8.1-2020.7.31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106.09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                              2020.8.1-2021.3.31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109.27/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</si>
  <si>
    <r>
      <rPr>
        <sz val="10"/>
        <rFont val="Times New Roman"/>
        <charset val="134"/>
      </rPr>
      <t>2017.8.1-2019.7.31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17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                                    2019.8.1-2020.7.31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17.21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                               2020.8.1-2021.3.31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117.43/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</si>
  <si>
    <r>
      <rPr>
        <sz val="10"/>
        <rFont val="微软雅黑"/>
        <charset val="134"/>
      </rPr>
      <t>荆门</t>
    </r>
  </si>
  <si>
    <r>
      <rPr>
        <sz val="10"/>
        <rFont val="微软雅黑"/>
        <charset val="134"/>
      </rPr>
      <t>荆门万达广场集合店</t>
    </r>
  </si>
  <si>
    <r>
      <rPr>
        <sz val="10"/>
        <rFont val="Arial"/>
        <charset val="134"/>
      </rPr>
      <t>荆门万达集合店</t>
    </r>
  </si>
  <si>
    <r>
      <rPr>
        <sz val="10"/>
        <rFont val="微软雅黑"/>
        <charset val="134"/>
      </rPr>
      <t>荆门万达广场投资有限公司</t>
    </r>
  </si>
  <si>
    <r>
      <rPr>
        <sz val="10"/>
        <rFont val="微软雅黑"/>
        <charset val="134"/>
      </rPr>
      <t>湖北省荆州市荆门万达广场购物中心二楼二层的商铺</t>
    </r>
  </si>
  <si>
    <r>
      <rPr>
        <sz val="10"/>
        <rFont val="Times New Roman"/>
        <charset val="134"/>
      </rPr>
      <t>2016.06.03-2018.06.02(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2018.06.03-2019.06.02(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:83.2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2019.06.03-2020.06.02(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:86.53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2020.06.03-2021.06.02(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:89.99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2021.06.03-2022.06.02(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:93.59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 </t>
    </r>
    <r>
      <rPr>
        <sz val="10"/>
        <rFont val="微软雅黑"/>
        <charset val="134"/>
      </rPr>
      <t>或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月租金</t>
    </r>
    <r>
      <rPr>
        <sz val="10"/>
        <rFont val="Times New Roman"/>
        <charset val="134"/>
      </rPr>
      <t>=</t>
    </r>
    <r>
      <rPr>
        <sz val="10"/>
        <rFont val="微软雅黑"/>
        <charset val="134"/>
      </rPr>
      <t>月销售额</t>
    </r>
    <r>
      <rPr>
        <sz val="10"/>
        <rFont val="Times New Roman"/>
        <charset val="134"/>
      </rPr>
      <t>*8%,</t>
    </r>
    <r>
      <rPr>
        <sz val="10"/>
        <rFont val="微软雅黑"/>
        <charset val="134"/>
      </rPr>
      <t>两者取其高</t>
    </r>
  </si>
  <si>
    <r>
      <rPr>
        <sz val="10"/>
        <rFont val="Times New Roman"/>
        <charset val="134"/>
      </rPr>
      <t>2016.06.03-2018.06.02(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2018.06.03-2019.06.02(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:6.24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2019.06.03-2020.06.02(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:6.49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2020.06.03-2021.06.02(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:6.75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2021.06.03-2022.06.02(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:7.02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</t>
    </r>
    <r>
      <rPr>
        <sz val="10"/>
        <rFont val="微软雅黑"/>
        <charset val="134"/>
      </rPr>
      <t>空调使用费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</si>
  <si>
    <r>
      <rPr>
        <sz val="10"/>
        <rFont val="微软雅黑"/>
        <charset val="134"/>
      </rPr>
      <t>十堰</t>
    </r>
  </si>
  <si>
    <r>
      <rPr>
        <sz val="10"/>
        <rFont val="微软雅黑"/>
        <charset val="134"/>
      </rPr>
      <t>十堰新概念运动城</t>
    </r>
  </si>
  <si>
    <r>
      <rPr>
        <sz val="10"/>
        <rFont val="Arial"/>
        <charset val="134"/>
      </rPr>
      <t>十堰新概念集合店</t>
    </r>
  </si>
  <si>
    <r>
      <rPr>
        <sz val="10"/>
        <rFont val="微软雅黑"/>
        <charset val="134"/>
      </rPr>
      <t>十堰市堰丰酒店管理有限公司</t>
    </r>
  </si>
  <si>
    <r>
      <rPr>
        <sz val="10"/>
        <rFont val="微软雅黑"/>
        <charset val="134"/>
      </rPr>
      <t>十堰市人民北路堰丰宾馆一楼</t>
    </r>
  </si>
  <si>
    <r>
      <rPr>
        <sz val="10"/>
        <rFont val="Times New Roman"/>
        <charset val="134"/>
      </rPr>
      <t>2015.12.01-2018.11.30(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:190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      2018.12.01-2020.11.30(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:208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</si>
  <si>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十堰京堰运动城</t>
    </r>
  </si>
  <si>
    <r>
      <rPr>
        <sz val="10"/>
        <rFont val="Arial"/>
        <charset val="134"/>
      </rPr>
      <t>十堰京堰集合店</t>
    </r>
  </si>
  <si>
    <r>
      <rPr>
        <sz val="10"/>
        <rFont val="微软雅黑"/>
        <charset val="134"/>
      </rPr>
      <t>熊六波</t>
    </r>
  </si>
  <si>
    <r>
      <rPr>
        <sz val="10"/>
        <rFont val="微软雅黑"/>
        <charset val="134"/>
      </rPr>
      <t>十堰市五堰香港街</t>
    </r>
    <r>
      <rPr>
        <sz val="10"/>
        <rFont val="Times New Roman"/>
        <charset val="134"/>
      </rPr>
      <t>4</t>
    </r>
    <r>
      <rPr>
        <sz val="10"/>
        <rFont val="微软雅黑"/>
        <charset val="134"/>
      </rPr>
      <t>号武当商城三号楼</t>
    </r>
  </si>
  <si>
    <r>
      <rPr>
        <sz val="10"/>
        <rFont val="Times New Roman"/>
        <charset val="134"/>
      </rPr>
      <t>2015.05.01-2018.09.10(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</si>
  <si>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十堰万达集合店</t>
    </r>
  </si>
  <si>
    <r>
      <rPr>
        <sz val="10"/>
        <rFont val="微软雅黑"/>
        <charset val="134"/>
      </rPr>
      <t>十堰万达广场集合店</t>
    </r>
  </si>
  <si>
    <r>
      <rPr>
        <sz val="10"/>
        <rFont val="微软雅黑"/>
        <charset val="134"/>
      </rPr>
      <t>十堰万达置业有限公司</t>
    </r>
  </si>
  <si>
    <r>
      <rPr>
        <sz val="10"/>
        <rFont val="微软雅黑"/>
        <charset val="134"/>
      </rPr>
      <t>十堰万达购物广场娱乐楼</t>
    </r>
    <r>
      <rPr>
        <sz val="10"/>
        <rFont val="Times New Roman"/>
        <charset val="134"/>
      </rPr>
      <t>1B</t>
    </r>
    <r>
      <rPr>
        <sz val="10"/>
        <rFont val="微软雅黑"/>
        <charset val="134"/>
      </rPr>
      <t>层</t>
    </r>
  </si>
  <si>
    <r>
      <rPr>
        <sz val="10"/>
        <rFont val="Times New Roman"/>
        <charset val="134"/>
      </rPr>
      <t>2016.08.05-2018.08.04(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2018.08.05-2019.08.04(</t>
    </r>
    <r>
      <rPr>
        <sz val="10"/>
        <rFont val="微软雅黑"/>
        <charset val="134"/>
      </rPr>
      <t>固定租金</t>
    </r>
    <r>
      <rPr>
        <sz val="10"/>
        <rFont val="Times New Roman"/>
        <charset val="134"/>
      </rPr>
      <t>:78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2019.08.05-2020.08.04(</t>
    </r>
    <r>
      <rPr>
        <sz val="10"/>
        <rFont val="微软雅黑"/>
        <charset val="134"/>
      </rPr>
      <t>固定租金</t>
    </r>
    <r>
      <rPr>
        <sz val="10"/>
        <rFont val="Times New Roman"/>
        <charset val="134"/>
      </rPr>
      <t>:81.12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2020.08.05-2021.08.04(</t>
    </r>
    <r>
      <rPr>
        <sz val="10"/>
        <rFont val="微软雅黑"/>
        <charset val="134"/>
      </rPr>
      <t>固定租金</t>
    </r>
    <r>
      <rPr>
        <sz val="10"/>
        <rFont val="Times New Roman"/>
        <charset val="134"/>
      </rPr>
      <t>:84.36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2021.08.05-2022.08.04(</t>
    </r>
    <r>
      <rPr>
        <sz val="10"/>
        <rFont val="微软雅黑"/>
        <charset val="134"/>
      </rPr>
      <t>固定租金</t>
    </r>
    <r>
      <rPr>
        <sz val="10"/>
        <rFont val="Times New Roman"/>
        <charset val="134"/>
      </rPr>
      <t>:87.74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2016.08.05-2022.08.04(</t>
    </r>
    <r>
      <rPr>
        <sz val="10"/>
        <rFont val="微软雅黑"/>
        <charset val="134"/>
      </rPr>
      <t>抽成租金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销售额的</t>
    </r>
    <r>
      <rPr>
        <sz val="10"/>
        <rFont val="Times New Roman"/>
        <charset val="134"/>
      </rPr>
      <t>8%,\</t>
    </r>
    <r>
      <rPr>
        <sz val="10"/>
        <rFont val="微软雅黑"/>
        <charset val="134"/>
      </rPr>
      <t>两者取其高者</t>
    </r>
  </si>
  <si>
    <r>
      <rPr>
        <sz val="10"/>
        <rFont val="Times New Roman"/>
        <charset val="134"/>
      </rPr>
      <t>2016.08.05-2018.08.04(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2018.08.05-2019.08.04(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:6.24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 2019.08.05-2020.08.04(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:6.49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2020.08.05-2021.08.04(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:6.75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2021.08.05-2022.08.04(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:7.02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 xml:space="preserve">)                             </t>
    </r>
    <r>
      <rPr>
        <sz val="10"/>
        <rFont val="微软雅黑"/>
        <charset val="134"/>
      </rPr>
      <t>空调使用费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月</t>
    </r>
  </si>
  <si>
    <r>
      <rPr>
        <sz val="10"/>
        <rFont val="微软雅黑"/>
        <charset val="134"/>
      </rPr>
      <t>十堰万达李宁店</t>
    </r>
  </si>
  <si>
    <r>
      <rPr>
        <sz val="10"/>
        <rFont val="宋体"/>
        <charset val="134"/>
      </rPr>
      <t>十堰万达广场置业有限公司</t>
    </r>
  </si>
  <si>
    <r>
      <rPr>
        <sz val="10"/>
        <rFont val="宋体"/>
        <charset val="134"/>
      </rPr>
      <t>十堰万达广场内购物中心室内步行街</t>
    </r>
    <r>
      <rPr>
        <sz val="10"/>
        <rFont val="Times New Roman"/>
        <charset val="134"/>
      </rPr>
      <t>1BF</t>
    </r>
    <r>
      <rPr>
        <sz val="10"/>
        <rFont val="宋体"/>
        <charset val="134"/>
      </rPr>
      <t>层</t>
    </r>
    <r>
      <rPr>
        <sz val="10"/>
        <rFont val="Times New Roman"/>
        <charset val="134"/>
      </rPr>
      <t>1B61</t>
    </r>
    <r>
      <rPr>
        <sz val="10"/>
        <rFont val="宋体"/>
        <charset val="134"/>
      </rPr>
      <t>号商铺</t>
    </r>
  </si>
  <si>
    <r>
      <rPr>
        <sz val="10"/>
        <rFont val="Times New Roman"/>
        <charset val="134"/>
      </rPr>
      <t>2016.08.05-2016.11.30(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:110843.08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)                                            2016.12.01-2017.02.28(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:62155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)                                                    2017.03.01-2017.05.31(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:62155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)                                                      2017.06.01-2017.08.31(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:74472.05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)                                                   2017.09.01-2018.08.04(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:33252.93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                                      2018.08.05-2019.08.04(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:35580.64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</t>
    </r>
  </si>
  <si>
    <r>
      <rPr>
        <sz val="9"/>
        <rFont val="Times New Roman"/>
        <charset val="134"/>
      </rPr>
      <t>2016.08.05-2019.08.04(</t>
    </r>
    <r>
      <rPr>
        <sz val="9"/>
        <rFont val="宋体"/>
        <charset val="134"/>
      </rPr>
      <t>物业管理费</t>
    </r>
    <r>
      <rPr>
        <sz val="9"/>
        <rFont val="Times New Roman"/>
        <charset val="134"/>
      </rPr>
      <t>:13674.10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</t>
    </r>
    <r>
      <rPr>
        <sz val="9"/>
        <rFont val="Times New Roman"/>
        <charset val="134"/>
      </rPr>
      <t>)</t>
    </r>
  </si>
  <si>
    <r>
      <rPr>
        <sz val="10"/>
        <rFont val="宋体"/>
        <charset val="134"/>
      </rPr>
      <t>武汉</t>
    </r>
  </si>
  <si>
    <r>
      <rPr>
        <sz val="9"/>
        <rFont val="微软雅黑"/>
        <charset val="134"/>
      </rPr>
      <t>应城城市广场</t>
    </r>
  </si>
  <si>
    <r>
      <rPr>
        <sz val="9"/>
        <rFont val="微软雅黑"/>
        <charset val="134"/>
      </rPr>
      <t>应城中央广场集合店</t>
    </r>
    <r>
      <rPr>
        <sz val="9"/>
        <rFont val="Times New Roman"/>
        <charset val="134"/>
      </rPr>
      <t xml:space="preserve"> </t>
    </r>
  </si>
  <si>
    <r>
      <rPr>
        <sz val="9"/>
        <rFont val="微软雅黑"/>
        <charset val="134"/>
      </rPr>
      <t>应城市泓诚商业管理有限公司（房租</t>
    </r>
    <r>
      <rPr>
        <sz val="9"/>
        <rFont val="Times New Roman"/>
        <charset val="134"/>
      </rPr>
      <t>+</t>
    </r>
    <r>
      <rPr>
        <sz val="9"/>
        <rFont val="微软雅黑"/>
        <charset val="134"/>
      </rPr>
      <t>商业）
应城市泓信商业管理有限公司（物业）</t>
    </r>
  </si>
  <si>
    <r>
      <rPr>
        <sz val="9"/>
        <rFont val="微软雅黑"/>
        <charset val="134"/>
      </rPr>
      <t>应城市全洲盛世城</t>
    </r>
    <r>
      <rPr>
        <sz val="9"/>
        <rFont val="Times New Roman"/>
        <charset val="134"/>
      </rPr>
      <t>5</t>
    </r>
    <r>
      <rPr>
        <sz val="9"/>
        <rFont val="微软雅黑"/>
        <charset val="134"/>
      </rPr>
      <t>号</t>
    </r>
    <r>
      <rPr>
        <sz val="9"/>
        <rFont val="Times New Roman"/>
        <charset val="134"/>
      </rPr>
      <t>1</t>
    </r>
    <r>
      <rPr>
        <sz val="9"/>
        <rFont val="微软雅黑"/>
        <charset val="134"/>
      </rPr>
      <t>层</t>
    </r>
    <r>
      <rPr>
        <sz val="9"/>
        <rFont val="Times New Roman"/>
        <charset val="134"/>
      </rPr>
      <t>127-141</t>
    </r>
    <r>
      <rPr>
        <sz val="9"/>
        <rFont val="微软雅黑"/>
        <charset val="134"/>
      </rPr>
      <t>铺</t>
    </r>
  </si>
  <si>
    <r>
      <rPr>
        <sz val="9"/>
        <rFont val="Times New Roman"/>
        <charset val="134"/>
      </rPr>
      <t>2016.12.18-2017.12.17(</t>
    </r>
    <r>
      <rPr>
        <sz val="9"/>
        <rFont val="微软雅黑"/>
        <charset val="134"/>
      </rPr>
      <t>租金</t>
    </r>
    <r>
      <rPr>
        <sz val="9"/>
        <rFont val="Times New Roman"/>
        <charset val="134"/>
      </rPr>
      <t>:50</t>
    </r>
    <r>
      <rPr>
        <sz val="9"/>
        <rFont val="微软雅黑"/>
        <charset val="134"/>
      </rPr>
      <t>万元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年</t>
    </r>
    <r>
      <rPr>
        <sz val="9"/>
        <rFont val="Times New Roman"/>
        <charset val="134"/>
      </rPr>
      <t>)                                 2017.12.18-2018.12.17(</t>
    </r>
    <r>
      <rPr>
        <sz val="9"/>
        <rFont val="微软雅黑"/>
        <charset val="134"/>
      </rPr>
      <t>租金</t>
    </r>
    <r>
      <rPr>
        <sz val="9"/>
        <rFont val="Times New Roman"/>
        <charset val="134"/>
      </rPr>
      <t>:58</t>
    </r>
    <r>
      <rPr>
        <sz val="9"/>
        <rFont val="微软雅黑"/>
        <charset val="134"/>
      </rPr>
      <t>万元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年</t>
    </r>
    <r>
      <rPr>
        <sz val="9"/>
        <rFont val="Times New Roman"/>
        <charset val="134"/>
      </rPr>
      <t>)                                    2018.12.18-2019.12.17(</t>
    </r>
    <r>
      <rPr>
        <sz val="9"/>
        <rFont val="微软雅黑"/>
        <charset val="134"/>
      </rPr>
      <t>租金</t>
    </r>
    <r>
      <rPr>
        <sz val="9"/>
        <rFont val="Times New Roman"/>
        <charset val="134"/>
      </rPr>
      <t>:66</t>
    </r>
    <r>
      <rPr>
        <sz val="9"/>
        <rFont val="微软雅黑"/>
        <charset val="134"/>
      </rPr>
      <t>万元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年</t>
    </r>
    <r>
      <rPr>
        <sz val="9"/>
        <rFont val="Times New Roman"/>
        <charset val="134"/>
      </rPr>
      <t>)                                    2019.12.18-2020.12.17(</t>
    </r>
    <r>
      <rPr>
        <sz val="9"/>
        <rFont val="微软雅黑"/>
        <charset val="134"/>
      </rPr>
      <t>租金</t>
    </r>
    <r>
      <rPr>
        <sz val="9"/>
        <rFont val="Times New Roman"/>
        <charset val="134"/>
      </rPr>
      <t>:74</t>
    </r>
    <r>
      <rPr>
        <sz val="9"/>
        <rFont val="微软雅黑"/>
        <charset val="134"/>
      </rPr>
      <t>万元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年</t>
    </r>
    <r>
      <rPr>
        <sz val="9"/>
        <rFont val="Times New Roman"/>
        <charset val="134"/>
      </rPr>
      <t>)                                   2020.12.18-2021.12.17(</t>
    </r>
    <r>
      <rPr>
        <sz val="9"/>
        <rFont val="微软雅黑"/>
        <charset val="134"/>
      </rPr>
      <t>租金</t>
    </r>
    <r>
      <rPr>
        <sz val="9"/>
        <rFont val="Times New Roman"/>
        <charset val="134"/>
      </rPr>
      <t>:82</t>
    </r>
    <r>
      <rPr>
        <sz val="9"/>
        <rFont val="微软雅黑"/>
        <charset val="134"/>
      </rPr>
      <t>万元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年</t>
    </r>
    <r>
      <rPr>
        <sz val="9"/>
        <rFont val="Times New Roman"/>
        <charset val="134"/>
      </rPr>
      <t xml:space="preserve">)                                               </t>
    </r>
  </si>
  <si>
    <r>
      <rPr>
        <sz val="10"/>
        <rFont val="Times New Roman"/>
        <charset val="134"/>
      </rPr>
      <t>2016.12.18-2017.12.17(</t>
    </r>
    <r>
      <rPr>
        <sz val="10"/>
        <rFont val="宋体"/>
        <charset val="134"/>
      </rPr>
      <t>商业管理费</t>
    </r>
    <r>
      <rPr>
        <sz val="10"/>
        <rFont val="Times New Roman"/>
        <charset val="134"/>
      </rPr>
      <t>:10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;</t>
    </r>
    <r>
      <rPr>
        <sz val="10"/>
        <rFont val="宋体"/>
        <charset val="134"/>
      </rPr>
      <t>物业管理费</t>
    </r>
    <r>
      <rPr>
        <sz val="10"/>
        <rFont val="Times New Roman"/>
        <charset val="134"/>
      </rPr>
      <t>:10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                                 2017.12.18-2018.12.17(</t>
    </r>
    <r>
      <rPr>
        <sz val="10"/>
        <rFont val="宋体"/>
        <charset val="134"/>
      </rPr>
      <t>商业管理费</t>
    </r>
    <r>
      <rPr>
        <sz val="10"/>
        <rFont val="Times New Roman"/>
        <charset val="134"/>
      </rPr>
      <t>:10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;</t>
    </r>
    <r>
      <rPr>
        <sz val="10"/>
        <rFont val="宋体"/>
        <charset val="134"/>
      </rPr>
      <t>物业管理费</t>
    </r>
    <r>
      <rPr>
        <sz val="10"/>
        <rFont val="Times New Roman"/>
        <charset val="134"/>
      </rPr>
      <t>:12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                                    2018.12.18-2019.12.17(</t>
    </r>
    <r>
      <rPr>
        <sz val="10"/>
        <rFont val="宋体"/>
        <charset val="134"/>
      </rPr>
      <t>商业管理费</t>
    </r>
    <r>
      <rPr>
        <sz val="10"/>
        <rFont val="Times New Roman"/>
        <charset val="134"/>
      </rPr>
      <t>:10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;</t>
    </r>
    <r>
      <rPr>
        <sz val="10"/>
        <rFont val="宋体"/>
        <charset val="134"/>
      </rPr>
      <t>物业管理费</t>
    </r>
    <r>
      <rPr>
        <sz val="10"/>
        <rFont val="Times New Roman"/>
        <charset val="134"/>
      </rPr>
      <t>:14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                                    2019.12.18-2020.12.17(</t>
    </r>
    <r>
      <rPr>
        <sz val="10"/>
        <rFont val="宋体"/>
        <charset val="134"/>
      </rPr>
      <t>商业管理费</t>
    </r>
    <r>
      <rPr>
        <sz val="10"/>
        <rFont val="Times New Roman"/>
        <charset val="134"/>
      </rPr>
      <t>:10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;</t>
    </r>
    <r>
      <rPr>
        <sz val="10"/>
        <rFont val="宋体"/>
        <charset val="134"/>
      </rPr>
      <t>物业管理费</t>
    </r>
    <r>
      <rPr>
        <sz val="10"/>
        <rFont val="Times New Roman"/>
        <charset val="134"/>
      </rPr>
      <t>:11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                                 2020.12.18-2021.12.17(</t>
    </r>
    <r>
      <rPr>
        <sz val="10"/>
        <rFont val="宋体"/>
        <charset val="134"/>
      </rPr>
      <t>商业管理费</t>
    </r>
    <r>
      <rPr>
        <sz val="10"/>
        <rFont val="Times New Roman"/>
        <charset val="134"/>
      </rPr>
      <t>:10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;</t>
    </r>
    <r>
      <rPr>
        <sz val="10"/>
        <rFont val="宋体"/>
        <charset val="134"/>
      </rPr>
      <t>物业管理费</t>
    </r>
    <r>
      <rPr>
        <sz val="10"/>
        <rFont val="Times New Roman"/>
        <charset val="134"/>
      </rPr>
      <t>:8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)                                               </t>
    </r>
  </si>
  <si>
    <r>
      <rPr>
        <sz val="10"/>
        <rFont val="宋体"/>
        <charset val="134"/>
      </rPr>
      <t>黄冈</t>
    </r>
  </si>
  <si>
    <r>
      <rPr>
        <sz val="9"/>
        <rFont val="微软雅黑"/>
        <charset val="134"/>
      </rPr>
      <t>黄冈奥康步行街集合店</t>
    </r>
  </si>
  <si>
    <r>
      <rPr>
        <sz val="9"/>
        <rFont val="微软雅黑"/>
        <charset val="134"/>
      </rPr>
      <t>黄冈工贸家电商贸有限公司</t>
    </r>
  </si>
  <si>
    <r>
      <rPr>
        <sz val="9"/>
        <rFont val="微软雅黑"/>
        <charset val="134"/>
      </rPr>
      <t>黄冈市黄州区奥康商业步行街</t>
    </r>
    <r>
      <rPr>
        <sz val="9"/>
        <rFont val="Times New Roman"/>
        <charset val="134"/>
      </rPr>
      <t>1</t>
    </r>
    <r>
      <rPr>
        <sz val="9"/>
        <rFont val="微软雅黑"/>
        <charset val="134"/>
      </rPr>
      <t>号</t>
    </r>
    <r>
      <rPr>
        <sz val="9"/>
        <rFont val="Times New Roman"/>
        <charset val="134"/>
      </rPr>
      <t>D</t>
    </r>
    <r>
      <rPr>
        <sz val="9"/>
        <rFont val="微软雅黑"/>
        <charset val="134"/>
      </rPr>
      <t>幢一楼</t>
    </r>
  </si>
  <si>
    <r>
      <rPr>
        <sz val="9"/>
        <rFont val="Times New Roman"/>
        <charset val="134"/>
      </rPr>
      <t>2017.1.1-2017.12.31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868219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年</t>
    </r>
    <r>
      <rPr>
        <sz val="9"/>
        <rFont val="Times New Roman"/>
        <charset val="134"/>
      </rPr>
      <t>,217055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季）</t>
    </r>
  </si>
  <si>
    <t>合同终止</t>
  </si>
  <si>
    <r>
      <rPr>
        <sz val="9"/>
        <rFont val="Times New Roman"/>
        <charset val="134"/>
      </rPr>
      <t>2018.1.1-2020.12.31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274500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季，</t>
    </r>
    <r>
      <rPr>
        <sz val="9"/>
        <rFont val="Times New Roman"/>
        <charset val="134"/>
      </rPr>
      <t>1098000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 xml:space="preserve">年）
</t>
    </r>
    <r>
      <rPr>
        <sz val="9"/>
        <rFont val="Times New Roman"/>
        <charset val="134"/>
      </rPr>
      <t>2021.1.1-2022.12.31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288225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季，</t>
    </r>
    <r>
      <rPr>
        <sz val="9"/>
        <rFont val="Times New Roman"/>
        <charset val="134"/>
      </rPr>
      <t>1152900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年）</t>
    </r>
  </si>
  <si>
    <r>
      <rPr>
        <sz val="10"/>
        <rFont val="宋体"/>
        <charset val="134"/>
      </rPr>
      <t>随州</t>
    </r>
  </si>
  <si>
    <r>
      <rPr>
        <sz val="9"/>
        <rFont val="微软雅黑"/>
        <charset val="134"/>
      </rPr>
      <t>随州大润发集合店</t>
    </r>
  </si>
  <si>
    <r>
      <rPr>
        <sz val="9"/>
        <rFont val="微软雅黑"/>
        <charset val="134"/>
      </rPr>
      <t>随州大润发运动城</t>
    </r>
  </si>
  <si>
    <r>
      <rPr>
        <sz val="9"/>
        <rFont val="微软雅黑"/>
        <charset val="134"/>
      </rPr>
      <t>随州大润发商业有限公司</t>
    </r>
  </si>
  <si>
    <r>
      <rPr>
        <sz val="9"/>
        <rFont val="微软雅黑"/>
        <charset val="134"/>
      </rPr>
      <t>随州店商店街</t>
    </r>
    <r>
      <rPr>
        <sz val="9"/>
        <rFont val="Times New Roman"/>
        <charset val="134"/>
      </rPr>
      <t>1060</t>
    </r>
    <r>
      <rPr>
        <sz val="9"/>
        <rFont val="微软雅黑"/>
        <charset val="134"/>
      </rPr>
      <t>号柜面</t>
    </r>
  </si>
  <si>
    <r>
      <rPr>
        <sz val="9"/>
        <rFont val="Times New Roman"/>
        <charset val="134"/>
      </rPr>
      <t>2017.1.1-2017.12.31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59240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月），</t>
    </r>
    <r>
      <rPr>
        <sz val="9"/>
        <rFont val="Times New Roman"/>
        <charset val="134"/>
      </rPr>
      <t>2018.1.1-2018.12.31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65160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月）</t>
    </r>
  </si>
  <si>
    <r>
      <rPr>
        <sz val="10"/>
        <rFont val="Times New Roman"/>
        <charset val="134"/>
      </rPr>
      <t>POP</t>
    </r>
    <r>
      <rPr>
        <sz val="10"/>
        <rFont val="宋体"/>
        <charset val="134"/>
      </rPr>
      <t>架租金费用</t>
    </r>
    <r>
      <rPr>
        <sz val="10"/>
        <rFont val="Times New Roman"/>
        <charset val="134"/>
      </rPr>
      <t>50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</si>
  <si>
    <r>
      <rPr>
        <sz val="10"/>
        <rFont val="宋体"/>
        <charset val="134"/>
      </rPr>
      <t>孝感</t>
    </r>
  </si>
  <si>
    <r>
      <rPr>
        <sz val="9"/>
        <rFont val="微软雅黑"/>
        <charset val="134"/>
      </rPr>
      <t>孝感银泰百货李宁</t>
    </r>
  </si>
  <si>
    <r>
      <rPr>
        <sz val="9"/>
        <rFont val="微软雅黑"/>
        <charset val="134"/>
      </rPr>
      <t>孝感银泰商贸有限公司</t>
    </r>
  </si>
  <si>
    <r>
      <rPr>
        <sz val="9"/>
        <rFont val="微软雅黑"/>
        <charset val="134"/>
      </rPr>
      <t>孝感银泰百货</t>
    </r>
    <r>
      <rPr>
        <sz val="9"/>
        <rFont val="Times New Roman"/>
        <charset val="134"/>
      </rPr>
      <t>3F301-2</t>
    </r>
  </si>
  <si>
    <r>
      <rPr>
        <sz val="9"/>
        <rFont val="Times New Roman"/>
        <charset val="134"/>
      </rPr>
      <t>2017.5.26-2019.5.25(</t>
    </r>
    <r>
      <rPr>
        <sz val="9"/>
        <rFont val="微软雅黑"/>
        <charset val="134"/>
      </rPr>
      <t>抽成租金</t>
    </r>
    <r>
      <rPr>
        <sz val="9"/>
        <rFont val="Times New Roman"/>
        <charset val="134"/>
      </rPr>
      <t>10%</t>
    </r>
    <r>
      <rPr>
        <sz val="9"/>
        <rFont val="微软雅黑"/>
        <charset val="134"/>
      </rPr>
      <t>）</t>
    </r>
    <r>
      <rPr>
        <sz val="9"/>
        <rFont val="Times New Roman"/>
        <charset val="134"/>
      </rPr>
      <t>2019.5.26-2020.5.25</t>
    </r>
    <r>
      <rPr>
        <sz val="9"/>
        <rFont val="微软雅黑"/>
        <charset val="134"/>
      </rPr>
      <t>（抽成租金</t>
    </r>
    <r>
      <rPr>
        <sz val="9"/>
        <rFont val="Times New Roman"/>
        <charset val="134"/>
      </rPr>
      <t>11%</t>
    </r>
    <r>
      <rPr>
        <sz val="9"/>
        <rFont val="微软雅黑"/>
        <charset val="134"/>
      </rPr>
      <t>）</t>
    </r>
  </si>
  <si>
    <r>
      <rPr>
        <sz val="9"/>
        <rFont val="微软雅黑"/>
        <charset val="134"/>
      </rPr>
      <t>孝感银泰百货阿迪</t>
    </r>
  </si>
  <si>
    <r>
      <rPr>
        <sz val="9"/>
        <rFont val="微软雅黑"/>
        <charset val="134"/>
      </rPr>
      <t>孝感银泰百货</t>
    </r>
    <r>
      <rPr>
        <sz val="9"/>
        <rFont val="Times New Roman"/>
        <charset val="134"/>
      </rPr>
      <t>3F302-1</t>
    </r>
  </si>
  <si>
    <r>
      <rPr>
        <sz val="9"/>
        <rFont val="微软雅黑"/>
        <charset val="134"/>
      </rPr>
      <t>孝感银泰百货阿迪生活</t>
    </r>
  </si>
  <si>
    <r>
      <rPr>
        <sz val="9"/>
        <rFont val="微软雅黑"/>
        <charset val="134"/>
      </rPr>
      <t>孝感银泰百货</t>
    </r>
    <r>
      <rPr>
        <sz val="9"/>
        <rFont val="Times New Roman"/>
        <charset val="134"/>
      </rPr>
      <t>1F108</t>
    </r>
  </si>
  <si>
    <r>
      <rPr>
        <sz val="9"/>
        <rFont val="微软雅黑"/>
        <charset val="134"/>
      </rPr>
      <t>孝感银泰百货耐克</t>
    </r>
  </si>
  <si>
    <r>
      <rPr>
        <sz val="9"/>
        <rFont val="微软雅黑"/>
        <charset val="134"/>
      </rPr>
      <t>孝感银泰百货</t>
    </r>
    <r>
      <rPr>
        <sz val="9"/>
        <rFont val="Times New Roman"/>
        <charset val="134"/>
      </rPr>
      <t>3F302-2</t>
    </r>
  </si>
  <si>
    <r>
      <rPr>
        <sz val="9"/>
        <rFont val="微软雅黑"/>
        <charset val="134"/>
      </rPr>
      <t>孝感银泰百货耐克</t>
    </r>
    <r>
      <rPr>
        <sz val="9"/>
        <rFont val="Times New Roman"/>
        <charset val="134"/>
      </rPr>
      <t>360</t>
    </r>
  </si>
  <si>
    <r>
      <rPr>
        <sz val="9"/>
        <rFont val="微软雅黑"/>
        <charset val="134"/>
      </rPr>
      <t>孝感银泰百货</t>
    </r>
    <r>
      <rPr>
        <sz val="9"/>
        <rFont val="Times New Roman"/>
        <charset val="134"/>
      </rPr>
      <t>1F107</t>
    </r>
  </si>
  <si>
    <t>武汉</t>
  </si>
  <si>
    <t>江北交通路</t>
  </si>
  <si>
    <t>邓奎</t>
  </si>
  <si>
    <t>武汉轻轨2号线江汉路站还建楼项目1-58</t>
  </si>
  <si>
    <t>2017.9.1-2020.8.31（租金：5890726元/年）
2020.9.1-2021.8.31  (租金：6185262元/年） 
2021.9.1-2022.8.31（租金：6494526元/年）</t>
  </si>
  <si>
    <t>襄阳</t>
  </si>
  <si>
    <t>襄阳民发广场运动城</t>
  </si>
  <si>
    <t>襄阳市汇誉商业管理有限公司</t>
  </si>
  <si>
    <t>襄阳市襄州区张湾街道办事处西湾村1组（交警一大队旁）</t>
  </si>
  <si>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租金或扣点两者取其高</t>
    </r>
    <r>
      <rPr>
        <sz val="9"/>
        <rFont val="Times New Roman"/>
        <charset val="134"/>
      </rPr>
      <t xml:space="preserve">                                                                                                    2017.9.15-2018.9.14</t>
    </r>
    <r>
      <rPr>
        <sz val="9"/>
        <rFont val="宋体"/>
        <charset val="134"/>
      </rPr>
      <t>（租金</t>
    </r>
    <r>
      <rPr>
        <sz val="9"/>
        <rFont val="Times New Roman"/>
        <charset val="134"/>
      </rPr>
      <t>:31164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 xml:space="preserve">月）
</t>
    </r>
    <r>
      <rPr>
        <sz val="9"/>
        <rFont val="Times New Roman"/>
        <charset val="134"/>
      </rPr>
      <t>2018.9.15-2020.9.14</t>
    </r>
    <r>
      <rPr>
        <sz val="9"/>
        <rFont val="宋体"/>
        <charset val="134"/>
      </rPr>
      <t>（租金</t>
    </r>
    <r>
      <rPr>
        <sz val="9"/>
        <rFont val="Times New Roman"/>
        <charset val="134"/>
      </rPr>
      <t>:62328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</t>
    </r>
    <r>
      <rPr>
        <sz val="9"/>
        <rFont val="Times New Roman"/>
        <charset val="134"/>
      </rPr>
      <t>)                                          
2020.9.15-2023.9.14  (</t>
    </r>
    <r>
      <rPr>
        <sz val="9"/>
        <rFont val="宋体"/>
        <charset val="134"/>
      </rPr>
      <t>租金</t>
    </r>
    <r>
      <rPr>
        <sz val="9"/>
        <rFont val="Times New Roman"/>
        <charset val="134"/>
      </rPr>
      <t>:68560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</t>
    </r>
    <r>
      <rPr>
        <sz val="9"/>
        <rFont val="Times New Roman"/>
        <charset val="134"/>
      </rPr>
      <t>)
2023.9.15-2027.9.14  (</t>
    </r>
    <r>
      <rPr>
        <sz val="9"/>
        <rFont val="宋体"/>
        <charset val="134"/>
      </rPr>
      <t>租金</t>
    </r>
    <r>
      <rPr>
        <sz val="9"/>
        <rFont val="Times New Roman"/>
        <charset val="134"/>
      </rPr>
      <t>:76855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</t>
    </r>
    <r>
      <rPr>
        <sz val="9"/>
        <rFont val="Times New Roman"/>
        <charset val="134"/>
      </rPr>
      <t>)                              2017.9.15-2020.9.14</t>
    </r>
    <r>
      <rPr>
        <sz val="9"/>
        <rFont val="宋体"/>
        <charset val="134"/>
      </rPr>
      <t>（提成</t>
    </r>
    <r>
      <rPr>
        <sz val="9"/>
        <rFont val="Times New Roman"/>
        <charset val="134"/>
      </rPr>
      <t>:8.5</t>
    </r>
    <r>
      <rPr>
        <sz val="9"/>
        <rFont val="宋体"/>
        <charset val="134"/>
      </rPr>
      <t>折</t>
    </r>
    <r>
      <rPr>
        <sz val="9"/>
        <rFont val="Times New Roman"/>
        <charset val="134"/>
      </rPr>
      <t>10%,6-8.4</t>
    </r>
    <r>
      <rPr>
        <sz val="9"/>
        <rFont val="宋体"/>
        <charset val="134"/>
      </rPr>
      <t>折</t>
    </r>
    <r>
      <rPr>
        <sz val="9"/>
        <rFont val="Times New Roman"/>
        <charset val="134"/>
      </rPr>
      <t>8%,5.9</t>
    </r>
    <r>
      <rPr>
        <sz val="9"/>
        <rFont val="宋体"/>
        <charset val="134"/>
      </rPr>
      <t>折以下</t>
    </r>
    <r>
      <rPr>
        <sz val="9"/>
        <rFont val="Times New Roman"/>
        <charset val="134"/>
      </rPr>
      <t>6%</t>
    </r>
    <r>
      <rPr>
        <sz val="9"/>
        <rFont val="宋体"/>
        <charset val="134"/>
      </rPr>
      <t xml:space="preserve">）
</t>
    </r>
    <r>
      <rPr>
        <sz val="9"/>
        <rFont val="Times New Roman"/>
        <charset val="134"/>
      </rPr>
      <t>2020.9.15-2023.9.14</t>
    </r>
    <r>
      <rPr>
        <sz val="9"/>
        <rFont val="宋体"/>
        <charset val="134"/>
      </rPr>
      <t>（提成</t>
    </r>
    <r>
      <rPr>
        <sz val="9"/>
        <rFont val="Times New Roman"/>
        <charset val="134"/>
      </rPr>
      <t>:8.5</t>
    </r>
    <r>
      <rPr>
        <sz val="9"/>
        <rFont val="宋体"/>
        <charset val="134"/>
      </rPr>
      <t>折</t>
    </r>
    <r>
      <rPr>
        <sz val="9"/>
        <rFont val="Times New Roman"/>
        <charset val="134"/>
      </rPr>
      <t>11%,6-8.4</t>
    </r>
    <r>
      <rPr>
        <sz val="9"/>
        <rFont val="宋体"/>
        <charset val="134"/>
      </rPr>
      <t>折</t>
    </r>
    <r>
      <rPr>
        <sz val="9"/>
        <rFont val="Times New Roman"/>
        <charset val="134"/>
      </rPr>
      <t>9%,5.9</t>
    </r>
    <r>
      <rPr>
        <sz val="9"/>
        <rFont val="宋体"/>
        <charset val="134"/>
      </rPr>
      <t>折以下</t>
    </r>
    <r>
      <rPr>
        <sz val="9"/>
        <rFont val="Times New Roman"/>
        <charset val="134"/>
      </rPr>
      <t>7%</t>
    </r>
    <r>
      <rPr>
        <sz val="9"/>
        <rFont val="宋体"/>
        <charset val="134"/>
      </rPr>
      <t xml:space="preserve">）
</t>
    </r>
    <r>
      <rPr>
        <sz val="9"/>
        <rFont val="Times New Roman"/>
        <charset val="134"/>
      </rPr>
      <t>2023.9.15-2027.9.14</t>
    </r>
    <r>
      <rPr>
        <sz val="9"/>
        <rFont val="宋体"/>
        <charset val="134"/>
      </rPr>
      <t>（提成</t>
    </r>
    <r>
      <rPr>
        <sz val="9"/>
        <rFont val="Times New Roman"/>
        <charset val="134"/>
      </rPr>
      <t>:8.5</t>
    </r>
    <r>
      <rPr>
        <sz val="9"/>
        <rFont val="宋体"/>
        <charset val="134"/>
      </rPr>
      <t>折</t>
    </r>
    <r>
      <rPr>
        <sz val="9"/>
        <rFont val="Times New Roman"/>
        <charset val="134"/>
      </rPr>
      <t>12%,6-8.4</t>
    </r>
    <r>
      <rPr>
        <sz val="9"/>
        <rFont val="宋体"/>
        <charset val="134"/>
      </rPr>
      <t>折</t>
    </r>
    <r>
      <rPr>
        <sz val="9"/>
        <rFont val="Times New Roman"/>
        <charset val="134"/>
      </rPr>
      <t>10%,5.9</t>
    </r>
    <r>
      <rPr>
        <sz val="9"/>
        <rFont val="宋体"/>
        <charset val="134"/>
      </rPr>
      <t>折以下</t>
    </r>
    <r>
      <rPr>
        <sz val="9"/>
        <rFont val="Times New Roman"/>
        <charset val="134"/>
      </rPr>
      <t>8%</t>
    </r>
    <r>
      <rPr>
        <sz val="9"/>
        <rFont val="宋体"/>
        <charset val="134"/>
      </rPr>
      <t>）</t>
    </r>
  </si>
  <si>
    <t>直营</t>
  </si>
  <si>
    <t>地铺店</t>
  </si>
  <si>
    <t>武汉K11耐克店</t>
  </si>
  <si>
    <t>江南光谷K11耐克店</t>
  </si>
  <si>
    <t>新世界嘉业（武汉）有限公司</t>
  </si>
  <si>
    <t>武汉东湖新技术开发区关山大道353号I座</t>
  </si>
  <si>
    <r>
      <rPr>
        <sz val="9"/>
        <rFont val="宋体"/>
        <charset val="134"/>
      </rPr>
      <t>第一年租金：</t>
    </r>
    <r>
      <rPr>
        <sz val="9"/>
        <rFont val="Times New Roman"/>
        <charset val="134"/>
      </rPr>
      <t>0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平米
第二年租金：第一年实收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（天数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面积）</t>
    </r>
    <r>
      <rPr>
        <sz val="9"/>
        <rFont val="Times New Roman"/>
        <charset val="134"/>
      </rPr>
      <t xml:space="preserve">*100%
</t>
    </r>
    <r>
      <rPr>
        <sz val="9"/>
        <rFont val="宋体"/>
        <charset val="134"/>
      </rPr>
      <t>第三年租金：</t>
    </r>
    <r>
      <rPr>
        <sz val="9"/>
        <rFont val="Times New Roman"/>
        <charset val="134"/>
      </rPr>
      <t>9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平米
第四年租金：</t>
    </r>
    <r>
      <rPr>
        <sz val="9"/>
        <rFont val="Times New Roman"/>
        <charset val="134"/>
      </rPr>
      <t>10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平米
第五年租金：</t>
    </r>
    <r>
      <rPr>
        <sz val="9"/>
        <rFont val="Times New Roman"/>
        <charset val="134"/>
      </rPr>
      <t>11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平米</t>
    </r>
    <r>
      <rPr>
        <sz val="9"/>
        <rFont val="Times New Roman"/>
        <charset val="134"/>
      </rPr>
      <t xml:space="preserve">                                                           </t>
    </r>
    <r>
      <rPr>
        <sz val="9"/>
        <rFont val="宋体"/>
        <charset val="134"/>
      </rPr>
      <t>第一年租金：抽成租金：</t>
    </r>
    <r>
      <rPr>
        <sz val="9"/>
        <rFont val="Times New Roman"/>
        <charset val="134"/>
      </rPr>
      <t xml:space="preserve">12%
</t>
    </r>
    <r>
      <rPr>
        <sz val="9"/>
        <rFont val="宋体"/>
        <charset val="134"/>
      </rPr>
      <t>第二年租金：抽成租金：</t>
    </r>
    <r>
      <rPr>
        <sz val="9"/>
        <rFont val="Times New Roman"/>
        <charset val="134"/>
      </rPr>
      <t xml:space="preserve">12%
</t>
    </r>
    <r>
      <rPr>
        <sz val="9"/>
        <rFont val="宋体"/>
        <charset val="134"/>
      </rPr>
      <t>第三年租金：抽成租金：</t>
    </r>
    <r>
      <rPr>
        <sz val="9"/>
        <rFont val="Times New Roman"/>
        <charset val="134"/>
      </rPr>
      <t xml:space="preserve">13%
</t>
    </r>
    <r>
      <rPr>
        <sz val="9"/>
        <rFont val="宋体"/>
        <charset val="134"/>
      </rPr>
      <t>第四年租金：抽成租金：</t>
    </r>
    <r>
      <rPr>
        <sz val="9"/>
        <rFont val="Times New Roman"/>
        <charset val="134"/>
      </rPr>
      <t xml:space="preserve">14%
</t>
    </r>
    <r>
      <rPr>
        <sz val="9"/>
        <rFont val="宋体"/>
        <charset val="134"/>
      </rPr>
      <t>第五年租金：抽成租金：</t>
    </r>
    <r>
      <rPr>
        <sz val="9"/>
        <rFont val="Times New Roman"/>
        <charset val="134"/>
      </rPr>
      <t xml:space="preserve">15%   </t>
    </r>
    <r>
      <rPr>
        <sz val="9"/>
        <rFont val="宋体"/>
        <charset val="134"/>
      </rPr>
      <t xml:space="preserve">两者取其高者
</t>
    </r>
  </si>
  <si>
    <t>物业：80元/平方/月（36240元/月）</t>
  </si>
  <si>
    <t>孝感</t>
  </si>
  <si>
    <t>孝感文化路</t>
  </si>
  <si>
    <t>孝感文化广场美邦</t>
  </si>
  <si>
    <t>孝感杰丽</t>
  </si>
  <si>
    <t>孝感文化路52号门面</t>
  </si>
  <si>
    <r>
      <rPr>
        <sz val="9"/>
        <rFont val="Times New Roman"/>
        <charset val="134"/>
      </rPr>
      <t>2017.06.1-2017.12.31</t>
    </r>
    <r>
      <rPr>
        <sz val="9"/>
        <rFont val="宋体"/>
        <charset val="134"/>
      </rPr>
      <t>（租金共计</t>
    </r>
    <r>
      <rPr>
        <sz val="9"/>
        <rFont val="Times New Roman"/>
        <charset val="134"/>
      </rPr>
      <t>300000</t>
    </r>
    <r>
      <rPr>
        <sz val="9"/>
        <rFont val="宋体"/>
        <charset val="134"/>
      </rPr>
      <t>元</t>
    </r>
    <r>
      <rPr>
        <sz val="9"/>
        <rFont val="宋体"/>
        <charset val="134"/>
      </rPr>
      <t>）</t>
    </r>
  </si>
  <si>
    <t>集合店</t>
  </si>
  <si>
    <t>青山印象城</t>
  </si>
  <si>
    <t>武汉青山印象城集合店</t>
  </si>
  <si>
    <t>湖北胜道体育用品有限公司</t>
  </si>
  <si>
    <t>武汉市青山区和平大道1278号01-14商铺</t>
  </si>
  <si>
    <t>2017.8.28-2020.8.27（租金：150万元/年）</t>
  </si>
  <si>
    <t>江北宜家万斯</t>
  </si>
  <si>
    <t>武汉英特宜家置业有限公司</t>
  </si>
  <si>
    <t>武汉市桥口区长宜路1号购物中心L12层1-12-08-SU单元号</t>
  </si>
  <si>
    <r>
      <rPr>
        <sz val="9"/>
        <rFont val="Times New Roman"/>
        <charset val="134"/>
      </rPr>
      <t>2017.11.15-2018.11.14</t>
    </r>
    <r>
      <rPr>
        <sz val="9"/>
        <rFont val="宋体"/>
        <charset val="134"/>
      </rPr>
      <t>（基本租金：</t>
    </r>
    <r>
      <rPr>
        <sz val="9"/>
        <rFont val="Times New Roman"/>
        <charset val="134"/>
      </rPr>
      <t>304.17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平方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 xml:space="preserve">月）
</t>
    </r>
    <r>
      <rPr>
        <sz val="9"/>
        <rFont val="Times New Roman"/>
        <charset val="134"/>
      </rPr>
      <t>2018.11.15-2019.11.14</t>
    </r>
    <r>
      <rPr>
        <sz val="9"/>
        <rFont val="宋体"/>
        <charset val="134"/>
      </rPr>
      <t>（基本租金：</t>
    </r>
    <r>
      <rPr>
        <sz val="9"/>
        <rFont val="Times New Roman"/>
        <charset val="134"/>
      </rPr>
      <t>334.58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平方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                                                                     2017.11.15-2019.11.14</t>
    </r>
    <r>
      <rPr>
        <sz val="9"/>
        <rFont val="宋体"/>
        <charset val="134"/>
      </rPr>
      <t>（提成比例：</t>
    </r>
    <r>
      <rPr>
        <sz val="9"/>
        <rFont val="Times New Roman"/>
        <charset val="134"/>
      </rPr>
      <t>15%</t>
    </r>
    <r>
      <rPr>
        <sz val="9"/>
        <rFont val="宋体"/>
        <charset val="134"/>
      </rPr>
      <t>）</t>
    </r>
  </si>
  <si>
    <t>2017.11.15-2018.11.14物业费:70元/平米/月,推广费;13.89元/平米/月
2018.11.15-2019.11.14物业费:70元/平米/月,推广费;14.58元/平米/月
（推广费从第二年度每年向上调整5%）</t>
  </si>
  <si>
    <r>
      <rPr>
        <sz val="10"/>
        <rFont val="微软雅黑"/>
        <charset val="134"/>
      </rPr>
      <t>江北江汉路李宁一店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耐克、匡威</t>
    </r>
  </si>
  <si>
    <r>
      <rPr>
        <sz val="10"/>
        <rFont val="Arial"/>
        <charset val="134"/>
      </rPr>
      <t>江北江汉路</t>
    </r>
  </si>
  <si>
    <r>
      <rPr>
        <sz val="10"/>
        <rFont val="微软雅黑"/>
        <charset val="134"/>
      </rPr>
      <t>武汉鑫隆经贸有限责任公司</t>
    </r>
  </si>
  <si>
    <r>
      <rPr>
        <sz val="10"/>
        <rFont val="微软雅黑"/>
        <charset val="134"/>
      </rPr>
      <t>武汉市江岸区江汉路</t>
    </r>
    <r>
      <rPr>
        <sz val="10"/>
        <rFont val="Times New Roman"/>
        <charset val="134"/>
      </rPr>
      <t>184</t>
    </r>
    <r>
      <rPr>
        <sz val="10"/>
        <rFont val="微软雅黑"/>
        <charset val="134"/>
      </rPr>
      <t>号</t>
    </r>
    <r>
      <rPr>
        <sz val="10"/>
        <rFont val="Times New Roman"/>
        <charset val="134"/>
      </rPr>
      <t>3-4</t>
    </r>
    <r>
      <rPr>
        <sz val="10"/>
        <rFont val="微软雅黑"/>
        <charset val="134"/>
      </rPr>
      <t>栋</t>
    </r>
    <r>
      <rPr>
        <sz val="10"/>
        <rFont val="Times New Roman"/>
        <charset val="134"/>
      </rPr>
      <t>1</t>
    </r>
    <r>
      <rPr>
        <sz val="10"/>
        <rFont val="微软雅黑"/>
        <charset val="134"/>
      </rPr>
      <t>楼</t>
    </r>
    <r>
      <rPr>
        <sz val="10"/>
        <rFont val="Times New Roman"/>
        <charset val="134"/>
      </rPr>
      <t>2</t>
    </r>
    <r>
      <rPr>
        <sz val="10"/>
        <rFont val="微软雅黑"/>
        <charset val="134"/>
      </rPr>
      <t>号房</t>
    </r>
  </si>
  <si>
    <r>
      <rPr>
        <sz val="10"/>
        <rFont val="Times New Roman"/>
        <charset val="134"/>
      </rPr>
      <t>2015.01.01-2017.12.31(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                      2018.01.01-2018.12.31(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:22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</si>
  <si>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江北江汉路李宁一店</t>
    </r>
    <r>
      <rPr>
        <sz val="10"/>
        <rFont val="Times New Roman"/>
        <charset val="134"/>
      </rPr>
      <t>(</t>
    </r>
    <r>
      <rPr>
        <sz val="10"/>
        <rFont val="微软雅黑"/>
        <charset val="134"/>
      </rPr>
      <t>外仓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</si>
  <si>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罗群</t>
    </r>
  </si>
  <si>
    <r>
      <rPr>
        <sz val="10"/>
        <rFont val="微软雅黑"/>
        <charset val="134"/>
      </rPr>
      <t>武汉市江汉区江汉路福新里</t>
    </r>
    <r>
      <rPr>
        <sz val="10"/>
        <rFont val="Times New Roman"/>
        <charset val="134"/>
      </rPr>
      <t>4</t>
    </r>
    <r>
      <rPr>
        <sz val="10"/>
        <rFont val="微软雅黑"/>
        <charset val="134"/>
      </rPr>
      <t>号一楼</t>
    </r>
  </si>
  <si>
    <r>
      <rPr>
        <sz val="10"/>
        <rFont val="Times New Roman"/>
        <charset val="134"/>
      </rPr>
      <t>2012.10.16-2015.10.15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13200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2015.12.01-2017.12.31(13200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</si>
  <si>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办公室</t>
    </r>
  </si>
  <si>
    <r>
      <rPr>
        <sz val="10"/>
        <rFont val="微软雅黑"/>
        <charset val="134"/>
      </rPr>
      <t>襄阳办公室</t>
    </r>
  </si>
  <si>
    <r>
      <rPr>
        <sz val="10"/>
        <rFont val="微软雅黑"/>
        <charset val="134"/>
      </rPr>
      <t>湖北小白象商贸有限公司</t>
    </r>
    <r>
      <rPr>
        <sz val="10"/>
        <rFont val="Times New Roman"/>
        <charset val="134"/>
      </rPr>
      <t xml:space="preserve"> </t>
    </r>
  </si>
  <si>
    <r>
      <rPr>
        <sz val="10"/>
        <rFont val="微软雅黑"/>
        <charset val="134"/>
      </rPr>
      <t>襄阳市长征路都市花园</t>
    </r>
    <r>
      <rPr>
        <sz val="10"/>
        <rFont val="Times New Roman"/>
        <charset val="134"/>
      </rPr>
      <t>2#</t>
    </r>
    <r>
      <rPr>
        <sz val="10"/>
        <rFont val="微软雅黑"/>
        <charset val="134"/>
      </rPr>
      <t>－</t>
    </r>
    <r>
      <rPr>
        <sz val="10"/>
        <rFont val="Times New Roman"/>
        <charset val="134"/>
      </rPr>
      <t>2</t>
    </r>
    <r>
      <rPr>
        <sz val="10"/>
        <rFont val="微软雅黑"/>
        <charset val="134"/>
      </rPr>
      <t>房</t>
    </r>
  </si>
  <si>
    <r>
      <rPr>
        <sz val="10"/>
        <rFont val="Times New Roman"/>
        <charset val="134"/>
      </rPr>
      <t>2012.09.05-2013.09.04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48000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2013.09.05-2014.09.04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50000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2014.09.05-2016.09.04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60000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2016.09.05-2017.09.04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63000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                         2017.09.05-2020.09.04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62000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</si>
  <si>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微软雅黑"/>
        <charset val="134"/>
      </rPr>
      <t>荆门办公室</t>
    </r>
  </si>
  <si>
    <r>
      <rPr>
        <sz val="10"/>
        <rFont val="微软雅黑"/>
        <charset val="134"/>
      </rPr>
      <t>周仙桃</t>
    </r>
  </si>
  <si>
    <r>
      <rPr>
        <sz val="10"/>
        <rFont val="微软雅黑"/>
        <charset val="134"/>
      </rPr>
      <t>荆门长宁大道</t>
    </r>
    <r>
      <rPr>
        <sz val="10"/>
        <rFont val="Times New Roman"/>
        <charset val="134"/>
      </rPr>
      <t>68</t>
    </r>
    <r>
      <rPr>
        <sz val="10"/>
        <rFont val="微软雅黑"/>
        <charset val="134"/>
      </rPr>
      <t>号金地广场</t>
    </r>
    <r>
      <rPr>
        <sz val="10"/>
        <rFont val="Times New Roman"/>
        <charset val="134"/>
      </rPr>
      <t>24</t>
    </r>
    <r>
      <rPr>
        <sz val="10"/>
        <rFont val="微软雅黑"/>
        <charset val="134"/>
      </rPr>
      <t>楼</t>
    </r>
    <r>
      <rPr>
        <sz val="10"/>
        <rFont val="Times New Roman"/>
        <charset val="134"/>
      </rPr>
      <t>2401</t>
    </r>
    <r>
      <rPr>
        <sz val="10"/>
        <rFont val="微软雅黑"/>
        <charset val="134"/>
      </rPr>
      <t>号</t>
    </r>
  </si>
  <si>
    <r>
      <rPr>
        <sz val="10"/>
        <rFont val="Times New Roman"/>
        <charset val="134"/>
      </rPr>
      <t>2014.03.01-2019.02.28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29000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</si>
  <si>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微软雅黑"/>
        <charset val="134"/>
      </rPr>
      <t>十堰办公室</t>
    </r>
  </si>
  <si>
    <r>
      <rPr>
        <sz val="10"/>
        <rFont val="微软雅黑"/>
        <charset val="134"/>
      </rPr>
      <t>茅箭区五堰诗阳广告部</t>
    </r>
  </si>
  <si>
    <r>
      <rPr>
        <sz val="10"/>
        <rFont val="微软雅黑"/>
        <charset val="134"/>
      </rPr>
      <t>十堰市人民路三号六楼南边</t>
    </r>
  </si>
  <si>
    <r>
      <rPr>
        <sz val="10"/>
        <rFont val="Times New Roman"/>
        <charset val="134"/>
      </rPr>
      <t>2014.06.20-2016.06.19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28000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2016.06.20-2018.06.19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28000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</si>
  <si>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微软雅黑"/>
        <charset val="134"/>
      </rPr>
      <t>仙桃</t>
    </r>
  </si>
  <si>
    <r>
      <rPr>
        <sz val="10"/>
        <rFont val="微软雅黑"/>
        <charset val="134"/>
      </rPr>
      <t>仙桃办公室</t>
    </r>
  </si>
  <si>
    <r>
      <rPr>
        <sz val="10"/>
        <rFont val="微软雅黑"/>
        <charset val="134"/>
      </rPr>
      <t>邱永新</t>
    </r>
  </si>
  <si>
    <r>
      <rPr>
        <sz val="10"/>
        <rFont val="微软雅黑"/>
        <charset val="134"/>
      </rPr>
      <t>谢红韬</t>
    </r>
  </si>
  <si>
    <r>
      <rPr>
        <sz val="10"/>
        <rFont val="微软雅黑"/>
        <charset val="134"/>
      </rPr>
      <t>宏运名居</t>
    </r>
    <r>
      <rPr>
        <sz val="10"/>
        <rFont val="Times New Roman"/>
        <charset val="134"/>
      </rPr>
      <t>2</t>
    </r>
    <r>
      <rPr>
        <sz val="10"/>
        <rFont val="微软雅黑"/>
        <charset val="134"/>
      </rPr>
      <t>号楼</t>
    </r>
    <r>
      <rPr>
        <sz val="10"/>
        <rFont val="Times New Roman"/>
        <charset val="134"/>
      </rPr>
      <t>1</t>
    </r>
    <r>
      <rPr>
        <sz val="10"/>
        <rFont val="微软雅黑"/>
        <charset val="134"/>
      </rPr>
      <t>单元</t>
    </r>
    <r>
      <rPr>
        <sz val="10"/>
        <rFont val="Times New Roman"/>
        <charset val="134"/>
      </rPr>
      <t>101</t>
    </r>
  </si>
  <si>
    <r>
      <rPr>
        <sz val="10"/>
        <rFont val="Times New Roman"/>
        <charset val="134"/>
      </rPr>
      <t>2014.07.08-2019.07.09(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:22000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</si>
  <si>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宜昌办公室</t>
    </r>
  </si>
  <si>
    <r>
      <rPr>
        <sz val="10"/>
        <rFont val="微软雅黑"/>
        <charset val="134"/>
      </rPr>
      <t>刘远杏</t>
    </r>
  </si>
  <si>
    <r>
      <rPr>
        <sz val="10"/>
        <rFont val="微软雅黑"/>
        <charset val="134"/>
      </rPr>
      <t>在宜昌市西陵一路</t>
    </r>
    <r>
      <rPr>
        <sz val="10"/>
        <rFont val="Times New Roman"/>
        <charset val="134"/>
      </rPr>
      <t>10</t>
    </r>
    <r>
      <rPr>
        <sz val="10"/>
        <rFont val="微软雅黑"/>
        <charset val="134"/>
      </rPr>
      <t>号墨池苑⒊</t>
    </r>
    <r>
      <rPr>
        <sz val="10"/>
        <rFont val="Times New Roman"/>
        <charset val="134"/>
      </rPr>
      <t>13</t>
    </r>
    <r>
      <rPr>
        <sz val="10"/>
        <rFont val="微软雅黑"/>
        <charset val="134"/>
      </rPr>
      <t>⒁</t>
    </r>
  </si>
  <si>
    <r>
      <rPr>
        <sz val="10"/>
        <rFont val="Times New Roman"/>
        <charset val="134"/>
      </rPr>
      <t>2016.1.12-2019.1.11(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:35000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</si>
  <si>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年物业费为</t>
    </r>
    <r>
      <rPr>
        <sz val="10"/>
        <rFont val="Times New Roman"/>
        <charset val="134"/>
      </rPr>
      <t>:2075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年。价格如后期有变动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按物业管理方给出价格为准</t>
    </r>
  </si>
  <si>
    <r>
      <rPr>
        <sz val="10"/>
        <rFont val="微软雅黑"/>
        <charset val="134"/>
      </rPr>
      <t>湖北杰之行淮南分公司</t>
    </r>
  </si>
  <si>
    <r>
      <rPr>
        <sz val="10"/>
        <rFont val="微软雅黑"/>
        <charset val="134"/>
      </rPr>
      <t>安徽</t>
    </r>
  </si>
  <si>
    <r>
      <rPr>
        <sz val="10"/>
        <rFont val="微软雅黑"/>
        <charset val="134"/>
      </rPr>
      <t>淮南大金新百集合店</t>
    </r>
  </si>
  <si>
    <r>
      <rPr>
        <sz val="10"/>
        <rFont val="微软雅黑"/>
        <charset val="134"/>
      </rPr>
      <t>大金新百淮南百货有限公司</t>
    </r>
  </si>
  <si>
    <r>
      <rPr>
        <sz val="10"/>
        <rFont val="微软雅黑"/>
        <charset val="134"/>
      </rPr>
      <t>安徽大金新百淮南百货有限公司第一层</t>
    </r>
  </si>
  <si>
    <r>
      <rPr>
        <sz val="10"/>
        <rFont val="Times New Roman"/>
        <charset val="134"/>
      </rPr>
      <t>2015.09.01-2017.09.01(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:70.42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2017.09.01-2020.09.01(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:77.46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  <r>
      <rPr>
        <sz val="10"/>
        <rFont val="微软雅黑"/>
        <charset val="134"/>
      </rPr>
      <t>－－欢乐一卡通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各商户按一卡通的刷卡消费金额进行月结</t>
    </r>
    <r>
      <rPr>
        <sz val="10"/>
        <rFont val="Times New Roman"/>
        <charset val="134"/>
      </rPr>
      <t>,   1-60000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 xml:space="preserve">  2%        60001-120000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 xml:space="preserve">   3%       120001</t>
    </r>
    <r>
      <rPr>
        <sz val="10"/>
        <rFont val="微软雅黑"/>
        <charset val="134"/>
      </rPr>
      <t>元以上</t>
    </r>
    <r>
      <rPr>
        <sz val="10"/>
        <rFont val="Times New Roman"/>
        <charset val="134"/>
      </rPr>
      <t xml:space="preserve">      4%</t>
    </r>
    <r>
      <rPr>
        <sz val="10"/>
        <rFont val="微软雅黑"/>
        <charset val="134"/>
      </rPr>
      <t>封顶</t>
    </r>
  </si>
  <si>
    <r>
      <rPr>
        <sz val="10"/>
        <rFont val="微软雅黑"/>
        <charset val="134"/>
      </rPr>
      <t>湖北杰之行马鞍山分公司</t>
    </r>
  </si>
  <si>
    <r>
      <rPr>
        <sz val="10"/>
        <rFont val="微软雅黑"/>
        <charset val="134"/>
      </rPr>
      <t>马鞍山万达集合店</t>
    </r>
  </si>
  <si>
    <r>
      <rPr>
        <sz val="10"/>
        <rFont val="微软雅黑"/>
        <charset val="134"/>
      </rPr>
      <t>马鞍山万达广场商业管理有限公司</t>
    </r>
  </si>
  <si>
    <r>
      <rPr>
        <sz val="10"/>
        <rFont val="微软雅黑"/>
        <charset val="134"/>
      </rPr>
      <t>马鞍山万达广场购物中心娱乐楼二层</t>
    </r>
  </si>
  <si>
    <r>
      <rPr>
        <sz val="10"/>
        <rFont val="Times New Roman"/>
        <charset val="134"/>
      </rPr>
      <t>2015.11.20-2016.01.31(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:32.88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2016.02.01-2016.08.31(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  2016.09.01-2016.12.31(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:36985.2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  <r>
      <rPr>
        <sz val="10"/>
        <rFont val="微软雅黑"/>
        <charset val="134"/>
      </rPr>
      <t>减租协议</t>
    </r>
    <r>
      <rPr>
        <sz val="10"/>
        <rFont val="Times New Roman"/>
        <charset val="134"/>
      </rPr>
      <t xml:space="preserve">        2017.01.01-2017.11.19(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2017.11.20-2018.11.19(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:83.2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2018.12.20-2019.11.19(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:86.53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2019.11.20-2020.11.19(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:89.99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2020.11.20-2021.11.19(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:93.59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</si>
  <si>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2015.11.20-2016.01.31(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:2.47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2016.02.01-2017.11.19(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:6.24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2017.11.20-2018.11.19(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:6.49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2018.12.20-2019.11.19(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:6.75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2019.11.20-2020.11.19(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:7.02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2020.11.20-2021.11.19(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:7.30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  </t>
    </r>
    <r>
      <rPr>
        <sz val="10"/>
        <rFont val="微软雅黑"/>
        <charset val="134"/>
      </rPr>
      <t>空调使用费为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,POS</t>
    </r>
    <r>
      <rPr>
        <sz val="10"/>
        <rFont val="微软雅黑"/>
        <charset val="134"/>
      </rPr>
      <t>机费用</t>
    </r>
    <r>
      <rPr>
        <sz val="10"/>
        <rFont val="Times New Roman"/>
        <charset val="134"/>
      </rPr>
      <t>:300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</si>
  <si>
    <r>
      <rPr>
        <sz val="10"/>
        <rFont val="微软雅黑"/>
        <charset val="134"/>
      </rPr>
      <t>湖北杰之行芜湖分公司</t>
    </r>
  </si>
  <si>
    <r>
      <rPr>
        <sz val="10"/>
        <rFont val="微软雅黑"/>
        <charset val="134"/>
      </rPr>
      <t>芜湖镜湖万达广场集合店</t>
    </r>
    <r>
      <rPr>
        <sz val="10"/>
        <rFont val="Times New Roman"/>
        <charset val="134"/>
      </rPr>
      <t>(</t>
    </r>
    <r>
      <rPr>
        <sz val="10"/>
        <rFont val="微软雅黑"/>
        <charset val="134"/>
      </rPr>
      <t>百货区</t>
    </r>
    <r>
      <rPr>
        <sz val="10"/>
        <rFont val="Times New Roman"/>
        <charset val="134"/>
      </rPr>
      <t>)</t>
    </r>
  </si>
  <si>
    <r>
      <rPr>
        <sz val="10"/>
        <rFont val="Arial"/>
        <charset val="134"/>
      </rPr>
      <t>芜湖镜湖万达集合店</t>
    </r>
  </si>
  <si>
    <r>
      <rPr>
        <sz val="10"/>
        <rFont val="微软雅黑"/>
        <charset val="134"/>
      </rPr>
      <t>芜湖万达广场有限公司</t>
    </r>
  </si>
  <si>
    <r>
      <rPr>
        <sz val="10"/>
        <rFont val="微软雅黑"/>
        <charset val="134"/>
      </rPr>
      <t>芜湖万达广场内购物中心百货区域一层</t>
    </r>
  </si>
  <si>
    <r>
      <rPr>
        <sz val="10"/>
        <rFont val="Times New Roman"/>
        <charset val="134"/>
      </rPr>
      <t>2016.01.01-2016.03.31(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:26.67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2016.04.01-2017.12.31(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:80.00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2018.01.01-2018.12.31(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:83.20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2019.01.01-2019.12.31(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:86.53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2020.01.01-2020.12.31(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:89.99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2021.01.01-2021.12.31(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:93.59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  </t>
    </r>
  </si>
  <si>
    <r>
      <rPr>
        <sz val="10"/>
        <rFont val="Times New Roman"/>
        <charset val="134"/>
      </rPr>
      <t>2016.01.01-2017.12.31(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:6.00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 2018.01.01-2018.12.31(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:6.18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2019.01.01-2019.12.31(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:6.37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2020.01.01-2020.12.31(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:6.56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2021.01.01-2021.12.31(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:6.76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 </t>
    </r>
    <r>
      <rPr>
        <sz val="10"/>
        <rFont val="微软雅黑"/>
        <charset val="134"/>
      </rPr>
      <t>空调使用费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,POS</t>
    </r>
    <r>
      <rPr>
        <sz val="10"/>
        <rFont val="微软雅黑"/>
        <charset val="134"/>
      </rPr>
      <t>机使用费</t>
    </r>
    <r>
      <rPr>
        <sz val="10"/>
        <rFont val="Times New Roman"/>
        <charset val="134"/>
      </rPr>
      <t>:300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</si>
  <si>
    <r>
      <rPr>
        <sz val="10"/>
        <rFont val="微软雅黑"/>
        <charset val="134"/>
      </rPr>
      <t>芜湖镜湖万达广场集合店</t>
    </r>
    <r>
      <rPr>
        <sz val="10"/>
        <rFont val="Times New Roman"/>
        <charset val="134"/>
      </rPr>
      <t>(</t>
    </r>
    <r>
      <rPr>
        <sz val="10"/>
        <rFont val="微软雅黑"/>
        <charset val="134"/>
      </rPr>
      <t>步行街区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</si>
  <si>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芜湖市镜湖万达广场内购物中心步行街一层</t>
    </r>
    <r>
      <rPr>
        <sz val="10"/>
        <rFont val="Times New Roman"/>
        <charset val="134"/>
      </rPr>
      <t>01-50</t>
    </r>
    <r>
      <rPr>
        <sz val="10"/>
        <rFont val="微软雅黑"/>
        <charset val="134"/>
      </rPr>
      <t>号商铺</t>
    </r>
  </si>
  <si>
    <r>
      <rPr>
        <sz val="10"/>
        <rFont val="Times New Roman"/>
        <charset val="134"/>
      </rPr>
      <t>2016.01.01-2017.12.31(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:25099.20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2018.01.01-2018.12.31(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:26856.14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2019.01.01-2019.12.31(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:28736.07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2020.01.01-2020.12.31(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:30747.59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2021.01.01-2021.12.31(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:32899.92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</si>
  <si>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2016.01.01-2016.12.31(</t>
    </r>
    <r>
      <rPr>
        <sz val="10"/>
        <rFont val="微软雅黑"/>
        <charset val="134"/>
      </rPr>
      <t>物业费</t>
    </r>
    <r>
      <rPr>
        <sz val="10"/>
        <rFont val="Times New Roman"/>
        <charset val="134"/>
      </rPr>
      <t>:55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   </t>
    </r>
    <r>
      <rPr>
        <sz val="10"/>
        <rFont val="微软雅黑"/>
        <charset val="134"/>
      </rPr>
      <t>以后租约年物业费以书面通知执行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若无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按上一租约年执行</t>
    </r>
    <r>
      <rPr>
        <sz val="10"/>
        <rFont val="Times New Roman"/>
        <charset val="134"/>
      </rPr>
      <t xml:space="preserve">                                           POS</t>
    </r>
    <r>
      <rPr>
        <sz val="10"/>
        <rFont val="微软雅黑"/>
        <charset val="134"/>
      </rPr>
      <t>机使用费</t>
    </r>
    <r>
      <rPr>
        <sz val="10"/>
        <rFont val="Times New Roman"/>
        <charset val="134"/>
      </rPr>
      <t>:300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</si>
  <si>
    <r>
      <rPr>
        <sz val="10"/>
        <rFont val="微软雅黑"/>
        <charset val="134"/>
      </rPr>
      <t>湖北杰之行合肥一分公司</t>
    </r>
  </si>
  <si>
    <r>
      <rPr>
        <sz val="10"/>
        <rFont val="微软雅黑"/>
        <charset val="134"/>
      </rPr>
      <t>合肥瑶海万达集合店</t>
    </r>
  </si>
  <si>
    <r>
      <rPr>
        <sz val="10"/>
        <rFont val="微软雅黑"/>
        <charset val="134"/>
      </rPr>
      <t>合肥瑶海万达投资有限公司</t>
    </r>
  </si>
  <si>
    <r>
      <rPr>
        <sz val="10"/>
        <rFont val="微软雅黑"/>
        <charset val="134"/>
      </rPr>
      <t>安徽省合肥市合肥瑶海万达城万达购物中心娱乐综合楼二楼</t>
    </r>
  </si>
  <si>
    <r>
      <rPr>
        <sz val="10"/>
        <rFont val="Times New Roman"/>
        <charset val="134"/>
      </rPr>
      <t>2016.09.09-2018.09.08(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2018.09.09-2019.09.08(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:83.2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2019.09.09-2020.09.08(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:86.53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2020.09.09-2021.09.08(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:89.99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2021.09.09-2022.09.08(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:93.59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 </t>
    </r>
    <r>
      <rPr>
        <sz val="10"/>
        <rFont val="微软雅黑"/>
        <charset val="134"/>
      </rPr>
      <t>或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月租金</t>
    </r>
    <r>
      <rPr>
        <sz val="10"/>
        <rFont val="Times New Roman"/>
        <charset val="134"/>
      </rPr>
      <t>=</t>
    </r>
    <r>
      <rPr>
        <sz val="10"/>
        <rFont val="微软雅黑"/>
        <charset val="134"/>
      </rPr>
      <t>月销售额</t>
    </r>
    <r>
      <rPr>
        <sz val="10"/>
        <rFont val="Times New Roman"/>
        <charset val="134"/>
      </rPr>
      <t>*8%,</t>
    </r>
    <r>
      <rPr>
        <sz val="10"/>
        <rFont val="微软雅黑"/>
        <charset val="134"/>
      </rPr>
      <t>两者取其高</t>
    </r>
  </si>
  <si>
    <r>
      <rPr>
        <sz val="10"/>
        <rFont val="Times New Roman"/>
        <charset val="134"/>
      </rPr>
      <t>2016.09.09-2018.09.08(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2018.09.09-2019.09.08(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:6.24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2019.09.09-2020.09.08(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:6.49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2020.09.09-2021.09.08(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:6.75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2021.09.09-2022.09.08(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:7.02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</t>
    </r>
    <r>
      <rPr>
        <sz val="10"/>
        <rFont val="微软雅黑"/>
        <charset val="134"/>
      </rPr>
      <t>空调使用费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</si>
  <si>
    <r>
      <rPr>
        <sz val="10"/>
        <rFont val="微软雅黑"/>
        <charset val="134"/>
      </rPr>
      <t>湖北杰之行合肥二分公司</t>
    </r>
  </si>
  <si>
    <r>
      <rPr>
        <sz val="10"/>
        <rFont val="微软雅黑"/>
        <charset val="134"/>
      </rPr>
      <t>合肥滨湖万达城集合店</t>
    </r>
  </si>
  <si>
    <r>
      <rPr>
        <sz val="10"/>
        <rFont val="微软雅黑"/>
        <charset val="134"/>
      </rPr>
      <t>合肥万达集合店</t>
    </r>
  </si>
  <si>
    <r>
      <rPr>
        <sz val="10"/>
        <rFont val="微软雅黑"/>
        <charset val="134"/>
      </rPr>
      <t>合肥万达投资有限公司</t>
    </r>
  </si>
  <si>
    <r>
      <rPr>
        <sz val="10"/>
        <rFont val="微软雅黑"/>
        <charset val="134"/>
      </rPr>
      <t>安徽省合肥市合肥万达城万达购物中心娱乐综合楼一楼</t>
    </r>
  </si>
  <si>
    <r>
      <rPr>
        <sz val="10"/>
        <rFont val="Times New Roman"/>
        <charset val="134"/>
      </rPr>
      <t>2016.09.24-2018.09.23(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2018.09.24-2019.09.23(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:83.2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2019.09.24-2020.09.23(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:86.53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2020.09.24-2021.09.23(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:89.99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2021.09.24-2022.09.23(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:93.59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 </t>
    </r>
    <r>
      <rPr>
        <sz val="10"/>
        <rFont val="微软雅黑"/>
        <charset val="134"/>
      </rPr>
      <t>或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月租金</t>
    </r>
    <r>
      <rPr>
        <sz val="10"/>
        <rFont val="Times New Roman"/>
        <charset val="134"/>
      </rPr>
      <t>=</t>
    </r>
    <r>
      <rPr>
        <sz val="10"/>
        <rFont val="微软雅黑"/>
        <charset val="134"/>
      </rPr>
      <t>月销售额</t>
    </r>
    <r>
      <rPr>
        <sz val="10"/>
        <rFont val="Times New Roman"/>
        <charset val="134"/>
      </rPr>
      <t>*8%,</t>
    </r>
    <r>
      <rPr>
        <sz val="10"/>
        <rFont val="微软雅黑"/>
        <charset val="134"/>
      </rPr>
      <t>两者取其高</t>
    </r>
  </si>
  <si>
    <r>
      <rPr>
        <sz val="10"/>
        <rFont val="Times New Roman"/>
        <charset val="134"/>
      </rPr>
      <t>2016.09.24-2018.09.23(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2018.09.24-2019.09.23(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:6.24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2019.09.24-2020.09.23(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:6.49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2020.09.24-2021.09.23(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:6.75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2021.09.24-2022.09.23(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:7.02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</t>
    </r>
    <r>
      <rPr>
        <sz val="10"/>
        <rFont val="微软雅黑"/>
        <charset val="134"/>
      </rPr>
      <t>空调使用费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</si>
  <si>
    <r>
      <rPr>
        <sz val="10"/>
        <rFont val="微软雅黑"/>
        <charset val="134"/>
      </rPr>
      <t>湖北杰之行亳州分公司</t>
    </r>
  </si>
  <si>
    <r>
      <rPr>
        <sz val="10"/>
        <rFont val="微软雅黑"/>
        <charset val="134"/>
      </rPr>
      <t>亳州万达集合店</t>
    </r>
  </si>
  <si>
    <r>
      <rPr>
        <sz val="10"/>
        <rFont val="微软雅黑"/>
        <charset val="134"/>
      </rPr>
      <t>亳州万达广场投资有限公司</t>
    </r>
  </si>
  <si>
    <r>
      <rPr>
        <sz val="10"/>
        <rFont val="微软雅黑"/>
        <charset val="134"/>
      </rPr>
      <t>安徽省亳州市万达广场内购物中心娱乐综合楼二层</t>
    </r>
  </si>
  <si>
    <r>
      <rPr>
        <sz val="10"/>
        <rFont val="Times New Roman"/>
        <charset val="134"/>
      </rPr>
      <t>2016.08.12-2018.08.11(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   2018.08.12-2019.08.11(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:67.6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   2019.08.12-2020.08.11(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:70.3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2020.08.12-2021.08.11(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:73.12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2021.08.12-2022.08.11(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:76.04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    </t>
    </r>
    <r>
      <rPr>
        <sz val="10"/>
        <rFont val="微软雅黑"/>
        <charset val="134"/>
      </rPr>
      <t>或</t>
    </r>
    <r>
      <rPr>
        <sz val="10"/>
        <rFont val="Times New Roman"/>
        <charset val="134"/>
      </rPr>
      <t>:</t>
    </r>
    <r>
      <rPr>
        <sz val="10"/>
        <rFont val="微软雅黑"/>
        <charset val="134"/>
      </rPr>
      <t>月租金</t>
    </r>
    <r>
      <rPr>
        <sz val="10"/>
        <rFont val="Times New Roman"/>
        <charset val="134"/>
      </rPr>
      <t>=</t>
    </r>
    <r>
      <rPr>
        <sz val="10"/>
        <rFont val="微软雅黑"/>
        <charset val="134"/>
      </rPr>
      <t>月销售额</t>
    </r>
    <r>
      <rPr>
        <sz val="10"/>
        <rFont val="Times New Roman"/>
        <charset val="134"/>
      </rPr>
      <t>*8%,</t>
    </r>
    <r>
      <rPr>
        <sz val="10"/>
        <rFont val="微软雅黑"/>
        <charset val="134"/>
      </rPr>
      <t>两者取其高</t>
    </r>
  </si>
  <si>
    <r>
      <rPr>
        <sz val="10"/>
        <rFont val="Times New Roman"/>
        <charset val="134"/>
      </rPr>
      <t>2016.08.12-2018.08.11(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   2018.08.12-2019.08.11(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:6.24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   2019.08.12-2020.08.11(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:6.49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2020.08.12-2021.08.11(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:6.75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2021.08.12-2022.08.11(</t>
    </r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:7.02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 xml:space="preserve">)         </t>
    </r>
    <r>
      <rPr>
        <sz val="10"/>
        <rFont val="微软雅黑"/>
        <charset val="134"/>
      </rPr>
      <t>空调使用费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</si>
  <si>
    <r>
      <rPr>
        <sz val="10"/>
        <rFont val="微软雅黑"/>
        <charset val="134"/>
      </rPr>
      <t>湖北杰之行阜阳分公司</t>
    </r>
  </si>
  <si>
    <r>
      <rPr>
        <sz val="10"/>
        <rFont val="宋体"/>
        <charset val="134"/>
      </rPr>
      <t>阜阳颖泉万达集合店</t>
    </r>
  </si>
  <si>
    <r>
      <rPr>
        <sz val="10"/>
        <rFont val="宋体"/>
        <charset val="134"/>
      </rPr>
      <t>阜阳颖泉万达广场投资有限公司</t>
    </r>
  </si>
  <si>
    <r>
      <rPr>
        <sz val="10"/>
        <rFont val="宋体"/>
        <charset val="134"/>
      </rPr>
      <t>阜阳颖泉万达广场</t>
    </r>
    <r>
      <rPr>
        <sz val="10"/>
        <rFont val="Times New Roman"/>
        <charset val="134"/>
      </rPr>
      <t>1F</t>
    </r>
  </si>
  <si>
    <r>
      <rPr>
        <sz val="10"/>
        <rFont val="Times New Roman"/>
        <charset val="134"/>
      </rPr>
      <t>2017.06.16-2018.06.15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50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2018.06.16-2019.06.15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50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2019.06.16-2020.06.15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52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      2020.06.16-2021.06.15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54.08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                                        2021.06.16-2022.06.15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56.24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                                                                     2022.06.16-2023.06.15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58.49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                                                    2023.06.16-2024.06.15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60.83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                                       2024.06.16-2025.06.15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63.87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</si>
  <si>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2017.06.16-2018.06.15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16/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2018.06.16-2019.06.15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2019.06.16-2020.06.15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16.24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      2020.06.16-2021.06.15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16.49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                                        2021.06.16-2022.06.15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16.75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                                                                     2022.06.16-2023.06.15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17.02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                                                    2023.06.16-2024.06.15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17.30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                                                          2024.06.16-2025.06.15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17.59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平方米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</si>
  <si>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湖北杰之行南昌分公司</t>
    </r>
  </si>
  <si>
    <r>
      <rPr>
        <sz val="10"/>
        <rFont val="微软雅黑"/>
        <charset val="134"/>
      </rPr>
      <t>江西</t>
    </r>
  </si>
  <si>
    <r>
      <rPr>
        <sz val="10"/>
        <rFont val="微软雅黑"/>
        <charset val="134"/>
      </rPr>
      <t>南昌九龙湖万达集合店</t>
    </r>
    <r>
      <rPr>
        <sz val="10"/>
        <rFont val="Times New Roman"/>
        <charset val="134"/>
      </rPr>
      <t>(1210</t>
    </r>
    <r>
      <rPr>
        <sz val="10"/>
        <rFont val="微软雅黑"/>
        <charset val="134"/>
      </rPr>
      <t>平米区域</t>
    </r>
    <r>
      <rPr>
        <sz val="10"/>
        <rFont val="Times New Roman"/>
        <charset val="134"/>
      </rPr>
      <t>2075)</t>
    </r>
  </si>
  <si>
    <r>
      <rPr>
        <sz val="10"/>
        <rFont val="Arial"/>
        <charset val="134"/>
      </rPr>
      <t>南昌万达城集合店</t>
    </r>
  </si>
  <si>
    <r>
      <rPr>
        <sz val="10"/>
        <rFont val="微软雅黑"/>
        <charset val="134"/>
      </rPr>
      <t>南昌万达城投资有限公司</t>
    </r>
  </si>
  <si>
    <r>
      <rPr>
        <sz val="10"/>
        <rFont val="微软雅黑"/>
        <charset val="134"/>
      </rPr>
      <t>南昌市万达城内购物中心步行街二层</t>
    </r>
    <r>
      <rPr>
        <sz val="10"/>
        <rFont val="Times New Roman"/>
        <charset val="134"/>
      </rPr>
      <t>2075</t>
    </r>
    <r>
      <rPr>
        <sz val="10"/>
        <rFont val="微软雅黑"/>
        <charset val="134"/>
      </rPr>
      <t>号商铺</t>
    </r>
  </si>
  <si>
    <r>
      <rPr>
        <sz val="10"/>
        <rFont val="Times New Roman"/>
        <charset val="134"/>
      </rPr>
      <t>2016.05.28-2016.08.31(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:227480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)             2016.09.01-2016.11.30(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:145200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)             2016.12.01-2017.02.28(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:145200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)             2017.03.01-2017.05.27(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:135520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)            2017.05.28-2018.05.27(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:77682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2018.05.28-2019.05.27(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:83119.74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2019.05.28-2020.05.27(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:88938.12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2020.05.28-2021.05.27(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:95163.79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</si>
  <si>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:50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(</t>
    </r>
    <r>
      <rPr>
        <sz val="10"/>
        <rFont val="微软雅黑"/>
        <charset val="134"/>
      </rPr>
      <t>即</t>
    </r>
    <r>
      <rPr>
        <sz val="10"/>
        <rFont val="Times New Roman"/>
        <charset val="134"/>
      </rPr>
      <t>60500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</si>
  <si>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南昌九龙湖万达集合店</t>
    </r>
    <r>
      <rPr>
        <sz val="10"/>
        <rFont val="Times New Roman"/>
        <charset val="134"/>
      </rPr>
      <t>(321</t>
    </r>
    <r>
      <rPr>
        <sz val="10"/>
        <rFont val="微软雅黑"/>
        <charset val="134"/>
      </rPr>
      <t>平米区域</t>
    </r>
    <r>
      <rPr>
        <sz val="10"/>
        <rFont val="Times New Roman"/>
        <charset val="134"/>
      </rPr>
      <t>2077)</t>
    </r>
  </si>
  <si>
    <r>
      <rPr>
        <sz val="10"/>
        <rFont val="微软雅黑"/>
        <charset val="134"/>
      </rPr>
      <t>南昌市万达城内购物中心步行街二层</t>
    </r>
    <r>
      <rPr>
        <sz val="10"/>
        <rFont val="Times New Roman"/>
        <charset val="134"/>
      </rPr>
      <t>2077</t>
    </r>
    <r>
      <rPr>
        <sz val="10"/>
        <rFont val="微软雅黑"/>
        <charset val="134"/>
      </rPr>
      <t>号商铺</t>
    </r>
  </si>
  <si>
    <r>
      <rPr>
        <sz val="10"/>
        <rFont val="Times New Roman"/>
        <charset val="134"/>
      </rPr>
      <t>2016.05.28-2016.08.31(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:80464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)             2016.09.01-2016.11.30(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:51360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)             2016.12.01-2017.02.28(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:51360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)             2017.03.01-2017.05.27(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:47936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)            2017.05.28-2018.05.27(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:27477.6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 2018.05.28-2019.05.27(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:29401.03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2019.05.28-2020.05.27(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:31459.10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       2020.05.28-2021.05.27(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:33661.24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</si>
  <si>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:50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(</t>
    </r>
    <r>
      <rPr>
        <sz val="10"/>
        <rFont val="微软雅黑"/>
        <charset val="134"/>
      </rPr>
      <t>即</t>
    </r>
    <r>
      <rPr>
        <sz val="10"/>
        <rFont val="Times New Roman"/>
        <charset val="134"/>
      </rPr>
      <t>16050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</si>
  <si>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湖北杰之行上饶分公司</t>
    </r>
  </si>
  <si>
    <r>
      <rPr>
        <sz val="10"/>
        <rFont val="宋体"/>
        <charset val="134"/>
      </rPr>
      <t>上饶万达集合店</t>
    </r>
  </si>
  <si>
    <r>
      <rPr>
        <sz val="10"/>
        <rFont val="宋体"/>
        <charset val="134"/>
      </rPr>
      <t>上饶万达广场投资有限公司</t>
    </r>
  </si>
  <si>
    <r>
      <rPr>
        <sz val="10"/>
        <rFont val="宋体"/>
        <charset val="134"/>
      </rPr>
      <t>上饶市万达广场</t>
    </r>
    <r>
      <rPr>
        <sz val="10"/>
        <rFont val="Times New Roman"/>
        <charset val="134"/>
      </rPr>
      <t>2F-</t>
    </r>
    <r>
      <rPr>
        <sz val="10"/>
        <rFont val="宋体"/>
        <charset val="134"/>
      </rPr>
      <t>次主</t>
    </r>
    <r>
      <rPr>
        <sz val="10"/>
        <rFont val="Times New Roman"/>
        <charset val="134"/>
      </rPr>
      <t>3</t>
    </r>
  </si>
  <si>
    <r>
      <rPr>
        <sz val="10"/>
        <rFont val="Times New Roman"/>
        <charset val="134"/>
      </rPr>
      <t>2016.11.25-2018.11.24(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:75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   2018.11.25-2019.11.24(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:78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   2019.11.25-2020.11.24(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:81.12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2020.11.25-2021.11.24(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:84.36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2021.11.25-2022.11.24(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:87.74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 xml:space="preserve">)     </t>
    </r>
    <r>
      <rPr>
        <sz val="10"/>
        <rFont val="宋体"/>
        <charset val="134"/>
      </rPr>
      <t>或</t>
    </r>
    <r>
      <rPr>
        <sz val="10"/>
        <rFont val="Times New Roman"/>
        <charset val="134"/>
      </rPr>
      <t>:</t>
    </r>
    <r>
      <rPr>
        <sz val="10"/>
        <rFont val="宋体"/>
        <charset val="134"/>
      </rPr>
      <t>月租金</t>
    </r>
    <r>
      <rPr>
        <sz val="10"/>
        <rFont val="Times New Roman"/>
        <charset val="134"/>
      </rPr>
      <t>=</t>
    </r>
    <r>
      <rPr>
        <sz val="10"/>
        <rFont val="宋体"/>
        <charset val="134"/>
      </rPr>
      <t>月销售额</t>
    </r>
    <r>
      <rPr>
        <sz val="10"/>
        <rFont val="Times New Roman"/>
        <charset val="134"/>
      </rPr>
      <t>*8%,</t>
    </r>
    <r>
      <rPr>
        <sz val="10"/>
        <rFont val="宋体"/>
        <charset val="134"/>
      </rPr>
      <t>两者取其高</t>
    </r>
  </si>
  <si>
    <r>
      <rPr>
        <sz val="10"/>
        <rFont val="Times New Roman"/>
        <charset val="134"/>
      </rPr>
      <t>2016.11.25-2018.11.24(</t>
    </r>
    <r>
      <rPr>
        <sz val="10"/>
        <rFont val="宋体"/>
        <charset val="134"/>
      </rPr>
      <t>物业管理费</t>
    </r>
    <r>
      <rPr>
        <sz val="10"/>
        <rFont val="Times New Roman"/>
        <charset val="134"/>
      </rPr>
      <t>:6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  2018.11.25-2019.11.24(</t>
    </r>
    <r>
      <rPr>
        <sz val="10"/>
        <rFont val="宋体"/>
        <charset val="134"/>
      </rPr>
      <t>物业管理费</t>
    </r>
    <r>
      <rPr>
        <sz val="10"/>
        <rFont val="Times New Roman"/>
        <charset val="134"/>
      </rPr>
      <t>:6.24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 2019.11.25-2020.11.24(</t>
    </r>
    <r>
      <rPr>
        <sz val="10"/>
        <rFont val="宋体"/>
        <charset val="134"/>
      </rPr>
      <t>物业管理费</t>
    </r>
    <r>
      <rPr>
        <sz val="10"/>
        <rFont val="Times New Roman"/>
        <charset val="134"/>
      </rPr>
      <t>:6.49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2020.11.25-2021.11.24(</t>
    </r>
    <r>
      <rPr>
        <sz val="10"/>
        <rFont val="宋体"/>
        <charset val="134"/>
      </rPr>
      <t>物业管理费</t>
    </r>
    <r>
      <rPr>
        <sz val="10"/>
        <rFont val="Times New Roman"/>
        <charset val="134"/>
      </rPr>
      <t>:6.75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)     2021.11.25-2022.11.24(</t>
    </r>
    <r>
      <rPr>
        <sz val="10"/>
        <rFont val="宋体"/>
        <charset val="134"/>
      </rPr>
      <t>物业管理费</t>
    </r>
    <r>
      <rPr>
        <sz val="10"/>
        <rFont val="Times New Roman"/>
        <charset val="134"/>
      </rPr>
      <t>:7.02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 xml:space="preserve">)      </t>
    </r>
    <r>
      <rPr>
        <sz val="10"/>
        <rFont val="宋体"/>
        <charset val="134"/>
      </rPr>
      <t>空调使用费</t>
    </r>
    <r>
      <rPr>
        <sz val="10"/>
        <rFont val="Times New Roman"/>
        <charset val="134"/>
      </rPr>
      <t>:10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</si>
  <si>
    <r>
      <rPr>
        <sz val="10"/>
        <rFont val="宋体"/>
        <charset val="134"/>
      </rPr>
      <t>湖北杰之行九江分公司</t>
    </r>
  </si>
  <si>
    <r>
      <rPr>
        <sz val="10"/>
        <rFont val="宋体"/>
        <charset val="134"/>
      </rPr>
      <t>九江</t>
    </r>
  </si>
  <si>
    <r>
      <rPr>
        <sz val="9"/>
        <rFont val="微软雅黑"/>
        <charset val="134"/>
      </rPr>
      <t>九江天禧城市广场集合店</t>
    </r>
  </si>
  <si>
    <r>
      <rPr>
        <sz val="9"/>
        <rFont val="微软雅黑"/>
        <charset val="134"/>
      </rPr>
      <t>九江智禧实业有限公司</t>
    </r>
  </si>
  <si>
    <r>
      <rPr>
        <sz val="9"/>
        <rFont val="微软雅黑"/>
        <charset val="134"/>
      </rPr>
      <t>江西省九江市庐山区浔南大道的天禧广场</t>
    </r>
    <r>
      <rPr>
        <sz val="9"/>
        <rFont val="Times New Roman"/>
        <charset val="134"/>
      </rPr>
      <t>-</t>
    </r>
    <r>
      <rPr>
        <sz val="9"/>
        <rFont val="微软雅黑"/>
        <charset val="134"/>
      </rPr>
      <t>购物中心</t>
    </r>
    <r>
      <rPr>
        <sz val="9"/>
        <rFont val="Times New Roman"/>
        <charset val="134"/>
      </rPr>
      <t>2</t>
    </r>
    <r>
      <rPr>
        <sz val="9"/>
        <rFont val="微软雅黑"/>
        <charset val="134"/>
      </rPr>
      <t>层</t>
    </r>
    <r>
      <rPr>
        <sz val="9"/>
        <rFont val="Times New Roman"/>
        <charset val="134"/>
      </rPr>
      <t>S11-220</t>
    </r>
    <r>
      <rPr>
        <sz val="9"/>
        <rFont val="微软雅黑"/>
        <charset val="134"/>
      </rPr>
      <t>、</t>
    </r>
    <r>
      <rPr>
        <sz val="9"/>
        <rFont val="Times New Roman"/>
        <charset val="134"/>
      </rPr>
      <t>221</t>
    </r>
    <r>
      <rPr>
        <sz val="9"/>
        <rFont val="微软雅黑"/>
        <charset val="134"/>
      </rPr>
      <t>、</t>
    </r>
    <r>
      <rPr>
        <sz val="9"/>
        <rFont val="Times New Roman"/>
        <charset val="134"/>
      </rPr>
      <t>222</t>
    </r>
    <r>
      <rPr>
        <sz val="9"/>
        <rFont val="微软雅黑"/>
        <charset val="134"/>
      </rPr>
      <t>号</t>
    </r>
  </si>
  <si>
    <r>
      <rPr>
        <sz val="9"/>
        <rFont val="Times New Roman"/>
        <charset val="134"/>
      </rPr>
      <t>2016.12.28-2018.12.27</t>
    </r>
    <r>
      <rPr>
        <sz val="9"/>
        <rFont val="微软雅黑"/>
        <charset val="134"/>
      </rPr>
      <t>（租金：销售收入</t>
    </r>
    <r>
      <rPr>
        <sz val="9"/>
        <rFont val="Times New Roman"/>
        <charset val="134"/>
      </rPr>
      <t>*8%</t>
    </r>
    <r>
      <rPr>
        <sz val="9"/>
        <rFont val="微软雅黑"/>
        <charset val="134"/>
      </rPr>
      <t>）</t>
    </r>
    <r>
      <rPr>
        <sz val="9"/>
        <rFont val="Times New Roman"/>
        <charset val="134"/>
      </rPr>
      <t xml:space="preserve">           2018.12.28-2020.12.27</t>
    </r>
    <r>
      <rPr>
        <sz val="9"/>
        <rFont val="微软雅黑"/>
        <charset val="134"/>
      </rPr>
      <t>（租金：销售收入</t>
    </r>
    <r>
      <rPr>
        <sz val="9"/>
        <rFont val="Times New Roman"/>
        <charset val="134"/>
      </rPr>
      <t>*9%</t>
    </r>
    <r>
      <rPr>
        <sz val="9"/>
        <rFont val="微软雅黑"/>
        <charset val="134"/>
      </rPr>
      <t>）</t>
    </r>
    <r>
      <rPr>
        <sz val="9"/>
        <rFont val="Times New Roman"/>
        <charset val="134"/>
      </rPr>
      <t xml:space="preserve">           2020.12.28-2022.12.27</t>
    </r>
    <r>
      <rPr>
        <sz val="9"/>
        <rFont val="微软雅黑"/>
        <charset val="134"/>
      </rPr>
      <t>（租金：销售收入</t>
    </r>
    <r>
      <rPr>
        <sz val="9"/>
        <rFont val="Times New Roman"/>
        <charset val="134"/>
      </rPr>
      <t>*10%</t>
    </r>
    <r>
      <rPr>
        <sz val="9"/>
        <rFont val="微软雅黑"/>
        <charset val="134"/>
      </rPr>
      <t>）</t>
    </r>
    <r>
      <rPr>
        <sz val="9"/>
        <rFont val="Times New Roman"/>
        <charset val="134"/>
      </rPr>
      <t xml:space="preserve">          2022.12.28-2023.12.27</t>
    </r>
    <r>
      <rPr>
        <sz val="9"/>
        <rFont val="微软雅黑"/>
        <charset val="134"/>
      </rPr>
      <t>（租金：销售收入</t>
    </r>
    <r>
      <rPr>
        <sz val="9"/>
        <rFont val="Times New Roman"/>
        <charset val="134"/>
      </rPr>
      <t>*11%</t>
    </r>
    <r>
      <rPr>
        <sz val="9"/>
        <rFont val="微软雅黑"/>
        <charset val="134"/>
      </rPr>
      <t>）</t>
    </r>
    <r>
      <rPr>
        <sz val="9"/>
        <rFont val="Times New Roman"/>
        <charset val="134"/>
      </rPr>
      <t xml:space="preserve">     2023.12.28-2024.12.27</t>
    </r>
    <r>
      <rPr>
        <sz val="9"/>
        <rFont val="微软雅黑"/>
        <charset val="134"/>
      </rPr>
      <t>（租金：销售收入</t>
    </r>
    <r>
      <rPr>
        <sz val="9"/>
        <rFont val="Times New Roman"/>
        <charset val="134"/>
      </rPr>
      <t>*12%</t>
    </r>
    <r>
      <rPr>
        <sz val="9"/>
        <rFont val="微软雅黑"/>
        <charset val="134"/>
      </rPr>
      <t>）</t>
    </r>
    <r>
      <rPr>
        <sz val="9"/>
        <rFont val="Times New Roman"/>
        <charset val="134"/>
      </rPr>
      <t xml:space="preserve">     </t>
    </r>
    <r>
      <rPr>
        <sz val="9"/>
        <rFont val="微软雅黑"/>
        <charset val="134"/>
      </rPr>
      <t>租赁期前两年每季度收取</t>
    </r>
    <r>
      <rPr>
        <sz val="9"/>
        <rFont val="Times New Roman"/>
        <charset val="134"/>
      </rPr>
      <t>2</t>
    </r>
    <r>
      <rPr>
        <sz val="9"/>
        <rFont val="微软雅黑"/>
        <charset val="134"/>
      </rPr>
      <t>个月的经营场地使用费（减免</t>
    </r>
    <r>
      <rPr>
        <sz val="9"/>
        <rFont val="Times New Roman"/>
        <charset val="134"/>
      </rPr>
      <t>8</t>
    </r>
    <r>
      <rPr>
        <sz val="9"/>
        <rFont val="微软雅黑"/>
        <charset val="134"/>
      </rPr>
      <t>个月费用）</t>
    </r>
  </si>
  <si>
    <r>
      <rPr>
        <sz val="10"/>
        <rFont val="微软雅黑"/>
        <charset val="134"/>
      </rPr>
      <t>湖北杰之行宜春分公司</t>
    </r>
  </si>
  <si>
    <r>
      <rPr>
        <sz val="10"/>
        <rFont val="宋体"/>
        <charset val="134"/>
      </rPr>
      <t>宜春万达集合店</t>
    </r>
  </si>
  <si>
    <r>
      <rPr>
        <sz val="10"/>
        <rFont val="宋体"/>
        <charset val="134"/>
      </rPr>
      <t>宜春万达广场投资有限公司</t>
    </r>
  </si>
  <si>
    <r>
      <rPr>
        <sz val="10"/>
        <rFont val="宋体"/>
        <charset val="134"/>
      </rPr>
      <t>宜春万达广场一层</t>
    </r>
  </si>
  <si>
    <r>
      <rPr>
        <sz val="10"/>
        <rFont val="Times New Roman"/>
        <charset val="134"/>
      </rPr>
      <t>2016.10.21-2018.10.20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65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 2018.10.21-2019.10.20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67.6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2019.10.21-2020.10.20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70.30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2020.10.21-2021.10.20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73.12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  2021.10.21-2022.10.20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76.08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>提成租金</t>
    </r>
    <r>
      <rPr>
        <sz val="10"/>
        <rFont val="Times New Roman"/>
        <charset val="134"/>
      </rPr>
      <t>=</t>
    </r>
    <r>
      <rPr>
        <sz val="10"/>
        <rFont val="宋体"/>
        <charset val="134"/>
      </rPr>
      <t>销售额</t>
    </r>
    <r>
      <rPr>
        <sz val="10"/>
        <rFont val="Times New Roman"/>
        <charset val="134"/>
      </rPr>
      <t xml:space="preserve">*8%   </t>
    </r>
    <r>
      <rPr>
        <sz val="10"/>
        <rFont val="宋体"/>
        <charset val="134"/>
      </rPr>
      <t>二者取其高</t>
    </r>
  </si>
  <si>
    <r>
      <rPr>
        <sz val="10"/>
        <rFont val="Times New Roman"/>
        <charset val="134"/>
      </rPr>
      <t>2016.10.21-2018.10.20</t>
    </r>
    <r>
      <rPr>
        <sz val="10"/>
        <rFont val="宋体"/>
        <charset val="134"/>
      </rPr>
      <t>（物业费：</t>
    </r>
    <r>
      <rPr>
        <sz val="10"/>
        <rFont val="Times New Roman"/>
        <charset val="134"/>
      </rPr>
      <t>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 2018.10.21-2019.10.20</t>
    </r>
    <r>
      <rPr>
        <sz val="10"/>
        <rFont val="宋体"/>
        <charset val="134"/>
      </rPr>
      <t>（物业费：</t>
    </r>
    <r>
      <rPr>
        <sz val="10"/>
        <rFont val="Times New Roman"/>
        <charset val="134"/>
      </rPr>
      <t>6.24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2019.10.21-2020.10.20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6.49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2020.10.21-2021.10.20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6.75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  2021.10.21-2022.10.20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7.02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平方）</t>
    </r>
    <r>
      <rPr>
        <sz val="10"/>
        <rFont val="Times New Roman"/>
        <charset val="134"/>
      </rPr>
      <t xml:space="preserve">     </t>
    </r>
    <r>
      <rPr>
        <sz val="10"/>
        <rFont val="宋体"/>
        <charset val="134"/>
      </rPr>
      <t>空调费</t>
    </r>
    <r>
      <rPr>
        <sz val="10"/>
        <rFont val="Times New Roman"/>
        <charset val="134"/>
      </rPr>
      <t>10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平方</t>
    </r>
  </si>
  <si>
    <r>
      <rPr>
        <sz val="10"/>
        <rFont val="Arial"/>
        <charset val="134"/>
      </rPr>
      <t>河南杰之行</t>
    </r>
  </si>
  <si>
    <r>
      <rPr>
        <sz val="10"/>
        <rFont val="宋体"/>
        <charset val="134"/>
      </rPr>
      <t>河南</t>
    </r>
  </si>
  <si>
    <r>
      <rPr>
        <sz val="9"/>
        <rFont val="微软雅黑"/>
        <charset val="134"/>
      </rPr>
      <t>郑州办公室</t>
    </r>
  </si>
  <si>
    <r>
      <rPr>
        <sz val="9"/>
        <rFont val="微软雅黑"/>
        <charset val="134"/>
      </rPr>
      <t>李永梅</t>
    </r>
  </si>
  <si>
    <r>
      <rPr>
        <sz val="9"/>
        <rFont val="微软雅黑"/>
        <charset val="134"/>
      </rPr>
      <t>郑州市紫金山路</t>
    </r>
    <r>
      <rPr>
        <sz val="9"/>
        <rFont val="Times New Roman"/>
        <charset val="134"/>
      </rPr>
      <t>56</t>
    </r>
    <r>
      <rPr>
        <sz val="9"/>
        <rFont val="微软雅黑"/>
        <charset val="134"/>
      </rPr>
      <t>号华林时代广场</t>
    </r>
    <r>
      <rPr>
        <sz val="9"/>
        <rFont val="Times New Roman"/>
        <charset val="134"/>
      </rPr>
      <t>1332</t>
    </r>
    <r>
      <rPr>
        <sz val="9"/>
        <rFont val="微软雅黑"/>
        <charset val="134"/>
      </rPr>
      <t>室</t>
    </r>
  </si>
  <si>
    <r>
      <rPr>
        <sz val="9"/>
        <rFont val="Times New Roman"/>
        <charset val="134"/>
      </rPr>
      <t xml:space="preserve">2013.12.01-2016.11.30 </t>
    </r>
    <r>
      <rPr>
        <sz val="9"/>
        <rFont val="微软雅黑"/>
        <charset val="134"/>
      </rPr>
      <t>租金：</t>
    </r>
    <r>
      <rPr>
        <sz val="9"/>
        <rFont val="Times New Roman"/>
        <charset val="134"/>
      </rPr>
      <t>45600/</t>
    </r>
    <r>
      <rPr>
        <sz val="9"/>
        <rFont val="微软雅黑"/>
        <charset val="134"/>
      </rPr>
      <t>年</t>
    </r>
  </si>
  <si>
    <r>
      <rPr>
        <sz val="10"/>
        <rFont val="宋体"/>
        <charset val="134"/>
      </rPr>
      <t>关店</t>
    </r>
  </si>
  <si>
    <r>
      <rPr>
        <sz val="9"/>
        <rFont val="微软雅黑"/>
        <charset val="134"/>
      </rPr>
      <t>王玉华</t>
    </r>
  </si>
  <si>
    <r>
      <rPr>
        <sz val="9"/>
        <rFont val="微软雅黑"/>
        <charset val="134"/>
      </rPr>
      <t>管城回族区紫荆山路</t>
    </r>
    <r>
      <rPr>
        <sz val="9"/>
        <rFont val="Times New Roman"/>
        <charset val="134"/>
      </rPr>
      <t>56</t>
    </r>
    <r>
      <rPr>
        <sz val="9"/>
        <rFont val="微软雅黑"/>
        <charset val="134"/>
      </rPr>
      <t>号</t>
    </r>
    <r>
      <rPr>
        <sz val="9"/>
        <rFont val="Times New Roman"/>
        <charset val="134"/>
      </rPr>
      <t>5</t>
    </r>
    <r>
      <rPr>
        <sz val="9"/>
        <rFont val="微软雅黑"/>
        <charset val="134"/>
      </rPr>
      <t>层</t>
    </r>
    <r>
      <rPr>
        <sz val="9"/>
        <rFont val="Times New Roman"/>
        <charset val="134"/>
      </rPr>
      <t>0534</t>
    </r>
  </si>
  <si>
    <r>
      <rPr>
        <sz val="9"/>
        <rFont val="Times New Roman"/>
        <charset val="134"/>
      </rPr>
      <t>2016.4.1-2016.9.30</t>
    </r>
    <r>
      <rPr>
        <sz val="10"/>
        <rFont val="宋体"/>
        <charset val="134"/>
      </rPr>
      <t>租金：</t>
    </r>
    <r>
      <rPr>
        <sz val="10"/>
        <rFont val="Times New Roman"/>
        <charset val="134"/>
      </rPr>
      <t>27600/</t>
    </r>
    <r>
      <rPr>
        <sz val="10"/>
        <rFont val="宋体"/>
        <charset val="134"/>
      </rPr>
      <t>年</t>
    </r>
  </si>
  <si>
    <r>
      <rPr>
        <sz val="10"/>
        <rFont val="微软雅黑"/>
        <charset val="134"/>
      </rPr>
      <t>湖南杰力</t>
    </r>
  </si>
  <si>
    <r>
      <rPr>
        <sz val="10"/>
        <rFont val="微软雅黑"/>
        <charset val="134"/>
      </rPr>
      <t>湖南</t>
    </r>
  </si>
  <si>
    <t>长沙鸿盛大厦办公室</t>
  </si>
  <si>
    <r>
      <rPr>
        <sz val="10"/>
        <rFont val="Arial"/>
        <charset val="134"/>
      </rPr>
      <t>湖南人力资源行政部</t>
    </r>
  </si>
  <si>
    <r>
      <rPr>
        <sz val="10"/>
        <rFont val="微软雅黑"/>
        <charset val="134"/>
      </rPr>
      <t>肖水生</t>
    </r>
  </si>
  <si>
    <r>
      <rPr>
        <sz val="10"/>
        <rFont val="微软雅黑"/>
        <charset val="134"/>
      </rPr>
      <t>张新明</t>
    </r>
  </si>
  <si>
    <r>
      <rPr>
        <sz val="10"/>
        <rFont val="微软雅黑"/>
        <charset val="134"/>
      </rPr>
      <t>长沙市解放路鸿盛大厦</t>
    </r>
    <r>
      <rPr>
        <sz val="10"/>
        <rFont val="Times New Roman"/>
        <charset val="134"/>
      </rPr>
      <t>B2103</t>
    </r>
    <r>
      <rPr>
        <sz val="10"/>
        <rFont val="微软雅黑"/>
        <charset val="134"/>
      </rPr>
      <t>、</t>
    </r>
    <r>
      <rPr>
        <sz val="10"/>
        <rFont val="Times New Roman"/>
        <charset val="134"/>
      </rPr>
      <t>2104</t>
    </r>
  </si>
  <si>
    <r>
      <rPr>
        <sz val="10"/>
        <rFont val="Times New Roman"/>
        <charset val="134"/>
      </rPr>
      <t xml:space="preserve"> 2012.11.01-2017.10.31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85200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2017.11.01-2018.01.31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89232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</si>
  <si>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微软雅黑"/>
        <charset val="134"/>
      </rPr>
      <t>株洲办公室</t>
    </r>
  </si>
  <si>
    <r>
      <rPr>
        <sz val="10"/>
        <rFont val="Arial"/>
        <charset val="134"/>
      </rPr>
      <t>湖南市场部</t>
    </r>
  </si>
  <si>
    <r>
      <rPr>
        <sz val="10"/>
        <rFont val="微软雅黑"/>
        <charset val="134"/>
      </rPr>
      <t>柳毅</t>
    </r>
  </si>
  <si>
    <r>
      <rPr>
        <sz val="10"/>
        <rFont val="微软雅黑"/>
        <charset val="134"/>
      </rPr>
      <t>株洲市中心天顺楼</t>
    </r>
    <r>
      <rPr>
        <sz val="10"/>
        <rFont val="Times New Roman"/>
        <charset val="134"/>
      </rPr>
      <t>1710</t>
    </r>
    <r>
      <rPr>
        <sz val="10"/>
        <rFont val="微软雅黑"/>
        <charset val="134"/>
      </rPr>
      <t>室</t>
    </r>
  </si>
  <si>
    <r>
      <rPr>
        <sz val="10"/>
        <rFont val="Times New Roman"/>
        <charset val="134"/>
      </rPr>
      <t>2014.11.23-2016.11.22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16800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2016.11.23-2018.11.22</t>
    </r>
    <r>
      <rPr>
        <sz val="10"/>
        <rFont val="微软雅黑"/>
        <charset val="134"/>
      </rPr>
      <t>（</t>
    </r>
    <r>
      <rPr>
        <sz val="10"/>
        <rFont val="Times New Roman"/>
        <charset val="134"/>
      </rPr>
      <t>16800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</si>
  <si>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微软雅黑"/>
        <charset val="134"/>
      </rPr>
      <t>衡阳办公室</t>
    </r>
  </si>
  <si>
    <r>
      <rPr>
        <sz val="10"/>
        <rFont val="宋体"/>
        <charset val="134"/>
      </rPr>
      <t>湖南市场部</t>
    </r>
  </si>
  <si>
    <r>
      <rPr>
        <sz val="10"/>
        <rFont val="微软雅黑"/>
        <charset val="134"/>
      </rPr>
      <t>张丽建</t>
    </r>
  </si>
  <si>
    <r>
      <rPr>
        <sz val="10"/>
        <rFont val="微软雅黑"/>
        <charset val="134"/>
      </rPr>
      <t>衡阳市雁峰区先锋路</t>
    </r>
    <r>
      <rPr>
        <sz val="10"/>
        <rFont val="Times New Roman"/>
        <charset val="134"/>
      </rPr>
      <t>23</t>
    </r>
    <r>
      <rPr>
        <sz val="10"/>
        <rFont val="微软雅黑"/>
        <charset val="134"/>
      </rPr>
      <t>号</t>
    </r>
  </si>
  <si>
    <r>
      <rPr>
        <sz val="10"/>
        <rFont val="Times New Roman"/>
        <charset val="134"/>
      </rPr>
      <t>2013.07.01-2014.06.30(1140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 2014.07.01-2016.06.30(13200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</si>
  <si>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2016.7.1-2017.6.30(13200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2017.7.1-2018.6.30(16800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</si>
  <si>
    <r>
      <rPr>
        <sz val="10"/>
        <rFont val="微软雅黑"/>
        <charset val="134"/>
      </rPr>
      <t>长沙凯德广场雨花亭耐克工厂店</t>
    </r>
  </si>
  <si>
    <r>
      <rPr>
        <sz val="10"/>
        <rFont val="Arial"/>
        <charset val="134"/>
      </rPr>
      <t>长沙凯德广场耐克</t>
    </r>
    <r>
      <rPr>
        <sz val="10"/>
        <rFont val="Times New Roman"/>
        <charset val="134"/>
      </rPr>
      <t>SP</t>
    </r>
  </si>
  <si>
    <t>湖南凯德商用置业有限公司</t>
  </si>
  <si>
    <r>
      <rPr>
        <sz val="10"/>
        <rFont val="微软雅黑"/>
        <charset val="134"/>
      </rPr>
      <t>长沙韶山中路</t>
    </r>
    <r>
      <rPr>
        <sz val="10"/>
        <rFont val="Times New Roman"/>
        <charset val="134"/>
      </rPr>
      <t>421</t>
    </r>
    <r>
      <rPr>
        <sz val="10"/>
        <rFont val="微软雅黑"/>
        <charset val="134"/>
      </rPr>
      <t>号凯德广场雨花亭</t>
    </r>
    <r>
      <rPr>
        <sz val="10"/>
        <rFont val="Times New Roman"/>
        <charset val="134"/>
      </rPr>
      <t>01</t>
    </r>
    <r>
      <rPr>
        <sz val="10"/>
        <rFont val="微软雅黑"/>
        <charset val="134"/>
      </rPr>
      <t>层</t>
    </r>
    <r>
      <rPr>
        <sz val="10"/>
        <rFont val="Times New Roman"/>
        <charset val="134"/>
      </rPr>
      <t>88B-90B</t>
    </r>
    <r>
      <rPr>
        <sz val="10"/>
        <rFont val="微软雅黑"/>
        <charset val="134"/>
      </rPr>
      <t>商铺</t>
    </r>
  </si>
  <si>
    <r>
      <rPr>
        <sz val="10"/>
        <rFont val="Times New Roman"/>
        <charset val="134"/>
      </rPr>
      <t xml:space="preserve"> 2015.09.01-2016.08.31</t>
    </r>
    <r>
      <rPr>
        <sz val="10"/>
        <rFont val="微软雅黑"/>
        <charset val="134"/>
      </rPr>
      <t>（租金：</t>
    </r>
    <r>
      <rPr>
        <sz val="10"/>
        <rFont val="Times New Roman"/>
        <charset val="134"/>
      </rPr>
      <t>682176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 xml:space="preserve">  </t>
    </r>
    <r>
      <rPr>
        <sz val="10"/>
        <rFont val="微软雅黑"/>
        <charset val="134"/>
      </rPr>
      <t>）</t>
    </r>
    <r>
      <rPr>
        <sz val="10"/>
        <rFont val="Times New Roman"/>
        <charset val="134"/>
      </rPr>
      <t xml:space="preserve">                             2016.09.01-2017.08.31</t>
    </r>
    <r>
      <rPr>
        <sz val="10"/>
        <rFont val="微软雅黑"/>
        <charset val="134"/>
      </rPr>
      <t>（租金：</t>
    </r>
    <r>
      <rPr>
        <sz val="10"/>
        <rFont val="Times New Roman"/>
        <charset val="134"/>
      </rPr>
      <t>726316.8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 xml:space="preserve">  </t>
    </r>
    <r>
      <rPr>
        <sz val="10"/>
        <rFont val="微软雅黑"/>
        <charset val="134"/>
      </rPr>
      <t>）</t>
    </r>
    <r>
      <rPr>
        <sz val="10"/>
        <rFont val="Times New Roman"/>
        <charset val="134"/>
      </rPr>
      <t xml:space="preserve">                              2017.10.1-2019.09.30</t>
    </r>
    <r>
      <rPr>
        <sz val="10"/>
        <rFont val="微软雅黑"/>
        <charset val="134"/>
      </rPr>
      <t>（租金</t>
    </r>
    <r>
      <rPr>
        <sz val="10"/>
        <rFont val="Times New Roman"/>
        <charset val="134"/>
      </rPr>
      <t>179.4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平或</t>
    </r>
    <r>
      <rPr>
        <sz val="10"/>
        <rFont val="Times New Roman"/>
        <charset val="134"/>
      </rPr>
      <t>10%</t>
    </r>
    <r>
      <rPr>
        <sz val="10"/>
        <rFont val="微软雅黑"/>
        <charset val="134"/>
      </rPr>
      <t>，二者取其高）</t>
    </r>
  </si>
  <si>
    <r>
      <rPr>
        <sz val="10"/>
        <rFont val="Times New Roman"/>
        <charset val="134"/>
      </rPr>
      <t>2015.09.01-2016.08.31</t>
    </r>
    <r>
      <rPr>
        <sz val="10"/>
        <rFont val="微软雅黑"/>
        <charset val="134"/>
      </rPr>
      <t>（物业：</t>
    </r>
    <r>
      <rPr>
        <sz val="10"/>
        <rFont val="Times New Roman"/>
        <charset val="134"/>
      </rPr>
      <t>200640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                 2016.09.01-2017.08.31</t>
    </r>
    <r>
      <rPr>
        <sz val="10"/>
        <rFont val="微软雅黑"/>
        <charset val="134"/>
      </rPr>
      <t>（物业：</t>
    </r>
    <r>
      <rPr>
        <sz val="10"/>
        <rFont val="Times New Roman"/>
        <charset val="134"/>
      </rPr>
      <t>200640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  <r>
      <rPr>
        <sz val="10"/>
        <rFont val="Times New Roman"/>
        <charset val="134"/>
      </rPr>
      <t xml:space="preserve">            2017.10.1-2019.09.30   </t>
    </r>
    <r>
      <rPr>
        <sz val="10"/>
        <rFont val="微软雅黑"/>
        <charset val="134"/>
      </rPr>
      <t>（物业费</t>
    </r>
    <r>
      <rPr>
        <sz val="10"/>
        <rFont val="Times New Roman"/>
        <charset val="134"/>
      </rPr>
      <t>53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平，市场推广费</t>
    </r>
    <r>
      <rPr>
        <sz val="10"/>
        <rFont val="Times New Roman"/>
        <charset val="134"/>
      </rPr>
      <t>10.6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平，合同律师费</t>
    </r>
    <r>
      <rPr>
        <sz val="10"/>
        <rFont val="Times New Roman"/>
        <charset val="134"/>
      </rPr>
      <t>1672</t>
    </r>
    <r>
      <rPr>
        <sz val="10"/>
        <rFont val="微软雅黑"/>
        <charset val="134"/>
      </rPr>
      <t>元）</t>
    </r>
  </si>
  <si>
    <r>
      <rPr>
        <sz val="10"/>
        <rFont val="微软雅黑"/>
        <charset val="134"/>
      </rPr>
      <t>长沙黄兴南路步行街阿迪</t>
    </r>
    <r>
      <rPr>
        <sz val="10"/>
        <rFont val="Times New Roman"/>
        <charset val="134"/>
      </rPr>
      <t>\</t>
    </r>
    <r>
      <rPr>
        <sz val="10"/>
        <rFont val="微软雅黑"/>
        <charset val="134"/>
      </rPr>
      <t>万斯店</t>
    </r>
  </si>
  <si>
    <r>
      <rPr>
        <sz val="10"/>
        <rFont val="Arial"/>
        <charset val="134"/>
      </rPr>
      <t>长沙黄兴南路步行街万斯</t>
    </r>
  </si>
  <si>
    <r>
      <rPr>
        <sz val="10"/>
        <rFont val="微软雅黑"/>
        <charset val="134"/>
      </rPr>
      <t>林建兴</t>
    </r>
  </si>
  <si>
    <r>
      <rPr>
        <sz val="10"/>
        <rFont val="微软雅黑"/>
        <charset val="134"/>
      </rPr>
      <t>长沙市黄兴南路步行商业街西厢北栋</t>
    </r>
    <r>
      <rPr>
        <sz val="10"/>
        <rFont val="Times New Roman"/>
        <charset val="134"/>
      </rPr>
      <t>F</t>
    </r>
    <r>
      <rPr>
        <sz val="10"/>
        <rFont val="微软雅黑"/>
        <charset val="134"/>
      </rPr>
      <t>区</t>
    </r>
  </si>
  <si>
    <r>
      <rPr>
        <sz val="10"/>
        <rFont val="Times New Roman"/>
        <charset val="134"/>
      </rPr>
      <t>2014.12.25-2017.12.24</t>
    </r>
    <r>
      <rPr>
        <sz val="10"/>
        <rFont val="微软雅黑"/>
        <charset val="134"/>
      </rPr>
      <t>（租金：</t>
    </r>
    <r>
      <rPr>
        <sz val="10"/>
        <rFont val="Times New Roman"/>
        <charset val="134"/>
      </rPr>
      <t>249600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</si>
  <si>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Times New Roman"/>
        <charset val="134"/>
      </rPr>
      <t>2014.12.25-2017.12.24</t>
    </r>
    <r>
      <rPr>
        <sz val="10"/>
        <rFont val="微软雅黑"/>
        <charset val="134"/>
      </rPr>
      <t>（物业管理费：</t>
    </r>
    <r>
      <rPr>
        <sz val="10"/>
        <rFont val="Times New Roman"/>
        <charset val="134"/>
      </rPr>
      <t>15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平米，空调使用费：</t>
    </r>
    <r>
      <rPr>
        <sz val="10"/>
        <rFont val="Times New Roman"/>
        <charset val="134"/>
      </rPr>
      <t>11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平米）</t>
    </r>
  </si>
  <si>
    <t>2016.12.31</t>
  </si>
  <si>
    <r>
      <rPr>
        <sz val="10"/>
        <rFont val="Times New Roman"/>
        <charset val="134"/>
      </rPr>
      <t>2017.1.1-2017.12.31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124800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</si>
  <si>
    <r>
      <rPr>
        <sz val="10"/>
        <rFont val="Arial"/>
        <charset val="134"/>
      </rPr>
      <t>物业管理费：</t>
    </r>
    <r>
      <rPr>
        <sz val="10"/>
        <rFont val="Times New Roman"/>
        <charset val="134"/>
      </rPr>
      <t>15</t>
    </r>
    <r>
      <rPr>
        <sz val="10"/>
        <rFont val="Arial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Arial"/>
        <charset val="134"/>
      </rPr>
      <t>平方</t>
    </r>
    <r>
      <rPr>
        <sz val="10"/>
        <rFont val="Times New Roman"/>
        <charset val="134"/>
      </rPr>
      <t>/</t>
    </r>
    <r>
      <rPr>
        <sz val="10"/>
        <rFont val="Arial"/>
        <charset val="134"/>
      </rPr>
      <t>月，空调使用费</t>
    </r>
    <r>
      <rPr>
        <sz val="10"/>
        <rFont val="Times New Roman"/>
        <charset val="134"/>
      </rPr>
      <t>11</t>
    </r>
    <r>
      <rPr>
        <sz val="10"/>
        <rFont val="Arial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Arial"/>
        <charset val="134"/>
      </rPr>
      <t>平方</t>
    </r>
    <r>
      <rPr>
        <sz val="10"/>
        <rFont val="Times New Roman"/>
        <charset val="134"/>
      </rPr>
      <t>/</t>
    </r>
    <r>
      <rPr>
        <sz val="10"/>
        <rFont val="Arial"/>
        <charset val="134"/>
      </rPr>
      <t>月）</t>
    </r>
  </si>
  <si>
    <r>
      <rPr>
        <sz val="10"/>
        <rFont val="微软雅黑"/>
        <charset val="134"/>
      </rPr>
      <t>湖南长沙黄兴南路步行街耐克</t>
    </r>
  </si>
  <si>
    <r>
      <rPr>
        <sz val="10"/>
        <rFont val="Arial"/>
        <charset val="134"/>
      </rPr>
      <t>长沙黄兴南路步行街耐克</t>
    </r>
  </si>
  <si>
    <r>
      <rPr>
        <sz val="10"/>
        <rFont val="微软雅黑"/>
        <charset val="134"/>
      </rPr>
      <t>李凡焱</t>
    </r>
  </si>
  <si>
    <r>
      <rPr>
        <sz val="10"/>
        <rFont val="微软雅黑"/>
        <charset val="134"/>
      </rPr>
      <t>长沙黄兴南路步行街</t>
    </r>
    <r>
      <rPr>
        <sz val="10"/>
        <rFont val="Times New Roman"/>
        <charset val="134"/>
      </rPr>
      <t>2</t>
    </r>
    <r>
      <rPr>
        <sz val="10"/>
        <rFont val="微软雅黑"/>
        <charset val="134"/>
      </rPr>
      <t>号新天地</t>
    </r>
    <r>
      <rPr>
        <sz val="10"/>
        <rFont val="Times New Roman"/>
        <charset val="134"/>
      </rPr>
      <t>107</t>
    </r>
    <r>
      <rPr>
        <sz val="10"/>
        <rFont val="微软雅黑"/>
        <charset val="134"/>
      </rPr>
      <t>号</t>
    </r>
  </si>
  <si>
    <r>
      <rPr>
        <sz val="10"/>
        <rFont val="Times New Roman"/>
        <charset val="134"/>
      </rPr>
      <t>2015.02.21-2017.02.20(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215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                                      2017.02.21-2019.02.20(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220</t>
    </r>
    <r>
      <rPr>
        <sz val="10"/>
        <rFont val="微软雅黑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</si>
  <si>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湖南长沙黄兴南路步行街集合店</t>
    </r>
  </si>
  <si>
    <r>
      <rPr>
        <sz val="10"/>
        <rFont val="微软雅黑"/>
        <charset val="134"/>
      </rPr>
      <t>长沙市黄兴南路步行街集合一店</t>
    </r>
  </si>
  <si>
    <r>
      <rPr>
        <sz val="10"/>
        <rFont val="微软雅黑"/>
        <charset val="134"/>
      </rPr>
      <t>长沙三冠贸易有限公司</t>
    </r>
  </si>
  <si>
    <r>
      <rPr>
        <sz val="10"/>
        <rFont val="微软雅黑"/>
        <charset val="134"/>
      </rPr>
      <t>长沙黄兴南路步行商业街西厢北栋</t>
    </r>
    <r>
      <rPr>
        <sz val="10"/>
        <rFont val="Times New Roman"/>
        <charset val="134"/>
      </rPr>
      <t>F</t>
    </r>
    <r>
      <rPr>
        <sz val="10"/>
        <rFont val="微软雅黑"/>
        <charset val="134"/>
      </rPr>
      <t>区二楼</t>
    </r>
  </si>
  <si>
    <r>
      <rPr>
        <sz val="10"/>
        <rFont val="Times New Roman"/>
        <charset val="134"/>
      </rPr>
      <t>2014.11.08-2020.11.07</t>
    </r>
    <r>
      <rPr>
        <sz val="10"/>
        <rFont val="微软雅黑"/>
        <charset val="134"/>
      </rPr>
      <t>（租金：</t>
    </r>
    <r>
      <rPr>
        <sz val="10"/>
        <rFont val="Times New Roman"/>
        <charset val="134"/>
      </rPr>
      <t>2000000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</si>
  <si>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r>
      <rPr>
        <sz val="10"/>
        <rFont val="Times New Roman"/>
        <charset val="134"/>
      </rPr>
      <t>2014.11.08-2020.11.07</t>
    </r>
    <r>
      <rPr>
        <sz val="10"/>
        <rFont val="微软雅黑"/>
        <charset val="134"/>
      </rPr>
      <t>（物业：</t>
    </r>
    <r>
      <rPr>
        <sz val="10"/>
        <rFont val="Times New Roman"/>
        <charset val="134"/>
      </rPr>
      <t>360000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，空调使用费</t>
    </r>
    <r>
      <rPr>
        <sz val="10"/>
        <rFont val="Times New Roman"/>
        <charset val="134"/>
      </rPr>
      <t>:264000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年）</t>
    </r>
  </si>
  <si>
    <t>2016.05.31</t>
  </si>
  <si>
    <r>
      <rPr>
        <sz val="10"/>
        <rFont val="微软雅黑"/>
        <charset val="134"/>
      </rPr>
      <t>长沙开福万达集合店</t>
    </r>
  </si>
  <si>
    <r>
      <rPr>
        <sz val="10"/>
        <rFont val="Arial"/>
        <charset val="134"/>
      </rPr>
      <t>长沙开福万达广场集合店</t>
    </r>
  </si>
  <si>
    <r>
      <rPr>
        <sz val="10"/>
        <rFont val="微软雅黑"/>
        <charset val="134"/>
      </rPr>
      <t>长沙开福万达广场投资有限公司</t>
    </r>
  </si>
  <si>
    <r>
      <rPr>
        <sz val="10"/>
        <rFont val="微软雅黑"/>
        <charset val="134"/>
      </rPr>
      <t>长沙开福万达广场购物中心娱乐楼三层</t>
    </r>
  </si>
  <si>
    <r>
      <rPr>
        <sz val="10"/>
        <rFont val="Times New Roman"/>
        <charset val="134"/>
      </rPr>
      <t>2016.01.06-2017.01.05(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:66.67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                      2017.01.06-2018.01.05(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:80.00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                          2018.01.06-2019.01.05(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:83.20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                          2019.01.06-2020.01.05(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:86.53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                       2020.01.06-2021.01.05(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:89.99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                                  2021.01.06-2022.01.05(</t>
    </r>
    <r>
      <rPr>
        <sz val="10"/>
        <rFont val="微软雅黑"/>
        <charset val="134"/>
      </rPr>
      <t>租金</t>
    </r>
    <r>
      <rPr>
        <sz val="10"/>
        <rFont val="Times New Roman"/>
        <charset val="134"/>
      </rPr>
      <t>:93.59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)</t>
    </r>
  </si>
  <si>
    <r>
      <rPr>
        <sz val="10"/>
        <rFont val="微软雅黑"/>
        <charset val="134"/>
      </rPr>
      <t>物业管理费</t>
    </r>
    <r>
      <rPr>
        <sz val="10"/>
        <rFont val="Times New Roman"/>
        <charset val="134"/>
      </rPr>
      <t>:6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平米</t>
    </r>
    <r>
      <rPr>
        <sz val="10"/>
        <rFont val="Times New Roman"/>
        <charset val="134"/>
      </rPr>
      <t>,</t>
    </r>
    <r>
      <rPr>
        <sz val="10"/>
        <rFont val="微软雅黑"/>
        <charset val="134"/>
      </rPr>
      <t>空调使用费</t>
    </r>
    <r>
      <rPr>
        <sz val="10"/>
        <rFont val="Times New Roman"/>
        <charset val="134"/>
      </rPr>
      <t>:10</t>
    </r>
    <r>
      <rPr>
        <sz val="10"/>
        <rFont val="微软雅黑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微软雅黑"/>
        <charset val="134"/>
      </rPr>
      <t>月</t>
    </r>
    <r>
      <rPr>
        <sz val="10"/>
        <rFont val="Times New Roman"/>
        <charset val="134"/>
      </rPr>
      <t>*</t>
    </r>
    <r>
      <rPr>
        <sz val="10"/>
        <rFont val="微软雅黑"/>
        <charset val="134"/>
      </rPr>
      <t>平米</t>
    </r>
  </si>
  <si>
    <r>
      <rPr>
        <sz val="10"/>
        <rFont val="宋体"/>
        <charset val="134"/>
      </rPr>
      <t>湖南杰力</t>
    </r>
  </si>
  <si>
    <r>
      <rPr>
        <sz val="10"/>
        <rFont val="宋体"/>
        <charset val="134"/>
      </rPr>
      <t>常德万达儿童品牌集合店</t>
    </r>
  </si>
  <si>
    <r>
      <rPr>
        <sz val="10"/>
        <rFont val="宋体"/>
        <charset val="134"/>
      </rPr>
      <t>常德万达置业有限公司</t>
    </r>
  </si>
  <si>
    <r>
      <rPr>
        <sz val="10"/>
        <rFont val="宋体"/>
        <charset val="134"/>
      </rPr>
      <t>常德万达广场市内步行街二层</t>
    </r>
    <r>
      <rPr>
        <sz val="10"/>
        <rFont val="Times New Roman"/>
        <charset val="134"/>
      </rPr>
      <t>2052-2053</t>
    </r>
  </si>
  <si>
    <r>
      <rPr>
        <sz val="10"/>
        <rFont val="Times New Roman"/>
        <charset val="134"/>
      </rPr>
      <t>2016.9.16-2017.9.15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61221.4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2017.9.16-2018.9.15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65506.9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2018.9.16-2019.6.15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70092.38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</si>
  <si>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物业管理费</t>
    </r>
    <r>
      <rPr>
        <sz val="10"/>
        <rFont val="Times New Roman"/>
        <charset val="134"/>
      </rPr>
      <t>:55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</si>
  <si>
    <r>
      <rPr>
        <sz val="10"/>
        <rFont val="宋体"/>
        <charset val="134"/>
      </rPr>
      <t>常德万达广场阿迪</t>
    </r>
    <r>
      <rPr>
        <sz val="10"/>
        <rFont val="Times New Roman"/>
        <charset val="134"/>
      </rPr>
      <t>NEO</t>
    </r>
  </si>
  <si>
    <r>
      <rPr>
        <sz val="10"/>
        <rFont val="宋体"/>
        <charset val="134"/>
      </rPr>
      <t>常德万达广场市内步行街三层</t>
    </r>
    <r>
      <rPr>
        <sz val="10"/>
        <rFont val="Times New Roman"/>
        <charset val="134"/>
      </rPr>
      <t>3025</t>
    </r>
  </si>
  <si>
    <r>
      <rPr>
        <sz val="10"/>
        <rFont val="Times New Roman"/>
        <charset val="134"/>
      </rPr>
      <t>2016.9.16-2017.9.15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18945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2017.9.16-2018.9.15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20271.15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2018.9.16-2019.6.15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21690.13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</si>
  <si>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常德万达广场阿迪达斯</t>
    </r>
  </si>
  <si>
    <r>
      <rPr>
        <sz val="10"/>
        <rFont val="宋体"/>
        <charset val="134"/>
      </rPr>
      <t>常德万达广场市内步行街三层</t>
    </r>
    <r>
      <rPr>
        <sz val="10"/>
        <rFont val="Times New Roman"/>
        <charset val="134"/>
      </rPr>
      <t>3023</t>
    </r>
  </si>
  <si>
    <r>
      <rPr>
        <sz val="10"/>
        <rFont val="Times New Roman"/>
        <charset val="134"/>
      </rPr>
      <t>2016.9.16-2017.9.15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32709.6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2017.9.16-2018.9.15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34999.27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2018.9.16-2019.6.15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37449.22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</si>
  <si>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常德万达广场耐克</t>
    </r>
    <r>
      <rPr>
        <sz val="10"/>
        <rFont val="Times New Roman"/>
        <charset val="134"/>
      </rPr>
      <t>NSW</t>
    </r>
  </si>
  <si>
    <r>
      <rPr>
        <sz val="10"/>
        <rFont val="宋体"/>
        <charset val="134"/>
      </rPr>
      <t>常德万达广场市内步行街三层</t>
    </r>
    <r>
      <rPr>
        <sz val="10"/>
        <rFont val="Times New Roman"/>
        <charset val="134"/>
      </rPr>
      <t>3026</t>
    </r>
  </si>
  <si>
    <r>
      <rPr>
        <sz val="10"/>
        <rFont val="Times New Roman"/>
        <charset val="134"/>
      </rPr>
      <t>2016.9.16-2017.9.15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23460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2017.9.16-2018.9.15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25102.2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2018.9.16-2019.6.15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26859.35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</si>
  <si>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常德万达广场耐克</t>
    </r>
    <r>
      <rPr>
        <sz val="10"/>
        <rFont val="Times New Roman"/>
        <charset val="134"/>
      </rPr>
      <t>SP</t>
    </r>
  </si>
  <si>
    <r>
      <rPr>
        <sz val="10"/>
        <rFont val="宋体"/>
        <charset val="134"/>
      </rPr>
      <t>常德万达广场市内步行街三层</t>
    </r>
    <r>
      <rPr>
        <sz val="10"/>
        <rFont val="Times New Roman"/>
        <charset val="134"/>
      </rPr>
      <t>3022</t>
    </r>
  </si>
  <si>
    <r>
      <rPr>
        <sz val="10"/>
        <rFont val="Times New Roman"/>
        <charset val="134"/>
      </rPr>
      <t>2016.9.16-2017.9.15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32705.2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2017.9.16-2018.9.15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34994.45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2018.9.16-2019.6.15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37444.18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</si>
  <si>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常德万达广场万斯</t>
    </r>
  </si>
  <si>
    <r>
      <rPr>
        <sz val="10"/>
        <rFont val="宋体"/>
        <charset val="134"/>
      </rPr>
      <t>常德万达广场市内步行街三层</t>
    </r>
    <r>
      <rPr>
        <sz val="10"/>
        <rFont val="Times New Roman"/>
        <charset val="134"/>
      </rPr>
      <t>3055</t>
    </r>
  </si>
  <si>
    <r>
      <rPr>
        <sz val="10"/>
        <rFont val="Times New Roman"/>
        <charset val="134"/>
      </rPr>
      <t>2016.9.16-2017.9.15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25604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2017.9.16-2018.9.15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27396.28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2018.9.16-2019.6.15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37444.18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</si>
  <si>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湖南</t>
    </r>
  </si>
  <si>
    <r>
      <rPr>
        <sz val="9"/>
        <rFont val="微软雅黑"/>
        <charset val="134"/>
      </rPr>
      <t>长沙悦方万斯</t>
    </r>
  </si>
  <si>
    <r>
      <rPr>
        <sz val="9"/>
        <rFont val="微软雅黑"/>
        <charset val="134"/>
      </rPr>
      <t>湖南盈富置业有限公司</t>
    </r>
  </si>
  <si>
    <r>
      <rPr>
        <sz val="9"/>
        <rFont val="微软雅黑"/>
        <charset val="134"/>
      </rPr>
      <t>长沙市天心区</t>
    </r>
    <r>
      <rPr>
        <sz val="9"/>
        <rFont val="Times New Roman"/>
        <charset val="134"/>
      </rPr>
      <t>216</t>
    </r>
    <r>
      <rPr>
        <sz val="9"/>
        <rFont val="微软雅黑"/>
        <charset val="134"/>
      </rPr>
      <t>号</t>
    </r>
  </si>
  <si>
    <r>
      <rPr>
        <sz val="9"/>
        <rFont val="Times New Roman"/>
        <charset val="134"/>
      </rPr>
      <t>2016.8.26-2017.8.25</t>
    </r>
    <r>
      <rPr>
        <sz val="9"/>
        <rFont val="微软雅黑"/>
        <charset val="134"/>
      </rPr>
      <t>租金：</t>
    </r>
    <r>
      <rPr>
        <sz val="9"/>
        <rFont val="Times New Roman"/>
        <charset val="134"/>
      </rPr>
      <t>856195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年</t>
    </r>
    <r>
      <rPr>
        <sz val="9"/>
        <rFont val="Times New Roman"/>
        <charset val="134"/>
      </rPr>
      <t xml:space="preserve">         2017.8.26-2018.8.25</t>
    </r>
    <r>
      <rPr>
        <sz val="9"/>
        <rFont val="微软雅黑"/>
        <charset val="134"/>
      </rPr>
      <t>租金：</t>
    </r>
    <r>
      <rPr>
        <sz val="9"/>
        <rFont val="Times New Roman"/>
        <charset val="134"/>
      </rPr>
      <t>932148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年</t>
    </r>
  </si>
  <si>
    <t xml:space="preserve"> 衡阳万达耐克店</t>
  </si>
  <si>
    <t>衡阳万达广场耐克</t>
  </si>
  <si>
    <t>衡阳万达广场置业有限公司</t>
  </si>
  <si>
    <t>衡阳市蒸湘区联合街道幸福路22号</t>
  </si>
  <si>
    <r>
      <rPr>
        <sz val="9"/>
        <rFont val="Times New Roman"/>
        <charset val="134"/>
      </rPr>
      <t>2017.9.29-2018.9.28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35081.30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          2018.9.29-2019.9.28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37536.99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                  2019.9.29-2020.6.28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40164.58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</si>
  <si>
    <r>
      <rPr>
        <sz val="9"/>
        <rFont val="Times New Roman"/>
        <charset val="134"/>
      </rPr>
      <t>2017.9.29-2020.06.28</t>
    </r>
    <r>
      <rPr>
        <sz val="9"/>
        <rFont val="宋体"/>
        <charset val="134"/>
      </rPr>
      <t>（物业：</t>
    </r>
    <r>
      <rPr>
        <sz val="9"/>
        <rFont val="Times New Roman"/>
        <charset val="134"/>
      </rPr>
      <t>13306.70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</t>
    </r>
  </si>
  <si>
    <t xml:space="preserve"> 衡阳集合店</t>
  </si>
  <si>
    <t>衡阳万达广场儿童集合店</t>
  </si>
  <si>
    <r>
      <rPr>
        <sz val="9"/>
        <rFont val="Times New Roman"/>
        <charset val="134"/>
      </rPr>
      <t>2017.9.29-2018.9.28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35082.75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          2018.9.29-2019.9.28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37538.54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                  2019.9.29-2020.6.28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40166.24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</si>
  <si>
    <r>
      <rPr>
        <sz val="9"/>
        <rFont val="Times New Roman"/>
        <charset val="134"/>
      </rPr>
      <t>2017.9.29-2020.06.28</t>
    </r>
    <r>
      <rPr>
        <sz val="9"/>
        <rFont val="宋体"/>
        <charset val="134"/>
      </rPr>
      <t>（物业：</t>
    </r>
    <r>
      <rPr>
        <sz val="9"/>
        <rFont val="Times New Roman"/>
        <charset val="134"/>
      </rPr>
      <t>13307.25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</t>
    </r>
  </si>
  <si>
    <t xml:space="preserve"> 衡阳万达耐克360店</t>
  </si>
  <si>
    <t>衡阳万达广场耐克NSW</t>
  </si>
  <si>
    <r>
      <rPr>
        <sz val="9"/>
        <rFont val="Times New Roman"/>
        <charset val="134"/>
      </rPr>
      <t>2017.9.29-2018.9.28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24095.40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          2018.9.29-2019.9.28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25782.08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                  2019.9.29-2020.6.28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27586.82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</si>
  <si>
    <r>
      <rPr>
        <sz val="9"/>
        <rFont val="Times New Roman"/>
        <charset val="134"/>
      </rPr>
      <t>2017.9.29-2020.06.28</t>
    </r>
    <r>
      <rPr>
        <sz val="9"/>
        <rFont val="宋体"/>
        <charset val="134"/>
      </rPr>
      <t>（物业：</t>
    </r>
    <r>
      <rPr>
        <sz val="9"/>
        <rFont val="Times New Roman"/>
        <charset val="134"/>
      </rPr>
      <t>6310.70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</t>
    </r>
  </si>
  <si>
    <t xml:space="preserve"> 衡阳万达万斯店</t>
  </si>
  <si>
    <t>衡阳万达广场万斯</t>
  </si>
  <si>
    <r>
      <rPr>
        <sz val="9"/>
        <rFont val="Times New Roman"/>
        <charset val="134"/>
      </rPr>
      <t>2017.9.29-2018.9.28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19843.25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          2018.9.29-2019.9.28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21232.28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                  2019.9.29-2020.6.28</t>
    </r>
    <r>
      <rPr>
        <sz val="9"/>
        <rFont val="宋体"/>
        <charset val="134"/>
      </rPr>
      <t>（租金：</t>
    </r>
    <r>
      <rPr>
        <sz val="9"/>
        <rFont val="Times New Roman"/>
        <charset val="134"/>
      </rPr>
      <t>22718.54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</si>
  <si>
    <r>
      <rPr>
        <sz val="9"/>
        <rFont val="Times New Roman"/>
        <charset val="134"/>
      </rPr>
      <t>2017.9.29-2020.06.28</t>
    </r>
    <r>
      <rPr>
        <sz val="9"/>
        <rFont val="宋体"/>
        <charset val="134"/>
      </rPr>
      <t>（物业：</t>
    </r>
    <r>
      <rPr>
        <sz val="9"/>
        <rFont val="Times New Roman"/>
        <charset val="134"/>
      </rPr>
      <t>7526.75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月）</t>
    </r>
    <r>
      <rPr>
        <sz val="9"/>
        <rFont val="Times New Roman"/>
        <charset val="134"/>
      </rPr>
      <t xml:space="preserve">    </t>
    </r>
  </si>
  <si>
    <r>
      <rPr>
        <sz val="10"/>
        <rFont val="宋体"/>
        <charset val="134"/>
      </rPr>
      <t>贸易</t>
    </r>
  </si>
  <si>
    <r>
      <rPr>
        <sz val="10"/>
        <rFont val="宋体"/>
        <charset val="134"/>
      </rPr>
      <t>物流部</t>
    </r>
  </si>
  <si>
    <r>
      <rPr>
        <sz val="10"/>
        <rFont val="宋体"/>
        <charset val="134"/>
      </rPr>
      <t>武汉物流部（彩板房）</t>
    </r>
  </si>
  <si>
    <r>
      <rPr>
        <sz val="10"/>
        <rFont val="宋体"/>
        <charset val="134"/>
      </rPr>
      <t>武汉物流部</t>
    </r>
  </si>
  <si>
    <r>
      <rPr>
        <sz val="10"/>
        <rFont val="宋体"/>
        <charset val="134"/>
      </rPr>
      <t>中国物资储运武汉江北公司</t>
    </r>
  </si>
  <si>
    <r>
      <rPr>
        <sz val="10"/>
        <rFont val="宋体"/>
        <charset val="134"/>
      </rPr>
      <t>武汉市江岸区二七路</t>
    </r>
    <r>
      <rPr>
        <sz val="10"/>
        <rFont val="Times New Roman"/>
        <charset val="134"/>
      </rPr>
      <t>224</t>
    </r>
    <r>
      <rPr>
        <sz val="10"/>
        <rFont val="宋体"/>
        <charset val="134"/>
      </rPr>
      <t>号中国物资储运武汉江北公司</t>
    </r>
  </si>
  <si>
    <r>
      <rPr>
        <sz val="10"/>
        <rFont val="Times New Roman"/>
        <charset val="134"/>
      </rPr>
      <t>2014.08.01-2015.07.31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1216080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</si>
  <si>
    <r>
      <rPr>
        <sz val="10"/>
        <rFont val="宋体"/>
        <charset val="134"/>
      </rPr>
      <t>武汉物流部（</t>
    </r>
    <r>
      <rPr>
        <sz val="10"/>
        <rFont val="Times New Roman"/>
        <charset val="134"/>
      </rPr>
      <t>7#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</si>
  <si>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武汉市江岸区二七路</t>
    </r>
    <r>
      <rPr>
        <sz val="10"/>
        <rFont val="Times New Roman"/>
        <charset val="134"/>
      </rPr>
      <t>225</t>
    </r>
    <r>
      <rPr>
        <sz val="10"/>
        <rFont val="宋体"/>
        <charset val="134"/>
      </rPr>
      <t>号中国物资储运武汉江北公司</t>
    </r>
  </si>
  <si>
    <r>
      <rPr>
        <sz val="10"/>
        <rFont val="Times New Roman"/>
        <charset val="134"/>
      </rPr>
      <t xml:space="preserve"> 2014.08.01-2015.07.31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134400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</si>
  <si>
    <r>
      <rPr>
        <sz val="10"/>
        <rFont val="宋体"/>
        <charset val="134"/>
      </rPr>
      <t>武汉物流部（</t>
    </r>
    <r>
      <rPr>
        <sz val="10"/>
        <rFont val="Times New Roman"/>
        <charset val="134"/>
      </rPr>
      <t>6-1#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</si>
  <si>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武汉市江岸区二七路</t>
    </r>
    <r>
      <rPr>
        <sz val="10"/>
        <rFont val="Times New Roman"/>
        <charset val="134"/>
      </rPr>
      <t>226</t>
    </r>
    <r>
      <rPr>
        <sz val="10"/>
        <rFont val="宋体"/>
        <charset val="134"/>
      </rPr>
      <t>号中国物资储运武汉江北公司</t>
    </r>
  </si>
  <si>
    <r>
      <rPr>
        <sz val="10"/>
        <rFont val="Times New Roman"/>
        <charset val="134"/>
      </rPr>
      <t>2014.08.01-2015.07.31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112320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</si>
  <si>
    <r>
      <rPr>
        <sz val="10"/>
        <rFont val="Times New Roman"/>
        <charset val="134"/>
      </rPr>
      <t>2015.08.01-2015.08.31(121900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</si>
  <si>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2015.09.01-2016.08.31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146546*12=1758552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 2016.09.01-2017.08.31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146546*12=1758552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        2017.09.01-2018.02.28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146546*12=1802400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 2018.01.01-2018.12.31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146546*12=1620000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</si>
  <si>
    <r>
      <rPr>
        <sz val="10"/>
        <rFont val="宋体"/>
        <charset val="134"/>
      </rPr>
      <t>杰之行丹水池仓库</t>
    </r>
  </si>
  <si>
    <r>
      <rPr>
        <sz val="10"/>
        <rFont val="宋体"/>
        <charset val="134"/>
      </rPr>
      <t>中储发展股份有限公司汉口分公司</t>
    </r>
  </si>
  <si>
    <r>
      <rPr>
        <sz val="10"/>
        <rFont val="宋体"/>
        <charset val="134"/>
      </rPr>
      <t>武汉市解放大道</t>
    </r>
    <r>
      <rPr>
        <sz val="10"/>
        <rFont val="Times New Roman"/>
        <charset val="134"/>
      </rPr>
      <t>2020</t>
    </r>
    <r>
      <rPr>
        <sz val="10"/>
        <rFont val="宋体"/>
        <charset val="134"/>
      </rPr>
      <t>号新二库三区库房</t>
    </r>
  </si>
  <si>
    <r>
      <rPr>
        <sz val="10"/>
        <rFont val="Times New Roman"/>
        <charset val="134"/>
      </rPr>
      <t>2015.03.15-2016.03.15(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:23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                            2016.03.16-2017.03.15(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:23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                      2017.03.16-2018.03.15(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:23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平米</t>
    </r>
    <r>
      <rPr>
        <sz val="10"/>
        <rFont val="Times New Roman"/>
        <charset val="134"/>
      </rPr>
      <t>*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</si>
  <si>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宜昌物流部</t>
    </r>
  </si>
  <si>
    <r>
      <rPr>
        <sz val="10"/>
        <rFont val="宋体"/>
        <charset val="134"/>
      </rPr>
      <t>黎世杰</t>
    </r>
  </si>
  <si>
    <r>
      <rPr>
        <sz val="10"/>
        <rFont val="Arial"/>
        <charset val="134"/>
      </rPr>
      <t>宜昌市东山大道</t>
    </r>
    <r>
      <rPr>
        <sz val="10"/>
        <rFont val="Times New Roman"/>
        <charset val="134"/>
      </rPr>
      <t>336</t>
    </r>
    <r>
      <rPr>
        <sz val="10"/>
        <rFont val="Arial"/>
        <charset val="134"/>
      </rPr>
      <t>号杨岔路国贸仓库</t>
    </r>
  </si>
  <si>
    <r>
      <rPr>
        <sz val="10"/>
        <rFont val="Times New Roman"/>
        <charset val="134"/>
      </rPr>
      <t>2016.01.25-2017.01.24(</t>
    </r>
    <r>
      <rPr>
        <sz val="10"/>
        <rFont val="Arial"/>
        <charset val="134"/>
      </rPr>
      <t>租金</t>
    </r>
    <r>
      <rPr>
        <sz val="10"/>
        <rFont val="Times New Roman"/>
        <charset val="134"/>
      </rPr>
      <t>:32000</t>
    </r>
    <r>
      <rPr>
        <sz val="10"/>
        <rFont val="Arial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Arial"/>
        <charset val="134"/>
      </rPr>
      <t>年</t>
    </r>
    <r>
      <rPr>
        <sz val="10"/>
        <rFont val="Times New Roman"/>
        <charset val="134"/>
      </rPr>
      <t>)</t>
    </r>
  </si>
  <si>
    <r>
      <rPr>
        <sz val="9"/>
        <rFont val="微软雅黑"/>
        <charset val="134"/>
      </rPr>
      <t>湖北国贸大厦集团有限公司</t>
    </r>
  </si>
  <si>
    <r>
      <rPr>
        <sz val="10"/>
        <rFont val="宋体"/>
        <charset val="134"/>
      </rPr>
      <t>宜昌市东山大道</t>
    </r>
    <r>
      <rPr>
        <sz val="10"/>
        <rFont val="Times New Roman"/>
        <charset val="134"/>
      </rPr>
      <t>376</t>
    </r>
    <r>
      <rPr>
        <sz val="10"/>
        <rFont val="宋体"/>
        <charset val="134"/>
      </rPr>
      <t>号杨岔路国贸仓库</t>
    </r>
  </si>
  <si>
    <r>
      <rPr>
        <sz val="10"/>
        <rFont val="Times New Roman"/>
        <charset val="134"/>
      </rPr>
      <t>2017.01.01-2017.04.30(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:31200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</t>
    </r>
  </si>
  <si>
    <r>
      <rPr>
        <sz val="9"/>
        <rFont val="Times New Roman"/>
        <charset val="134"/>
      </rPr>
      <t>2017.5.1-2018.4.30</t>
    </r>
    <r>
      <rPr>
        <sz val="9"/>
        <rFont val="微软雅黑"/>
        <charset val="134"/>
      </rPr>
      <t>（租金：</t>
    </r>
    <r>
      <rPr>
        <sz val="9"/>
        <rFont val="Times New Roman"/>
        <charset val="134"/>
      </rPr>
      <t>7560</t>
    </r>
    <r>
      <rPr>
        <sz val="9"/>
        <rFont val="微软雅黑"/>
        <charset val="134"/>
      </rPr>
      <t>元</t>
    </r>
    <r>
      <rPr>
        <sz val="9"/>
        <rFont val="Times New Roman"/>
        <charset val="134"/>
      </rPr>
      <t>/</t>
    </r>
    <r>
      <rPr>
        <sz val="9"/>
        <rFont val="微软雅黑"/>
        <charset val="134"/>
      </rPr>
      <t>年）</t>
    </r>
  </si>
  <si>
    <r>
      <rPr>
        <sz val="10"/>
        <rFont val="宋体"/>
        <charset val="134"/>
      </rPr>
      <t>荆门</t>
    </r>
  </si>
  <si>
    <r>
      <rPr>
        <sz val="10"/>
        <rFont val="宋体"/>
        <charset val="134"/>
      </rPr>
      <t>荆门物流部</t>
    </r>
  </si>
  <si>
    <r>
      <rPr>
        <sz val="10"/>
        <rFont val="宋体"/>
        <charset val="134"/>
      </rPr>
      <t>余少勇</t>
    </r>
  </si>
  <si>
    <r>
      <rPr>
        <sz val="10"/>
        <rFont val="宋体"/>
        <charset val="134"/>
      </rPr>
      <t>荆门白云大道</t>
    </r>
    <r>
      <rPr>
        <sz val="10"/>
        <rFont val="Times New Roman"/>
        <charset val="134"/>
      </rPr>
      <t>56</t>
    </r>
    <r>
      <rPr>
        <sz val="10"/>
        <rFont val="宋体"/>
        <charset val="134"/>
      </rPr>
      <t>号</t>
    </r>
  </si>
  <si>
    <r>
      <rPr>
        <sz val="10"/>
        <rFont val="Times New Roman"/>
        <charset val="134"/>
      </rPr>
      <t>2012.10.18-2015.10.17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45000/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2015.10.18-2016.10.17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45000/</t>
    </r>
    <r>
      <rPr>
        <sz val="10"/>
        <rFont val="宋体"/>
        <charset val="134"/>
      </rPr>
      <t>年）</t>
    </r>
  </si>
  <si>
    <r>
      <rPr>
        <sz val="10"/>
        <rFont val="宋体"/>
        <charset val="134"/>
      </rPr>
      <t>荆州</t>
    </r>
  </si>
  <si>
    <r>
      <rPr>
        <sz val="10"/>
        <rFont val="宋体"/>
        <charset val="134"/>
      </rPr>
      <t>荆州物流部</t>
    </r>
  </si>
  <si>
    <r>
      <rPr>
        <sz val="10"/>
        <rFont val="宋体"/>
        <charset val="134"/>
      </rPr>
      <t>张黎、林友珍</t>
    </r>
  </si>
  <si>
    <r>
      <rPr>
        <sz val="10"/>
        <rFont val="宋体"/>
        <charset val="134"/>
      </rPr>
      <t>江汉北路</t>
    </r>
  </si>
  <si>
    <t>500/180</t>
  </si>
  <si>
    <r>
      <rPr>
        <sz val="10"/>
        <rFont val="Times New Roman"/>
        <charset val="134"/>
      </rPr>
      <t>2015.09.01-2017.08.31(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:9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
2017.09.01-2019.08.31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2.8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</si>
  <si>
    <r>
      <rPr>
        <sz val="10"/>
        <rFont val="宋体"/>
        <charset val="134"/>
      </rPr>
      <t>襄阳</t>
    </r>
  </si>
  <si>
    <t>襄樊物流部</t>
  </si>
  <si>
    <r>
      <rPr>
        <sz val="10"/>
        <rFont val="宋体"/>
        <charset val="134"/>
      </rPr>
      <t>襄樊物流部</t>
    </r>
  </si>
  <si>
    <r>
      <rPr>
        <sz val="10"/>
        <rFont val="宋体"/>
        <charset val="134"/>
      </rPr>
      <t>湖北华涛科技实业有限公司</t>
    </r>
  </si>
  <si>
    <r>
      <rPr>
        <sz val="10"/>
        <rFont val="宋体"/>
        <charset val="134"/>
      </rPr>
      <t>襄樊市高新技术产业开发区</t>
    </r>
  </si>
  <si>
    <r>
      <rPr>
        <sz val="10"/>
        <rFont val="Times New Roman"/>
        <charset val="134"/>
      </rPr>
      <t>2011.12.20-2014.12.19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250000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2014.12.20-2017.12.19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250000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2017.12.20-2018.12.19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250000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</si>
  <si>
    <t>孝感办公室</t>
  </si>
  <si>
    <r>
      <rPr>
        <sz val="10"/>
        <rFont val="宋体"/>
        <charset val="134"/>
      </rPr>
      <t>孝感杰丽</t>
    </r>
  </si>
  <si>
    <r>
      <rPr>
        <sz val="10"/>
        <rFont val="宋体"/>
        <charset val="134"/>
      </rPr>
      <t>孝感市畜牧局</t>
    </r>
  </si>
  <si>
    <r>
      <rPr>
        <sz val="10"/>
        <rFont val="宋体"/>
        <charset val="134"/>
      </rPr>
      <t>孝感园林一楼畜牧局</t>
    </r>
  </si>
  <si>
    <r>
      <rPr>
        <sz val="10"/>
        <rFont val="Times New Roman"/>
        <charset val="134"/>
      </rPr>
      <t>2013.05.01-2014.04.30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30000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2014.05.01-2015.04.30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30000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2015.05.01-2017.04.30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30000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2017.05.01-2018.04.30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30000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</si>
  <si>
    <r>
      <rPr>
        <sz val="10"/>
        <rFont val="宋体"/>
        <charset val="134"/>
      </rPr>
      <t>湖南</t>
    </r>
    <r>
      <rPr>
        <sz val="10"/>
        <rFont val="Times New Roman"/>
        <charset val="134"/>
      </rPr>
      <t xml:space="preserve"> </t>
    </r>
  </si>
  <si>
    <r>
      <rPr>
        <sz val="10"/>
        <rFont val="宋体"/>
        <charset val="134"/>
      </rPr>
      <t>湖南物流仓库（雨花）</t>
    </r>
  </si>
  <si>
    <r>
      <rPr>
        <sz val="10"/>
        <rFont val="Arial"/>
        <charset val="134"/>
      </rPr>
      <t>湖南物流部</t>
    </r>
  </si>
  <si>
    <r>
      <rPr>
        <sz val="10"/>
        <rFont val="宋体"/>
        <charset val="134"/>
      </rPr>
      <t>长沙卢山实业有限公司</t>
    </r>
  </si>
  <si>
    <r>
      <rPr>
        <sz val="10"/>
        <rFont val="宋体"/>
        <charset val="134"/>
      </rPr>
      <t>长沙市雨花区时代阳光大道</t>
    </r>
    <r>
      <rPr>
        <sz val="10"/>
        <rFont val="Times New Roman"/>
        <charset val="134"/>
      </rPr>
      <t>281</t>
    </r>
    <r>
      <rPr>
        <sz val="10"/>
        <rFont val="宋体"/>
        <charset val="134"/>
      </rPr>
      <t>号</t>
    </r>
  </si>
  <si>
    <r>
      <rPr>
        <sz val="10"/>
        <rFont val="Times New Roman"/>
        <charset val="134"/>
      </rPr>
      <t>2013.05.01-2015.04.30</t>
    </r>
    <r>
      <rPr>
        <sz val="10"/>
        <rFont val="宋体"/>
        <charset val="134"/>
      </rPr>
      <t>（租金：</t>
    </r>
    <r>
      <rPr>
        <sz val="10"/>
        <rFont val="Times New Roman"/>
        <charset val="134"/>
      </rPr>
      <t>505440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年，物业：</t>
    </r>
    <r>
      <rPr>
        <sz val="10"/>
        <rFont val="Times New Roman"/>
        <charset val="134"/>
      </rPr>
      <t>42000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                                                                      2015.05.01-2017.04.30 (</t>
    </r>
    <r>
      <rPr>
        <sz val="10"/>
        <rFont val="宋体"/>
        <charset val="134"/>
      </rPr>
      <t>仓库租金：</t>
    </r>
    <r>
      <rPr>
        <sz val="10"/>
        <rFont val="Times New Roman"/>
        <charset val="134"/>
      </rPr>
      <t>48600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月，宿舍租金：</t>
    </r>
    <r>
      <rPr>
        <sz val="10"/>
        <rFont val="Times New Roman"/>
        <charset val="134"/>
      </rPr>
      <t>3500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年，卫生费：</t>
    </r>
    <r>
      <rPr>
        <sz val="10"/>
        <rFont val="Times New Roman"/>
        <charset val="134"/>
      </rPr>
      <t>300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 xml:space="preserve">  )                                                            2017.05.01-2019.04.30(</t>
    </r>
    <r>
      <rPr>
        <sz val="10"/>
        <rFont val="宋体"/>
        <charset val="134"/>
      </rPr>
      <t>租金：</t>
    </r>
    <r>
      <rPr>
        <sz val="10"/>
        <rFont val="Times New Roman"/>
        <charset val="134"/>
      </rPr>
      <t>61560/</t>
    </r>
    <r>
      <rPr>
        <sz val="10"/>
        <rFont val="宋体"/>
        <charset val="134"/>
      </rPr>
      <t>月，宿舍租金：</t>
    </r>
    <r>
      <rPr>
        <sz val="10"/>
        <rFont val="Times New Roman"/>
        <charset val="134"/>
      </rPr>
      <t>3500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月，卫生费：</t>
    </r>
    <r>
      <rPr>
        <sz val="10"/>
        <rFont val="Times New Roman"/>
        <charset val="134"/>
      </rPr>
      <t>300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月</t>
    </r>
  </si>
  <si>
    <r>
      <rPr>
        <sz val="10"/>
        <rFont val="宋体"/>
        <charset val="134"/>
      </rPr>
      <t>孝昌杰行</t>
    </r>
  </si>
  <si>
    <r>
      <rPr>
        <sz val="10"/>
        <rFont val="宋体"/>
        <charset val="134"/>
      </rPr>
      <t>孝昌</t>
    </r>
  </si>
  <si>
    <r>
      <rPr>
        <sz val="10"/>
        <rFont val="宋体"/>
        <charset val="134"/>
      </rPr>
      <t>办公室</t>
    </r>
  </si>
  <si>
    <r>
      <rPr>
        <sz val="10"/>
        <rFont val="宋体"/>
        <charset val="134"/>
      </rPr>
      <t>行政部（孝昌办公室）</t>
    </r>
  </si>
  <si>
    <r>
      <rPr>
        <sz val="10"/>
        <rFont val="Arial"/>
        <charset val="134"/>
      </rPr>
      <t>会计核算部</t>
    </r>
  </si>
  <si>
    <r>
      <rPr>
        <sz val="10"/>
        <rFont val="宋体"/>
        <charset val="134"/>
      </rPr>
      <t>许见方</t>
    </r>
  </si>
  <si>
    <r>
      <rPr>
        <sz val="10"/>
        <rFont val="宋体"/>
        <charset val="134"/>
      </rPr>
      <t>孝昌县花园大道</t>
    </r>
    <r>
      <rPr>
        <sz val="10"/>
        <rFont val="Times New Roman"/>
        <charset val="134"/>
      </rPr>
      <t>12</t>
    </r>
    <r>
      <rPr>
        <sz val="10"/>
        <rFont val="宋体"/>
        <charset val="134"/>
      </rPr>
      <t>号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楼</t>
    </r>
  </si>
  <si>
    <r>
      <rPr>
        <sz val="10"/>
        <rFont val="Times New Roman"/>
        <charset val="134"/>
      </rPr>
      <t>2014.04.01-2015.03.31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3200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2015.04.01-2016.03.31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3500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年）</t>
    </r>
    <r>
      <rPr>
        <sz val="10"/>
        <rFont val="Times New Roman"/>
        <charset val="134"/>
      </rPr>
      <t xml:space="preserve">                                            2016.04.01-2017.03.31(4000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                                            2017.04.01-2018.03.31(4000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</si>
  <si>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总部</t>
    </r>
  </si>
  <si>
    <r>
      <rPr>
        <sz val="10"/>
        <rFont val="宋体"/>
        <charset val="134"/>
      </rPr>
      <t>行政部（二曜路办公楼）房租</t>
    </r>
  </si>
  <si>
    <r>
      <rPr>
        <sz val="10"/>
        <rFont val="Arial"/>
        <charset val="134"/>
      </rPr>
      <t>行政部</t>
    </r>
  </si>
  <si>
    <r>
      <rPr>
        <sz val="10"/>
        <rFont val="宋体"/>
        <charset val="134"/>
      </rPr>
      <t>湖北省交通运输厅道路运输管理局</t>
    </r>
  </si>
  <si>
    <r>
      <rPr>
        <sz val="10"/>
        <rFont val="宋体"/>
        <charset val="134"/>
      </rPr>
      <t>江岸区二曜路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号运征大厦</t>
    </r>
    <r>
      <rPr>
        <sz val="10"/>
        <rFont val="Times New Roman"/>
        <charset val="134"/>
      </rPr>
      <t>1-4</t>
    </r>
    <r>
      <rPr>
        <sz val="10"/>
        <rFont val="宋体"/>
        <charset val="134"/>
      </rPr>
      <t>楼</t>
    </r>
  </si>
  <si>
    <r>
      <rPr>
        <sz val="10"/>
        <rFont val="Times New Roman"/>
        <charset val="134"/>
      </rPr>
      <t>2015.04.10-2016.07.09(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:67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                                          2016.07.10-2019.04.09(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:30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)                                     </t>
    </r>
  </si>
  <si>
    <r>
      <rPr>
        <sz val="10"/>
        <rFont val="宋体"/>
        <charset val="134"/>
      </rPr>
      <t>湖北省交通运输厅道路运输管理局后勤服务中心</t>
    </r>
  </si>
  <si>
    <r>
      <rPr>
        <sz val="10"/>
        <rFont val="Times New Roman"/>
        <charset val="134"/>
      </rPr>
      <t>2016.07.10-2017.01.09(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:37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)                                      </t>
    </r>
  </si>
  <si>
    <r>
      <rPr>
        <sz val="10"/>
        <rFont val="宋体"/>
        <charset val="134"/>
      </rPr>
      <t>武汉中晖物业发展有限公司</t>
    </r>
  </si>
  <si>
    <r>
      <rPr>
        <sz val="10"/>
        <rFont val="Times New Roman"/>
        <charset val="134"/>
      </rPr>
      <t>2017.01.10-2017.04.09(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:43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                       2017.04.10-2019.04.09(</t>
    </r>
    <r>
      <rPr>
        <sz val="10"/>
        <rFont val="宋体"/>
        <charset val="134"/>
      </rPr>
      <t>租金</t>
    </r>
    <r>
      <rPr>
        <sz val="10"/>
        <rFont val="Times New Roman"/>
        <charset val="134"/>
      </rPr>
      <t>:49</t>
    </r>
    <r>
      <rPr>
        <sz val="10"/>
        <rFont val="宋体"/>
        <charset val="134"/>
      </rPr>
      <t>万元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)                             </t>
    </r>
  </si>
  <si>
    <r>
      <rPr>
        <sz val="10"/>
        <rFont val="宋体"/>
        <charset val="134"/>
      </rPr>
      <t>湖北省交通运输厅道路运输管理局二曜路大楼管理办</t>
    </r>
  </si>
  <si>
    <r>
      <rPr>
        <sz val="10"/>
        <rFont val="Times New Roman"/>
        <charset val="134"/>
      </rPr>
      <t>2015.04.10-2017.01.09(60000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)</t>
    </r>
  </si>
  <si>
    <t>财务费用预测表</t>
  </si>
  <si>
    <t>手续及工本费</t>
  </si>
  <si>
    <t>利息支出</t>
  </si>
  <si>
    <t>主体工程建设</t>
  </si>
  <si>
    <t>A</t>
  </si>
  <si>
    <t>建筑物名称</t>
  </si>
  <si>
    <t>规模</t>
  </si>
  <si>
    <t>占地面积</t>
  </si>
  <si>
    <t>备注</t>
  </si>
  <si>
    <t>污水处理土建三期</t>
  </si>
  <si>
    <t xml:space="preserve"> 10000m3/d</t>
  </si>
  <si>
    <t>土地划拨</t>
  </si>
  <si>
    <t>污水处理土建四期</t>
  </si>
  <si>
    <t>合   计</t>
  </si>
  <si>
    <t>设备投放计划</t>
  </si>
  <si>
    <t>投放期间</t>
  </si>
  <si>
    <t>设备投放数量</t>
  </si>
  <si>
    <t>投资额</t>
  </si>
  <si>
    <t>三期100%</t>
  </si>
  <si>
    <t>四期100%</t>
  </si>
  <si>
    <t>融资项目</t>
  </si>
  <si>
    <t>会计科目</t>
  </si>
  <si>
    <t>公司名称</t>
  </si>
  <si>
    <t>融资银行</t>
  </si>
  <si>
    <t>担保方式</t>
  </si>
  <si>
    <t>融资金额</t>
  </si>
  <si>
    <t>年利率/贴现率</t>
  </si>
  <si>
    <t>起息日</t>
  </si>
  <si>
    <t>到期日</t>
  </si>
  <si>
    <t>保证金</t>
  </si>
  <si>
    <t>票据号码</t>
  </si>
  <si>
    <t>利息</t>
  </si>
  <si>
    <t>借款</t>
  </si>
  <si>
    <t>杰之行</t>
  </si>
  <si>
    <t>包商银行文化支行</t>
  </si>
  <si>
    <t>担保</t>
  </si>
  <si>
    <t>预计</t>
  </si>
  <si>
    <t>一年期</t>
  </si>
  <si>
    <t>华夏银行</t>
  </si>
  <si>
    <t>浙商银行</t>
  </si>
  <si>
    <t>抵押</t>
  </si>
  <si>
    <t>招行硚口支行</t>
  </si>
  <si>
    <t>担保+抵押</t>
  </si>
  <si>
    <t>民生银行武汉分行</t>
  </si>
  <si>
    <t>票据</t>
  </si>
  <si>
    <t>生产成本明细表</t>
  </si>
  <si>
    <t>一、生产成本总计</t>
  </si>
  <si>
    <r>
      <rPr>
        <sz val="12"/>
        <rFont val="宋体"/>
        <charset val="134"/>
      </rPr>
      <t>剔除1</t>
    </r>
    <r>
      <rPr>
        <sz val="12"/>
        <rFont val="宋体"/>
        <charset val="134"/>
      </rPr>
      <t>7年平均值</t>
    </r>
  </si>
  <si>
    <t>1、变动成本合计</t>
  </si>
  <si>
    <t>变动成本</t>
  </si>
  <si>
    <r>
      <rPr>
        <sz val="12"/>
        <rFont val="宋体"/>
        <charset val="134"/>
      </rPr>
      <t xml:space="preserve"> 1-1 </t>
    </r>
    <r>
      <rPr>
        <sz val="12"/>
        <rFont val="宋体"/>
        <charset val="134"/>
      </rPr>
      <t>基本材料</t>
    </r>
  </si>
  <si>
    <r>
      <rPr>
        <sz val="12"/>
        <rFont val="宋体"/>
        <charset val="134"/>
      </rPr>
      <t xml:space="preserve"> 1-2 </t>
    </r>
    <r>
      <rPr>
        <sz val="12"/>
        <rFont val="宋体"/>
        <charset val="134"/>
      </rPr>
      <t>基本人工</t>
    </r>
  </si>
  <si>
    <t>2、固定成本合计</t>
  </si>
  <si>
    <t>固定成本</t>
  </si>
  <si>
    <t>2-1 基本折旧</t>
  </si>
  <si>
    <r>
      <rPr>
        <sz val="12"/>
        <rFont val="宋体"/>
        <charset val="134"/>
      </rPr>
      <t xml:space="preserve">2-2 </t>
    </r>
    <r>
      <rPr>
        <sz val="12"/>
        <rFont val="宋体"/>
        <charset val="134"/>
      </rPr>
      <t>基本电费</t>
    </r>
  </si>
  <si>
    <r>
      <rPr>
        <sz val="12"/>
        <rFont val="宋体"/>
        <charset val="134"/>
      </rPr>
      <t>2-</t>
    </r>
    <r>
      <rPr>
        <sz val="12"/>
        <rFont val="宋体"/>
        <charset val="134"/>
      </rPr>
      <t xml:space="preserve">3 </t>
    </r>
    <r>
      <rPr>
        <sz val="12"/>
        <rFont val="宋体"/>
        <charset val="134"/>
      </rPr>
      <t>基本制造费用</t>
    </r>
  </si>
  <si>
    <t xml:space="preserve"> 其中：工资</t>
  </si>
  <si>
    <r>
      <rPr>
        <sz val="12"/>
        <rFont val="宋体"/>
        <charset val="134"/>
      </rPr>
      <t xml:space="preserve">    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 折旧</t>
    </r>
  </si>
  <si>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     </t>
    </r>
    <r>
      <rPr>
        <sz val="12"/>
        <rFont val="宋体"/>
        <charset val="134"/>
      </rPr>
      <t>物料消耗</t>
    </r>
  </si>
  <si>
    <r>
      <rPr>
        <sz val="12"/>
        <rFont val="宋体"/>
        <charset val="134"/>
      </rPr>
      <t xml:space="preserve">     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租赁费</t>
    </r>
  </si>
  <si>
    <r>
      <rPr>
        <sz val="12"/>
        <rFont val="宋体"/>
        <charset val="134"/>
      </rPr>
      <t xml:space="preserve">     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电费</t>
    </r>
  </si>
  <si>
    <r>
      <rPr>
        <sz val="12"/>
        <rFont val="宋体"/>
        <charset val="134"/>
      </rPr>
      <t xml:space="preserve">    </t>
    </r>
    <r>
      <rPr>
        <sz val="12"/>
        <rFont val="宋体"/>
        <charset val="134"/>
      </rPr>
      <t xml:space="preserve"> 营业收入</t>
    </r>
  </si>
  <si>
    <t>成本预测表</t>
  </si>
  <si>
    <t>收入情况表</t>
  </si>
  <si>
    <t>总成本</t>
  </si>
  <si>
    <t>其中：变动成本</t>
  </si>
  <si>
    <t xml:space="preserve">      固定成本</t>
  </si>
  <si>
    <t>预测期内产能尚有足够的空间，因此固定成本在预测期内保持不变</t>
  </si>
  <si>
    <t xml:space="preserve">           其中：折旧费</t>
  </si>
  <si>
    <t xml:space="preserve">                   人员工资</t>
  </si>
  <si>
    <t xml:space="preserve">                 租赁费</t>
  </si>
  <si>
    <t>租赁费224948.52元*12月</t>
  </si>
  <si>
    <t>总成本占主营业务收入比列</t>
  </si>
  <si>
    <t>营业税金及附加申报表-预测表</t>
  </si>
  <si>
    <r>
      <rPr>
        <sz val="10"/>
        <rFont val="宋体"/>
        <charset val="134"/>
      </rPr>
      <t>表</t>
    </r>
    <r>
      <rPr>
        <sz val="10"/>
        <rFont val="Arial Narrow"/>
        <charset val="134"/>
      </rPr>
      <t>11</t>
    </r>
  </si>
  <si>
    <t>单位：万元</t>
  </si>
  <si>
    <t>税率</t>
  </si>
  <si>
    <t>预测年度</t>
  </si>
  <si>
    <r>
      <rPr>
        <b/>
        <sz val="10"/>
        <rFont val="Arial Narrow"/>
        <charset val="134"/>
      </rPr>
      <t>2023</t>
    </r>
    <r>
      <rPr>
        <b/>
        <sz val="10"/>
        <rFont val="宋体"/>
        <charset val="134"/>
      </rPr>
      <t>年及之后</t>
    </r>
  </si>
  <si>
    <t>增值税销项</t>
  </si>
  <si>
    <t>增值税进项</t>
  </si>
  <si>
    <t>应交增值税</t>
  </si>
  <si>
    <t>营业税</t>
  </si>
  <si>
    <t>资源税</t>
  </si>
  <si>
    <t>城建税</t>
  </si>
  <si>
    <t>教育费附加</t>
  </si>
  <si>
    <t>地方教育附加</t>
  </si>
  <si>
    <t>个人所得税</t>
  </si>
  <si>
    <t>水利建设基金</t>
  </si>
  <si>
    <t>印花税</t>
  </si>
  <si>
    <t>车船税</t>
  </si>
  <si>
    <t>城镇土地使用税</t>
  </si>
  <si>
    <t>房产税</t>
  </si>
  <si>
    <t>耕地占用税</t>
  </si>
  <si>
    <t>主营业务税金及附加</t>
  </si>
  <si>
    <t>增值税的进项抵扣项</t>
  </si>
  <si>
    <t>进项内容</t>
  </si>
  <si>
    <t>2023年及之后</t>
  </si>
  <si>
    <t>基数</t>
  </si>
  <si>
    <t>宣传费用</t>
  </si>
  <si>
    <t>资本性支出</t>
  </si>
  <si>
    <r>
      <rPr>
        <b/>
        <sz val="14"/>
        <rFont val="宋体"/>
        <charset val="134"/>
      </rPr>
      <t xml:space="preserve">福建卫东新能源股份有限公司工资汇总表        </t>
    </r>
    <r>
      <rPr>
        <b/>
        <sz val="10"/>
        <rFont val="宋体"/>
        <charset val="134"/>
      </rPr>
      <t>2017年12月</t>
    </r>
  </si>
  <si>
    <t>部门</t>
  </si>
  <si>
    <t>人数</t>
  </si>
  <si>
    <t>应发小计</t>
  </si>
  <si>
    <t>已发</t>
  </si>
  <si>
    <t>应发合计</t>
  </si>
  <si>
    <t>养老保险</t>
  </si>
  <si>
    <t>医疗保险</t>
  </si>
  <si>
    <t>个所税</t>
  </si>
  <si>
    <t>住宿费</t>
  </si>
  <si>
    <t>水费</t>
  </si>
  <si>
    <t>电费</t>
  </si>
  <si>
    <t>其它</t>
  </si>
  <si>
    <t>代扣合计</t>
  </si>
  <si>
    <t>平均工资</t>
  </si>
  <si>
    <t>高管</t>
  </si>
  <si>
    <t>综合部</t>
  </si>
  <si>
    <t>行政人事部</t>
  </si>
  <si>
    <t>总工办</t>
  </si>
  <si>
    <t>小计</t>
  </si>
  <si>
    <t>市场营销部</t>
  </si>
  <si>
    <t>采购部</t>
  </si>
  <si>
    <t>质量部</t>
  </si>
  <si>
    <t>技术中心</t>
  </si>
  <si>
    <t>设备工程部</t>
  </si>
  <si>
    <t>生产部</t>
  </si>
  <si>
    <t>财务部</t>
  </si>
  <si>
    <t>审批：</t>
  </si>
  <si>
    <t>审核：</t>
  </si>
  <si>
    <t>核算员：滕直黠</t>
  </si>
  <si>
    <t>人员费用预测</t>
  </si>
  <si>
    <t>年度</t>
  </si>
  <si>
    <t>2023年</t>
  </si>
  <si>
    <t>2025年</t>
  </si>
  <si>
    <t>职工人数</t>
  </si>
  <si>
    <t>管理部门</t>
  </si>
  <si>
    <t>销售部门</t>
  </si>
  <si>
    <t>生产部门</t>
  </si>
  <si>
    <t>员工平均薪酬(单位: 元/人*月)</t>
  </si>
  <si>
    <t>薪酬增幅</t>
  </si>
  <si>
    <t>薪酬汇总（金额单位：万元）</t>
  </si>
  <si>
    <t>其中：生产成本</t>
  </si>
  <si>
    <t xml:space="preserve">      管理费用</t>
  </si>
  <si>
    <t xml:space="preserve">      销售费用</t>
  </si>
  <si>
    <r>
      <rPr>
        <sz val="12"/>
        <rFont val="Times New Roman"/>
        <charset val="134"/>
      </rPr>
      <t xml:space="preserve"> </t>
    </r>
    <r>
      <rPr>
        <sz val="11"/>
        <rFont val="楷体_GB2312"/>
        <charset val="134"/>
      </rPr>
      <t>索引号：</t>
    </r>
    <r>
      <rPr>
        <sz val="11"/>
        <rFont val="Times New Roman"/>
        <charset val="134"/>
      </rPr>
      <t>SY</t>
    </r>
    <r>
      <rPr>
        <sz val="11"/>
        <rFont val="楷体_GB2312"/>
        <charset val="134"/>
      </rPr>
      <t>-11</t>
    </r>
  </si>
  <si>
    <t>被评估单位：</t>
  </si>
  <si>
    <t>金额单位：人民币元</t>
  </si>
  <si>
    <t>年</t>
  </si>
  <si>
    <t>交叉索引号</t>
  </si>
  <si>
    <t>标准</t>
  </si>
  <si>
    <t>年度变动比例（％）</t>
  </si>
  <si>
    <t>人员费用</t>
  </si>
  <si>
    <t>办公、差旅费等</t>
  </si>
  <si>
    <t>按照人均2万元/年</t>
  </si>
  <si>
    <t>宣传费</t>
  </si>
  <si>
    <t>按照年收入的0.5%</t>
  </si>
  <si>
    <t>其他费用</t>
  </si>
  <si>
    <t>按照年收入的0.2%</t>
  </si>
  <si>
    <t>评估人员：</t>
  </si>
  <si>
    <t>住宅</t>
  </si>
  <si>
    <t>商业 、车位</t>
  </si>
  <si>
    <t>住宅合同金额</t>
  </si>
  <si>
    <t>预售合同</t>
  </si>
  <si>
    <t>首付款</t>
  </si>
  <si>
    <t>按揭款(2019年预售的可收回按揭)</t>
  </si>
  <si>
    <t xml:space="preserve">金额 </t>
  </si>
  <si>
    <t>商业、车位合同金额</t>
  </si>
  <si>
    <t>按揭款(2021年预售的可收回按揭)</t>
  </si>
  <si>
    <t>2024年</t>
  </si>
  <si>
    <t>固定资产评估汇总表</t>
  </si>
  <si>
    <t>评估基准日：2017年12月31日</t>
  </si>
  <si>
    <t>科目名称</t>
  </si>
  <si>
    <t>帐面价值</t>
  </si>
  <si>
    <t>购买日期</t>
  </si>
  <si>
    <t>年折旧额</t>
  </si>
  <si>
    <t>原值</t>
  </si>
  <si>
    <t>净值</t>
  </si>
  <si>
    <t xml:space="preserve"> 设备类合计</t>
  </si>
  <si>
    <t>自用的投资性房地产</t>
  </si>
  <si>
    <t>4-6-1</t>
  </si>
  <si>
    <t>固定资产-房屋建筑物</t>
  </si>
  <si>
    <t>4-6-4</t>
  </si>
  <si>
    <t>　固定资产-机器设备</t>
  </si>
  <si>
    <t>4-6-5</t>
  </si>
  <si>
    <t>　固定资产-车辆</t>
  </si>
  <si>
    <t>4-6-6</t>
  </si>
  <si>
    <t>　固定资产-电子设备</t>
  </si>
  <si>
    <r>
      <rPr>
        <b/>
        <sz val="9"/>
        <color indexed="9"/>
        <rFont val="Arial"/>
        <charset val="134"/>
      </rPr>
      <t>A1—</t>
    </r>
    <r>
      <rPr>
        <b/>
        <sz val="9"/>
        <color indexed="9"/>
        <rFont val="宋体"/>
        <charset val="134"/>
      </rPr>
      <t>折旧</t>
    </r>
  </si>
  <si>
    <t>项目\预测期</t>
  </si>
  <si>
    <r>
      <rPr>
        <b/>
        <sz val="9"/>
        <rFont val="Arial"/>
        <charset val="134"/>
      </rPr>
      <t>2018</t>
    </r>
    <r>
      <rPr>
        <b/>
        <sz val="9"/>
        <rFont val="宋体"/>
        <charset val="134"/>
      </rPr>
      <t>年</t>
    </r>
  </si>
  <si>
    <r>
      <rPr>
        <b/>
        <sz val="9"/>
        <rFont val="Arial"/>
        <charset val="134"/>
      </rPr>
      <t>2019年</t>
    </r>
  </si>
  <si>
    <r>
      <rPr>
        <b/>
        <sz val="9"/>
        <rFont val="Arial"/>
        <charset val="134"/>
      </rPr>
      <t>2020年</t>
    </r>
  </si>
  <si>
    <r>
      <rPr>
        <b/>
        <sz val="9"/>
        <rFont val="Arial"/>
        <charset val="134"/>
      </rPr>
      <t>2021年</t>
    </r>
  </si>
  <si>
    <r>
      <rPr>
        <b/>
        <sz val="9"/>
        <rFont val="Arial"/>
        <charset val="134"/>
      </rPr>
      <t>2022年</t>
    </r>
  </si>
  <si>
    <r>
      <rPr>
        <b/>
        <sz val="9"/>
        <rFont val="Arial"/>
        <charset val="134"/>
      </rPr>
      <t>2023</t>
    </r>
    <r>
      <rPr>
        <sz val="10"/>
        <color indexed="8"/>
        <rFont val="宋体"/>
        <charset val="134"/>
      </rPr>
      <t>年</t>
    </r>
  </si>
  <si>
    <t>折旧</t>
  </si>
  <si>
    <t>期初余额</t>
  </si>
  <si>
    <t>本期新增</t>
  </si>
  <si>
    <t>本期折旧</t>
  </si>
  <si>
    <t>期末余额</t>
  </si>
  <si>
    <t>办公电子设备</t>
  </si>
  <si>
    <t>运输设备</t>
  </si>
  <si>
    <t>折旧合计</t>
  </si>
  <si>
    <t>无形资产摊销</t>
  </si>
  <si>
    <r>
      <rPr>
        <sz val="9"/>
        <rFont val="Arial"/>
        <charset val="134"/>
      </rPr>
      <t>——</t>
    </r>
    <r>
      <rPr>
        <sz val="9"/>
        <rFont val="宋体"/>
        <charset val="134"/>
      </rPr>
      <t>软件</t>
    </r>
  </si>
  <si>
    <t>本期摊销</t>
  </si>
  <si>
    <r>
      <rPr>
        <sz val="9"/>
        <rFont val="Arial"/>
        <charset val="134"/>
      </rPr>
      <t>——</t>
    </r>
    <r>
      <rPr>
        <sz val="9"/>
        <rFont val="宋体"/>
        <charset val="134"/>
      </rPr>
      <t>专利</t>
    </r>
  </si>
  <si>
    <t>摊销合计</t>
  </si>
  <si>
    <r>
      <rPr>
        <b/>
        <sz val="9"/>
        <color indexed="9"/>
        <rFont val="Arial"/>
        <charset val="134"/>
      </rPr>
      <t>A2—</t>
    </r>
    <r>
      <rPr>
        <b/>
        <sz val="9"/>
        <color indexed="9"/>
        <rFont val="宋体"/>
        <charset val="134"/>
      </rPr>
      <t>资本性支出</t>
    </r>
  </si>
  <si>
    <t>折旧和摊销</t>
  </si>
  <si>
    <t>生产成本</t>
  </si>
  <si>
    <t>管理费用-折旧</t>
  </si>
  <si>
    <t>管理费用-摊销</t>
  </si>
  <si>
    <t>资本性支出合计</t>
  </si>
  <si>
    <t>办公等费用</t>
  </si>
  <si>
    <t>按照收入的1.5%</t>
  </si>
  <si>
    <t>折旧和摊销费</t>
  </si>
  <si>
    <t xml:space="preserve"> </t>
  </si>
  <si>
    <t>2016年7-12</t>
  </si>
  <si>
    <t>2026-2039</t>
  </si>
  <si>
    <t>2041-2043</t>
  </si>
  <si>
    <t>2045-2048</t>
  </si>
  <si>
    <t>2049-2051</t>
  </si>
  <si>
    <t>主要费用项目</t>
  </si>
  <si>
    <t>其中：营业成本</t>
  </si>
  <si>
    <r>
      <rPr>
        <sz val="11"/>
        <color indexed="18"/>
        <rFont val="Arial"/>
        <charset val="134"/>
      </rPr>
      <t xml:space="preserve">      </t>
    </r>
    <r>
      <rPr>
        <sz val="11"/>
        <color indexed="18"/>
        <rFont val="宋体"/>
        <charset val="134"/>
      </rPr>
      <t>营业税金及附加</t>
    </r>
  </si>
  <si>
    <r>
      <rPr>
        <sz val="11"/>
        <color indexed="18"/>
        <rFont val="Arial"/>
        <charset val="134"/>
      </rPr>
      <t xml:space="preserve">      </t>
    </r>
    <r>
      <rPr>
        <sz val="11"/>
        <color indexed="18"/>
        <rFont val="宋体"/>
        <charset val="134"/>
      </rPr>
      <t>营业费用</t>
    </r>
  </si>
  <si>
    <r>
      <rPr>
        <sz val="11"/>
        <color indexed="18"/>
        <rFont val="Arial"/>
        <charset val="134"/>
      </rPr>
      <t xml:space="preserve">      </t>
    </r>
    <r>
      <rPr>
        <sz val="11"/>
        <color indexed="18"/>
        <rFont val="宋体"/>
        <charset val="134"/>
      </rPr>
      <t>管理费用</t>
    </r>
  </si>
  <si>
    <t xml:space="preserve">   财务费用</t>
  </si>
  <si>
    <r>
      <rPr>
        <sz val="11"/>
        <color indexed="18"/>
        <rFont val="Arial"/>
        <charset val="134"/>
      </rPr>
      <t xml:space="preserve">      </t>
    </r>
    <r>
      <rPr>
        <sz val="11"/>
        <color indexed="18"/>
        <rFont val="宋体"/>
        <charset val="134"/>
      </rPr>
      <t>所得税</t>
    </r>
  </si>
  <si>
    <t>减：无需现金支付的费用</t>
  </si>
  <si>
    <t>其中：折旧及摊销</t>
  </si>
  <si>
    <t>每月付现支出</t>
  </si>
  <si>
    <t>根据企业的财务指标确定安全资金的月数</t>
  </si>
  <si>
    <t>安全运营现金</t>
  </si>
  <si>
    <t>周转率</t>
  </si>
  <si>
    <t>应收账款（工程款、项目款）</t>
  </si>
  <si>
    <t>预付账款（预付货款，周期为150天）</t>
  </si>
  <si>
    <t>存货（属于工程材料等）</t>
  </si>
  <si>
    <t>应付账款（工程款、货款等，周期163天）</t>
  </si>
  <si>
    <t>预收账款（预收账款金额小，不予测算）</t>
  </si>
  <si>
    <t>期初运营现金</t>
  </si>
  <si>
    <t>应收账款</t>
  </si>
  <si>
    <t>经营性其他应收款</t>
  </si>
  <si>
    <t>预付账款</t>
  </si>
  <si>
    <t>存货</t>
  </si>
  <si>
    <t>其他的经营性资产</t>
  </si>
  <si>
    <t>应付账款</t>
  </si>
  <si>
    <t>预收账款</t>
  </si>
  <si>
    <t>经营性其他应付款</t>
  </si>
  <si>
    <t>其他付现成本</t>
  </si>
  <si>
    <t>全年营运资本</t>
  </si>
  <si>
    <t>运营资本增加</t>
  </si>
  <si>
    <r>
      <rPr>
        <sz val="10.5"/>
        <color rgb="FF000000"/>
        <rFont val="Times New Roman"/>
        <charset val="134"/>
      </rPr>
      <t>R</t>
    </r>
    <r>
      <rPr>
        <vertAlign val="subscript"/>
        <sz val="10.5"/>
        <color rgb="FF000000"/>
        <rFont val="Times New Roman"/>
        <charset val="134"/>
      </rPr>
      <t>f</t>
    </r>
  </si>
  <si>
    <t>股票代码</t>
  </si>
  <si>
    <t>可比参考公司</t>
  </si>
  <si>
    <t>付息债务价值Di</t>
  </si>
  <si>
    <t>股权价值Ei</t>
  </si>
  <si>
    <t>Di/Ei</t>
  </si>
  <si>
    <t>调整BETA</t>
  </si>
  <si>
    <t>税率ti</t>
  </si>
  <si>
    <t>βUi（整理）</t>
  </si>
  <si>
    <t>MRP</t>
  </si>
  <si>
    <r>
      <rPr>
        <sz val="12"/>
        <rFont val="Times New Roman"/>
        <charset val="134"/>
      </rPr>
      <t>β</t>
    </r>
    <r>
      <rPr>
        <vertAlign val="subscript"/>
        <sz val="12"/>
        <rFont val="Times New Roman"/>
        <charset val="134"/>
      </rPr>
      <t>L</t>
    </r>
  </si>
  <si>
    <t>规模风险</t>
  </si>
  <si>
    <t>特有风险</t>
  </si>
  <si>
    <t>Rc</t>
  </si>
  <si>
    <r>
      <rPr>
        <sz val="12"/>
        <rFont val="Times New Roman"/>
        <charset val="134"/>
      </rPr>
      <t>Ke= Rf1</t>
    </r>
    <r>
      <rPr>
        <sz val="12"/>
        <rFont val="仿宋_GB2312"/>
        <charset val="134"/>
      </rPr>
      <t>＋</t>
    </r>
    <r>
      <rPr>
        <sz val="12"/>
        <rFont val="Times New Roman"/>
        <charset val="134"/>
      </rPr>
      <t>βL×MRP</t>
    </r>
    <r>
      <rPr>
        <sz val="12"/>
        <rFont val="仿宋_GB2312"/>
        <charset val="134"/>
      </rPr>
      <t>＋</t>
    </r>
    <r>
      <rPr>
        <sz val="12"/>
        <rFont val="Times New Roman"/>
        <charset val="134"/>
      </rPr>
      <t>Rc</t>
    </r>
  </si>
  <si>
    <t>短期债务</t>
  </si>
  <si>
    <t>长期债务</t>
  </si>
  <si>
    <t>短债</t>
  </si>
  <si>
    <t>长债</t>
  </si>
  <si>
    <t>Ke</t>
  </si>
  <si>
    <r>
      <rPr>
        <sz val="12"/>
        <rFont val="仿宋_GB2312"/>
        <charset val="134"/>
      </rPr>
      <t>一年期贷款利率</t>
    </r>
    <r>
      <rPr>
        <sz val="12"/>
        <rFont val="Times New Roman"/>
        <charset val="134"/>
      </rPr>
      <t>4.35%</t>
    </r>
  </si>
  <si>
    <t>Kd</t>
  </si>
  <si>
    <r>
      <rPr>
        <sz val="12"/>
        <rFont val="仿宋_GB2312"/>
        <charset val="134"/>
      </rPr>
      <t>中长期贷款</t>
    </r>
    <r>
      <rPr>
        <sz val="12"/>
        <rFont val="Times New Roman"/>
        <charset val="134"/>
      </rPr>
      <t>(</t>
    </r>
    <r>
      <rPr>
        <sz val="12"/>
        <rFont val="仿宋_GB2312"/>
        <charset val="134"/>
      </rPr>
      <t>五年以上）利率</t>
    </r>
    <r>
      <rPr>
        <sz val="12"/>
        <rFont val="Times New Roman"/>
        <charset val="134"/>
      </rPr>
      <t>4.9%</t>
    </r>
  </si>
  <si>
    <t>WACC</t>
  </si>
  <si>
    <r>
      <rPr>
        <sz val="10"/>
        <color indexed="8"/>
        <rFont val="DengXian"/>
        <charset val="134"/>
      </rPr>
      <t>2016</t>
    </r>
    <r>
      <rPr>
        <sz val="10"/>
        <color indexed="8"/>
        <rFont val="宋体"/>
        <charset val="134"/>
      </rPr>
      <t>年</t>
    </r>
    <r>
      <rPr>
        <sz val="10"/>
        <color indexed="8"/>
        <rFont val="DengXian"/>
        <charset val="134"/>
      </rPr>
      <t>6-12</t>
    </r>
  </si>
  <si>
    <t>期初现金保有量</t>
  </si>
  <si>
    <t>需要现金流量</t>
  </si>
  <si>
    <t>资金盈缺</t>
  </si>
  <si>
    <t>金融机构借款—期初</t>
  </si>
  <si>
    <t>经营现金流</t>
  </si>
  <si>
    <t>金融机构借款—追加（归还）</t>
  </si>
  <si>
    <t>期末借款金额</t>
  </si>
  <si>
    <t>金额单位：万元</t>
  </si>
  <si>
    <t>2026年</t>
  </si>
  <si>
    <t>营业收入</t>
  </si>
  <si>
    <t>营业成本</t>
  </si>
  <si>
    <t>毛利率</t>
  </si>
  <si>
    <t>税金及附加</t>
  </si>
  <si>
    <t>减：营业费用</t>
  </si>
  <si>
    <t>减：管理费用</t>
  </si>
  <si>
    <t>减：财务费用</t>
  </si>
  <si>
    <t xml:space="preserve">加：其它业务利润 </t>
  </si>
  <si>
    <t>税前利润</t>
  </si>
  <si>
    <t>减: 所得税</t>
  </si>
  <si>
    <t>净利润</t>
  </si>
  <si>
    <t>一、主营业务收入</t>
  </si>
  <si>
    <t>减：主营业务成本</t>
  </si>
  <si>
    <t xml:space="preserve">    主营业务税金及附加</t>
  </si>
  <si>
    <t>二、主营业务利润</t>
  </si>
  <si>
    <t>加：其他业务利润</t>
  </si>
  <si>
    <t>减：销售费用</t>
  </si>
  <si>
    <t xml:space="preserve">    管理费用</t>
  </si>
  <si>
    <t xml:space="preserve">    财务费用</t>
  </si>
  <si>
    <t>三、营业利润</t>
  </si>
  <si>
    <t>加：投资收益</t>
  </si>
  <si>
    <t xml:space="preserve">    补贴收入</t>
  </si>
  <si>
    <t xml:space="preserve">    营业外收入</t>
  </si>
  <si>
    <t>减：营业外支出</t>
  </si>
  <si>
    <t>四、利润总额</t>
  </si>
  <si>
    <t>减：所得税（25%）</t>
  </si>
  <si>
    <r>
      <rPr>
        <sz val="9"/>
        <color theme="1"/>
        <rFont val="宋体"/>
        <charset val="134"/>
      </rPr>
      <t>根据税审报告，截至</t>
    </r>
    <r>
      <rPr>
        <sz val="9"/>
        <color theme="1"/>
        <rFont val="Tahoma"/>
        <charset val="134"/>
      </rPr>
      <t>17</t>
    </r>
    <r>
      <rPr>
        <sz val="9"/>
        <color theme="1"/>
        <rFont val="宋体"/>
        <charset val="134"/>
      </rPr>
      <t>年底，尚余可税前弥补的亏损余额为</t>
    </r>
    <r>
      <rPr>
        <sz val="9"/>
        <color theme="1"/>
        <rFont val="Tahoma"/>
        <charset val="134"/>
      </rPr>
      <t>2452.67</t>
    </r>
    <r>
      <rPr>
        <sz val="9"/>
        <color theme="1"/>
        <rFont val="宋体"/>
        <charset val="134"/>
      </rPr>
      <t>万元</t>
    </r>
  </si>
  <si>
    <t>五、净利润</t>
  </si>
  <si>
    <t>资产负债项目估算表</t>
  </si>
  <si>
    <r>
      <rPr>
        <b/>
        <sz val="9"/>
        <rFont val="Times New Roman"/>
        <charset val="134"/>
      </rPr>
      <t>2018</t>
    </r>
    <r>
      <rPr>
        <b/>
        <sz val="9"/>
        <rFont val="宋体"/>
        <charset val="134"/>
      </rPr>
      <t>年</t>
    </r>
  </si>
  <si>
    <r>
      <rPr>
        <b/>
        <sz val="9"/>
        <rFont val="Times New Roman"/>
        <charset val="134"/>
      </rPr>
      <t>2019</t>
    </r>
    <r>
      <rPr>
        <b/>
        <sz val="9"/>
        <rFont val="宋体"/>
        <charset val="134"/>
      </rPr>
      <t>年</t>
    </r>
  </si>
  <si>
    <r>
      <rPr>
        <b/>
        <sz val="9"/>
        <rFont val="Times New Roman"/>
        <charset val="134"/>
      </rPr>
      <t>2020</t>
    </r>
    <r>
      <rPr>
        <b/>
        <sz val="9"/>
        <rFont val="宋体"/>
        <charset val="134"/>
      </rPr>
      <t>年</t>
    </r>
  </si>
  <si>
    <r>
      <rPr>
        <b/>
        <sz val="9"/>
        <rFont val="Times New Roman"/>
        <charset val="134"/>
      </rPr>
      <t>2021</t>
    </r>
    <r>
      <rPr>
        <b/>
        <sz val="9"/>
        <rFont val="宋体"/>
        <charset val="134"/>
      </rPr>
      <t>年</t>
    </r>
  </si>
  <si>
    <r>
      <rPr>
        <b/>
        <sz val="9"/>
        <rFont val="Times New Roman"/>
        <charset val="134"/>
      </rPr>
      <t>2022</t>
    </r>
    <r>
      <rPr>
        <b/>
        <sz val="9"/>
        <rFont val="宋体"/>
        <charset val="134"/>
      </rPr>
      <t>年</t>
    </r>
  </si>
  <si>
    <r>
      <rPr>
        <b/>
        <sz val="9"/>
        <rFont val="Times New Roman"/>
        <charset val="134"/>
      </rPr>
      <t>2023</t>
    </r>
    <r>
      <rPr>
        <b/>
        <sz val="9"/>
        <rFont val="宋体"/>
        <charset val="134"/>
      </rPr>
      <t>年</t>
    </r>
  </si>
  <si>
    <t>　　存　　货</t>
  </si>
  <si>
    <t xml:space="preserve">    应收账款</t>
  </si>
  <si>
    <r>
      <rPr>
        <sz val="9"/>
        <rFont val="Times New Roman"/>
        <charset val="134"/>
      </rPr>
      <t xml:space="preserve">         </t>
    </r>
    <r>
      <rPr>
        <sz val="9"/>
        <rFont val="宋体"/>
        <charset val="134"/>
      </rPr>
      <t>预付账款</t>
    </r>
  </si>
  <si>
    <r>
      <rPr>
        <sz val="9"/>
        <rFont val="Times New Roman"/>
        <charset val="134"/>
      </rPr>
      <t xml:space="preserve">         </t>
    </r>
    <r>
      <rPr>
        <sz val="9"/>
        <rFont val="宋体"/>
        <charset val="134"/>
      </rPr>
      <t>应付账款</t>
    </r>
  </si>
  <si>
    <t>　　预收款项</t>
  </si>
  <si>
    <t>营运资金增加额估算表</t>
  </si>
  <si>
    <r>
      <rPr>
        <b/>
        <sz val="9"/>
        <rFont val="Times New Roman"/>
        <charset val="134"/>
      </rPr>
      <t>2017年</t>
    </r>
  </si>
  <si>
    <t>所得税</t>
  </si>
  <si>
    <t>折旧摊销</t>
  </si>
  <si>
    <t>付现成本</t>
  </si>
  <si>
    <t>最低现金保有量</t>
  </si>
  <si>
    <t>营运资本</t>
  </si>
  <si>
    <t>期初营运资金</t>
  </si>
  <si>
    <t>营运资本增加额</t>
  </si>
  <si>
    <t>评估值</t>
  </si>
  <si>
    <t>其他应收款</t>
  </si>
  <si>
    <t>往来款</t>
  </si>
  <si>
    <t>长期股权投资</t>
  </si>
  <si>
    <t>非经营性资产合计</t>
  </si>
  <si>
    <t>应交税费—增值税</t>
  </si>
  <si>
    <t>非经营性负债合计</t>
  </si>
  <si>
    <t>期初货币资金</t>
  </si>
  <si>
    <t>经营最低现金保有量</t>
  </si>
  <si>
    <t>差额</t>
  </si>
  <si>
    <t>溢余资金额</t>
  </si>
  <si>
    <r>
      <rPr>
        <sz val="9"/>
        <rFont val="DengXian"/>
        <charset val="134"/>
      </rPr>
      <t>2016</t>
    </r>
    <r>
      <rPr>
        <sz val="9"/>
        <rFont val="宋体"/>
        <charset val="134"/>
      </rPr>
      <t>年</t>
    </r>
    <r>
      <rPr>
        <sz val="9"/>
        <rFont val="DengXian"/>
        <charset val="134"/>
      </rPr>
      <t>7-12</t>
    </r>
  </si>
  <si>
    <r>
      <rPr>
        <sz val="9"/>
        <rFont val="DengXian"/>
        <charset val="134"/>
      </rPr>
      <t>2017</t>
    </r>
    <r>
      <rPr>
        <sz val="9"/>
        <rFont val="宋体"/>
        <charset val="134"/>
      </rPr>
      <t>年</t>
    </r>
  </si>
  <si>
    <r>
      <rPr>
        <sz val="9"/>
        <rFont val="DengXian"/>
        <charset val="134"/>
      </rPr>
      <t>2018</t>
    </r>
    <r>
      <rPr>
        <sz val="9"/>
        <rFont val="宋体"/>
        <charset val="134"/>
      </rPr>
      <t>年</t>
    </r>
  </si>
  <si>
    <r>
      <rPr>
        <sz val="9"/>
        <rFont val="DengXian"/>
        <charset val="134"/>
      </rPr>
      <t>2019</t>
    </r>
    <r>
      <rPr>
        <sz val="9"/>
        <rFont val="宋体"/>
        <charset val="134"/>
      </rPr>
      <t>年</t>
    </r>
  </si>
  <si>
    <r>
      <rPr>
        <sz val="9"/>
        <rFont val="DengXian"/>
        <charset val="134"/>
      </rPr>
      <t>2020</t>
    </r>
    <r>
      <rPr>
        <sz val="9"/>
        <rFont val="宋体"/>
        <charset val="134"/>
      </rPr>
      <t>年</t>
    </r>
  </si>
  <si>
    <r>
      <rPr>
        <sz val="9"/>
        <rFont val="DengXian"/>
        <charset val="134"/>
      </rPr>
      <t>2021</t>
    </r>
    <r>
      <rPr>
        <sz val="9"/>
        <rFont val="宋体"/>
        <charset val="134"/>
      </rPr>
      <t>年</t>
    </r>
  </si>
  <si>
    <r>
      <rPr>
        <sz val="9"/>
        <rFont val="DengXian"/>
        <charset val="134"/>
      </rPr>
      <t>2022</t>
    </r>
    <r>
      <rPr>
        <sz val="9"/>
        <rFont val="宋体"/>
        <charset val="134"/>
      </rPr>
      <t>年</t>
    </r>
  </si>
  <si>
    <r>
      <rPr>
        <sz val="9"/>
        <rFont val="DengXian"/>
        <charset val="134"/>
      </rPr>
      <t>2023</t>
    </r>
    <r>
      <rPr>
        <sz val="9"/>
        <rFont val="宋体"/>
        <charset val="134"/>
      </rPr>
      <t>年</t>
    </r>
  </si>
  <si>
    <r>
      <rPr>
        <sz val="9"/>
        <rFont val="DengXian"/>
        <charset val="134"/>
      </rPr>
      <t>2025</t>
    </r>
    <r>
      <rPr>
        <sz val="9"/>
        <rFont val="宋体"/>
        <charset val="134"/>
      </rPr>
      <t>年</t>
    </r>
  </si>
  <si>
    <t>净利润增长率</t>
  </si>
  <si>
    <t xml:space="preserve">     加：折旧和摊销</t>
  </si>
  <si>
    <t xml:space="preserve">     减：资本性支出</t>
  </si>
  <si>
    <t xml:space="preserve">     减：营运资本增加</t>
  </si>
  <si>
    <t>六、股权自由现金流</t>
  </si>
  <si>
    <t>加：税后的付息债务利息</t>
  </si>
  <si>
    <t>七、企业自由现金流</t>
  </si>
  <si>
    <t>折现率</t>
  </si>
  <si>
    <t>折现期</t>
  </si>
  <si>
    <t>折现系数</t>
  </si>
  <si>
    <t>九、收益现值</t>
  </si>
  <si>
    <t>十、收益现值合计</t>
  </si>
  <si>
    <t xml:space="preserve">   加：溢余资金</t>
  </si>
  <si>
    <t xml:space="preserve">   加：非经营性资产</t>
  </si>
  <si>
    <t xml:space="preserve">   减：非经营性负债</t>
  </si>
  <si>
    <t xml:space="preserve">   减：有息负债</t>
  </si>
  <si>
    <t xml:space="preserve">   加：子公司价值</t>
  </si>
  <si>
    <t>十一、评估值</t>
  </si>
  <si>
    <t>评估方法</t>
  </si>
  <si>
    <t>账面净资产</t>
  </si>
  <si>
    <t>增减额</t>
  </si>
  <si>
    <t>增减率％</t>
  </si>
  <si>
    <t>收益法</t>
  </si>
  <si>
    <t>资产基础法</t>
  </si>
  <si>
    <r>
      <rPr>
        <sz val="9"/>
        <rFont val="仿宋_GB2312"/>
        <charset val="134"/>
      </rPr>
      <t>差</t>
    </r>
    <r>
      <rPr>
        <sz val="9"/>
        <rFont val="Times New Roman"/>
        <charset val="134"/>
      </rPr>
      <t xml:space="preserve">  </t>
    </r>
    <r>
      <rPr>
        <sz val="9"/>
        <rFont val="仿宋_GB2312"/>
        <charset val="134"/>
      </rPr>
      <t>异</t>
    </r>
  </si>
</sst>
</file>

<file path=xl/styles.xml><?xml version="1.0" encoding="utf-8"?>
<styleSheet xmlns="http://schemas.openxmlformats.org/spreadsheetml/2006/main">
  <numFmts count="31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#,##0_);[Red]\(#,##0\)"/>
    <numFmt numFmtId="177" formatCode="#,##0.00_ ;[Red]\-#,##0.00\ "/>
    <numFmt numFmtId="178" formatCode="_ [$€-2]* #,##0.00_ ;_ [$€-2]* \-#,##0.00_ ;_ [$€-2]* &quot;-&quot;??_ "/>
    <numFmt numFmtId="179" formatCode="0.0_);[Red]\(0.0\)"/>
    <numFmt numFmtId="180" formatCode="[$-F800]dddd\,\ mmmm\ dd\,\ yyyy"/>
    <numFmt numFmtId="181" formatCode="[$-804]dddd\ yyyy&quot;年&quot;m&quot;月&quot;d&quot;日&quot;"/>
    <numFmt numFmtId="182" formatCode="_-* #,##0_-;\-* #,##0_-;_-* \-_-;_-@_-"/>
    <numFmt numFmtId="183" formatCode="_-* #,##0_-;\-* #,##0_-;_-* &quot;-&quot;_-;_-@_-"/>
    <numFmt numFmtId="184" formatCode="_(* #,##0.00_);_(* \(#,##0.00\);_(* &quot;-&quot;??_);_(@_)"/>
    <numFmt numFmtId="185" formatCode="#,##0.00_ "/>
    <numFmt numFmtId="186" formatCode="#,##0.00_);[Red]\(#,##0.00\)"/>
    <numFmt numFmtId="187" formatCode="#,##0_ "/>
    <numFmt numFmtId="188" formatCode="0.00_ "/>
    <numFmt numFmtId="189" formatCode="#,##0.00_ ;[Red]\-#,##0.00_ ;\ "/>
    <numFmt numFmtId="190" formatCode="yyyy&quot;年&quot;m&quot;月&quot;;@"/>
    <numFmt numFmtId="191" formatCode="0.00_);[Red]\(0.00\)"/>
    <numFmt numFmtId="192" formatCode="0.0000"/>
    <numFmt numFmtId="193" formatCode="###,###,###,##0.00;\-###,###,###,##0.00;&quot;&quot;"/>
    <numFmt numFmtId="194" formatCode="0.0000%"/>
    <numFmt numFmtId="195" formatCode="0_);[Red]\(0\)"/>
    <numFmt numFmtId="196" formatCode="0_ "/>
    <numFmt numFmtId="197" formatCode="0.000%"/>
    <numFmt numFmtId="198" formatCode="_ * #,##0_ ;_ * \-#,##0_ ;_ * &quot;-&quot;??_ ;_ @_ "/>
    <numFmt numFmtId="199" formatCode="0.0%"/>
    <numFmt numFmtId="200" formatCode="0.0000_ "/>
    <numFmt numFmtId="201" formatCode="yyyy/mm/dd"/>
    <numFmt numFmtId="202" formatCode="yyyy&quot;年&quot;m&quot;月&quot;d&quot;日&quot;;@"/>
  </numFmts>
  <fonts count="166">
    <font>
      <sz val="12"/>
      <name val="宋体"/>
      <charset val="134"/>
    </font>
    <font>
      <sz val="9"/>
      <name val="仿宋_GB2312"/>
      <charset val="134"/>
    </font>
    <font>
      <sz val="9"/>
      <color rgb="FF000000"/>
      <name val="仿宋"/>
      <charset val="134"/>
    </font>
    <font>
      <sz val="9"/>
      <name val="Times New Roman"/>
      <charset val="134"/>
    </font>
    <font>
      <sz val="10"/>
      <name val="宋体"/>
      <charset val="134"/>
    </font>
    <font>
      <b/>
      <sz val="11"/>
      <color indexed="8"/>
      <name val="楷体"/>
      <charset val="134"/>
    </font>
    <font>
      <sz val="12"/>
      <name val="Arial"/>
      <charset val="134"/>
    </font>
    <font>
      <sz val="11"/>
      <color indexed="8"/>
      <name val="楷体"/>
      <charset val="134"/>
    </font>
    <font>
      <sz val="9"/>
      <name val="宋体"/>
      <charset val="134"/>
    </font>
    <font>
      <sz val="9"/>
      <name val="DengXian"/>
      <charset val="134"/>
    </font>
    <font>
      <b/>
      <sz val="9"/>
      <name val="楷体"/>
      <charset val="134"/>
    </font>
    <font>
      <b/>
      <sz val="9"/>
      <name val="Arial"/>
      <charset val="134"/>
    </font>
    <font>
      <i/>
      <sz val="9"/>
      <name val="宋体"/>
      <charset val="134"/>
    </font>
    <font>
      <sz val="9"/>
      <name val="楷体"/>
      <charset val="134"/>
    </font>
    <font>
      <b/>
      <sz val="9"/>
      <name val="宋体"/>
      <charset val="134"/>
    </font>
    <font>
      <sz val="10"/>
      <color indexed="8"/>
      <name val="DengXian"/>
      <charset val="134"/>
    </font>
    <font>
      <b/>
      <sz val="10"/>
      <color indexed="8"/>
      <name val="楷体"/>
      <charset val="134"/>
    </font>
    <font>
      <sz val="10"/>
      <color indexed="8"/>
      <name val="楷体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indexed="8"/>
      <name val="Times New Roman"/>
      <charset val="134"/>
    </font>
    <font>
      <b/>
      <sz val="9"/>
      <name val="Times New Roman"/>
      <charset val="134"/>
    </font>
    <font>
      <sz val="9"/>
      <color indexed="8"/>
      <name val="Times New Roman"/>
      <charset val="134"/>
    </font>
    <font>
      <sz val="9"/>
      <color theme="1"/>
      <name val="Tahoma"/>
      <charset val="134"/>
    </font>
    <font>
      <sz val="8"/>
      <color rgb="FF000000"/>
      <name val="宋体"/>
      <charset val="134"/>
    </font>
    <font>
      <b/>
      <sz val="11"/>
      <name val="楷体"/>
      <charset val="134"/>
    </font>
    <font>
      <b/>
      <sz val="10"/>
      <name val="楷体"/>
      <charset val="134"/>
    </font>
    <font>
      <sz val="9"/>
      <color indexed="8"/>
      <name val="Arial"/>
      <charset val="134"/>
    </font>
    <font>
      <sz val="10"/>
      <name val="楷体"/>
      <charset val="134"/>
    </font>
    <font>
      <sz val="9"/>
      <color rgb="FF000000"/>
      <name val="Arial"/>
      <charset val="134"/>
    </font>
    <font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sz val="12"/>
      <name val="Times New Roman"/>
      <charset val="134"/>
    </font>
    <font>
      <sz val="12"/>
      <name val="仿宋_GB2312"/>
      <charset val="134"/>
    </font>
    <font>
      <b/>
      <sz val="18"/>
      <color indexed="39"/>
      <name val="Arial"/>
      <charset val="134"/>
    </font>
    <font>
      <b/>
      <i/>
      <sz val="10"/>
      <color indexed="10"/>
      <name val="Arial"/>
      <charset val="134"/>
    </font>
    <font>
      <i/>
      <sz val="10"/>
      <color indexed="14"/>
      <name val="Arial"/>
      <charset val="134"/>
    </font>
    <font>
      <b/>
      <sz val="14"/>
      <name val="楷体_GB2312"/>
      <charset val="134"/>
    </font>
    <font>
      <sz val="12"/>
      <color indexed="14"/>
      <name val="Arial"/>
      <charset val="134"/>
    </font>
    <font>
      <sz val="11"/>
      <name val="宋体"/>
      <charset val="134"/>
    </font>
    <font>
      <b/>
      <sz val="11"/>
      <color indexed="18"/>
      <name val="宋体"/>
      <charset val="134"/>
    </font>
    <font>
      <b/>
      <sz val="11"/>
      <color indexed="18"/>
      <name val="Arial"/>
      <charset val="134"/>
    </font>
    <font>
      <sz val="11"/>
      <color indexed="18"/>
      <name val="宋体"/>
      <charset val="134"/>
    </font>
    <font>
      <sz val="11"/>
      <name val="Arial"/>
      <charset val="134"/>
    </font>
    <font>
      <sz val="11"/>
      <color indexed="18"/>
      <name val="Arial"/>
      <charset val="134"/>
    </font>
    <font>
      <sz val="12"/>
      <color indexed="8"/>
      <name val="Times New Roman"/>
      <charset val="134"/>
    </font>
    <font>
      <sz val="12"/>
      <color indexed="8"/>
      <name val="仿宋"/>
      <charset val="134"/>
    </font>
    <font>
      <sz val="12"/>
      <color indexed="8"/>
      <name val="Arial"/>
      <charset val="134"/>
    </font>
    <font>
      <b/>
      <sz val="12"/>
      <color indexed="8"/>
      <name val="仿宋"/>
      <charset val="134"/>
    </font>
    <font>
      <b/>
      <sz val="12"/>
      <color indexed="8"/>
      <name val="Arial"/>
      <charset val="134"/>
    </font>
    <font>
      <sz val="9"/>
      <color rgb="FF000000"/>
      <name val="宋体"/>
      <charset val="134"/>
    </font>
    <font>
      <sz val="10"/>
      <name val="楷体_GB2312"/>
      <charset val="134"/>
    </font>
    <font>
      <b/>
      <sz val="16"/>
      <name val="Times New Roman"/>
      <charset val="134"/>
    </font>
    <font>
      <b/>
      <sz val="16"/>
      <name val="隶书"/>
      <charset val="134"/>
    </font>
    <font>
      <b/>
      <sz val="16"/>
      <name val="楷体_GB2312"/>
      <charset val="134"/>
    </font>
    <font>
      <sz val="9"/>
      <name val="楷体_GB2312"/>
      <charset val="134"/>
    </font>
    <font>
      <sz val="12"/>
      <name val="楷体_GB2312"/>
      <charset val="134"/>
    </font>
    <font>
      <sz val="12"/>
      <name val="新細明體"/>
      <charset val="134"/>
    </font>
    <font>
      <sz val="16"/>
      <name val="宋体"/>
      <charset val="134"/>
    </font>
    <font>
      <b/>
      <sz val="16"/>
      <name val="黑体"/>
      <charset val="134"/>
    </font>
    <font>
      <sz val="9"/>
      <name val="Arial"/>
      <charset val="134"/>
    </font>
    <font>
      <sz val="10"/>
      <name val="Arial Narrow"/>
      <charset val="134"/>
    </font>
    <font>
      <b/>
      <sz val="9"/>
      <color indexed="9"/>
      <name val="Arial"/>
      <charset val="134"/>
    </font>
    <font>
      <sz val="9"/>
      <color indexed="8"/>
      <name val="宋体"/>
      <charset val="134"/>
    </font>
    <font>
      <b/>
      <sz val="9"/>
      <color indexed="8"/>
      <name val="Arial"/>
      <charset val="134"/>
    </font>
    <font>
      <sz val="11"/>
      <name val="楷体_GB2312"/>
      <charset val="134"/>
    </font>
    <font>
      <b/>
      <sz val="8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sz val="11"/>
      <name val="新宋体"/>
      <charset val="134"/>
    </font>
    <font>
      <sz val="10"/>
      <name val="新宋体"/>
      <charset val="134"/>
    </font>
    <font>
      <sz val="12"/>
      <color indexed="10"/>
      <name val="宋体"/>
      <charset val="134"/>
    </font>
    <font>
      <sz val="8"/>
      <name val="宋体"/>
      <charset val="134"/>
    </font>
    <font>
      <sz val="16"/>
      <name val="Arial Narrow"/>
      <charset val="134"/>
    </font>
    <font>
      <b/>
      <sz val="16"/>
      <name val="宋体"/>
      <charset val="134"/>
    </font>
    <font>
      <b/>
      <sz val="10"/>
      <name val="Arial Narrow"/>
      <charset val="134"/>
    </font>
    <font>
      <sz val="12"/>
      <name val="宋体"/>
      <charset val="134"/>
    </font>
    <font>
      <sz val="10"/>
      <name val="仿宋"/>
      <charset val="134"/>
    </font>
    <font>
      <sz val="9"/>
      <name val="仿宋"/>
      <charset val="134"/>
    </font>
    <font>
      <b/>
      <sz val="9"/>
      <name val="仿宋"/>
      <charset val="134"/>
    </font>
    <font>
      <b/>
      <sz val="2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</font>
    <font>
      <sz val="11"/>
      <name val="Arial Unicode MS"/>
      <charset val="134"/>
    </font>
    <font>
      <sz val="10"/>
      <color theme="1"/>
      <name val="Arial Unicode MS"/>
      <charset val="134"/>
    </font>
    <font>
      <sz val="10"/>
      <name val="Arial"/>
      <charset val="134"/>
    </font>
    <font>
      <sz val="10"/>
      <name val="Times New Roman"/>
      <charset val="134"/>
    </font>
    <font>
      <sz val="20"/>
      <name val="宋体"/>
      <charset val="134"/>
    </font>
    <font>
      <sz val="10"/>
      <name val="MS Sans Serif"/>
      <charset val="134"/>
    </font>
    <font>
      <b/>
      <sz val="10"/>
      <name val="Times New Roman"/>
      <charset val="134"/>
    </font>
    <font>
      <sz val="10"/>
      <name val="微软雅黑"/>
      <charset val="134"/>
    </font>
    <font>
      <sz val="10"/>
      <name val="宋体"/>
      <charset val="134"/>
      <scheme val="minor"/>
    </font>
    <font>
      <sz val="8"/>
      <name val="微软雅黑"/>
      <charset val="134"/>
    </font>
    <font>
      <b/>
      <sz val="11"/>
      <name val="微软雅黑"/>
      <charset val="134"/>
    </font>
    <font>
      <b/>
      <sz val="8"/>
      <name val="微软雅黑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</font>
    <font>
      <sz val="8"/>
      <color indexed="8"/>
      <name val="微软雅黑"/>
      <charset val="134"/>
    </font>
    <font>
      <sz val="10"/>
      <color indexed="8"/>
      <name val="Arial"/>
      <charset val="134"/>
    </font>
    <font>
      <sz val="10"/>
      <color indexed="8"/>
      <name val="宋体"/>
      <charset val="134"/>
    </font>
    <font>
      <sz val="12"/>
      <color rgb="FFFF0000"/>
      <name val="宋体"/>
      <charset val="134"/>
    </font>
    <font>
      <sz val="10"/>
      <color indexed="8"/>
      <name val="微软雅黑"/>
      <charset val="134"/>
    </font>
    <font>
      <b/>
      <sz val="11"/>
      <name val="宋体"/>
      <charset val="134"/>
    </font>
    <font>
      <sz val="11"/>
      <name val="仿宋"/>
      <charset val="134"/>
    </font>
    <font>
      <b/>
      <sz val="11"/>
      <name val="仿宋"/>
      <charset val="134"/>
    </font>
    <font>
      <sz val="11"/>
      <color rgb="FFFF0000"/>
      <name val="仿宋"/>
      <charset val="134"/>
    </font>
    <font>
      <sz val="12"/>
      <color rgb="FFFF0000"/>
      <name val="仿宋"/>
      <charset val="134"/>
    </font>
    <font>
      <sz val="12"/>
      <name val="仿宋"/>
      <charset val="134"/>
    </font>
    <font>
      <b/>
      <sz val="18"/>
      <color indexed="39"/>
      <name val="宋体"/>
      <charset val="134"/>
    </font>
    <font>
      <i/>
      <sz val="10"/>
      <color indexed="14"/>
      <name val="宋体"/>
      <charset val="134"/>
    </font>
    <font>
      <b/>
      <i/>
      <sz val="11"/>
      <color rgb="FFFF0000"/>
      <name val="宋体"/>
      <charset val="134"/>
    </font>
    <font>
      <i/>
      <sz val="11"/>
      <color rgb="FFFF0000"/>
      <name val="宋体"/>
      <charset val="134"/>
    </font>
    <font>
      <b/>
      <i/>
      <sz val="10"/>
      <color indexed="18"/>
      <name val="宋体"/>
      <charset val="134"/>
    </font>
    <font>
      <sz val="10"/>
      <color indexed="10"/>
      <name val="宋体"/>
      <charset val="134"/>
    </font>
    <font>
      <i/>
      <sz val="10"/>
      <color indexed="18"/>
      <name val="宋体"/>
      <charset val="134"/>
    </font>
    <font>
      <sz val="11"/>
      <color rgb="FFFF0000"/>
      <name val="宋体"/>
      <charset val="134"/>
    </font>
    <font>
      <b/>
      <sz val="10"/>
      <color indexed="18"/>
      <name val="宋体"/>
      <charset val="134"/>
    </font>
    <font>
      <b/>
      <sz val="11"/>
      <color indexed="12"/>
      <name val="宋体"/>
      <charset val="134"/>
    </font>
    <font>
      <b/>
      <sz val="10"/>
      <color indexed="12"/>
      <name val="宋体"/>
      <charset val="134"/>
    </font>
    <font>
      <i/>
      <sz val="9"/>
      <color indexed="18"/>
      <name val="宋体"/>
      <charset val="134"/>
    </font>
    <font>
      <sz val="10"/>
      <color indexed="18"/>
      <name val="宋体"/>
      <charset val="134"/>
    </font>
    <font>
      <sz val="9"/>
      <color indexed="18"/>
      <name val="宋体"/>
      <charset val="134"/>
    </font>
    <font>
      <b/>
      <sz val="9"/>
      <color indexed="18"/>
      <name val="宋体"/>
      <charset val="134"/>
    </font>
    <font>
      <sz val="11"/>
      <color indexed="10"/>
      <name val="宋体"/>
      <charset val="134"/>
    </font>
    <font>
      <sz val="10"/>
      <color rgb="FFFF0000"/>
      <name val="宋体"/>
      <charset val="134"/>
    </font>
    <font>
      <b/>
      <sz val="10"/>
      <color indexed="18"/>
      <name val="Arial"/>
      <charset val="134"/>
    </font>
    <font>
      <sz val="9"/>
      <name val="Arial Narrow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Tahoma"/>
      <charset val="134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9"/>
      <name val="DengXian"/>
      <charset val="134"/>
    </font>
    <font>
      <vertAlign val="subscript"/>
      <sz val="10.5"/>
      <color rgb="FF000000"/>
      <name val="Times New Roman"/>
      <charset val="134"/>
    </font>
    <font>
      <vertAlign val="subscript"/>
      <sz val="12"/>
      <name val="Times New Roman"/>
      <charset val="134"/>
    </font>
    <font>
      <b/>
      <sz val="9"/>
      <color indexed="9"/>
      <name val="宋体"/>
      <charset val="134"/>
    </font>
    <font>
      <sz val="11"/>
      <name val="Times New Roman"/>
      <charset val="134"/>
    </font>
    <font>
      <b/>
      <sz val="10"/>
      <name val="微软雅黑"/>
      <charset val="134"/>
    </font>
    <font>
      <b/>
      <vertAlign val="superscript"/>
      <sz val="10"/>
      <name val="Times New Roman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10"/>
      <name val="MS Sans Serif"/>
      <charset val="134"/>
    </font>
    <font>
      <sz val="11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799829096346934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indexed="42"/>
        <bgColor indexed="30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97">
    <xf numFmtId="0" fontId="0" fillId="0" borderId="0"/>
    <xf numFmtId="42" fontId="129" fillId="0" borderId="0" applyFont="0" applyFill="0" applyBorder="0" applyAlignment="0" applyProtection="0">
      <alignment vertical="center"/>
    </xf>
    <xf numFmtId="0" fontId="130" fillId="29" borderId="0" applyNumberFormat="0" applyBorder="0" applyAlignment="0" applyProtection="0">
      <alignment vertical="center"/>
    </xf>
    <xf numFmtId="0" fontId="134" fillId="31" borderId="93" applyNumberFormat="0" applyAlignment="0" applyProtection="0">
      <alignment vertical="center"/>
    </xf>
    <xf numFmtId="44" fontId="129" fillId="0" borderId="0" applyFont="0" applyFill="0" applyBorder="0" applyAlignment="0" applyProtection="0">
      <alignment vertical="center"/>
    </xf>
    <xf numFmtId="41" fontId="129" fillId="0" borderId="0" applyFont="0" applyFill="0" applyBorder="0" applyAlignment="0" applyProtection="0">
      <alignment vertical="center"/>
    </xf>
    <xf numFmtId="0" fontId="130" fillId="25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131" fillId="32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9" fontId="78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29" fillId="30" borderId="92" applyNumberFormat="0" applyFont="0" applyAlignment="0" applyProtection="0">
      <alignment vertical="center"/>
    </xf>
    <xf numFmtId="0" fontId="131" fillId="34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3" fillId="0" borderId="0"/>
    <xf numFmtId="0" fontId="135" fillId="0" borderId="0" applyNumberFormat="0" applyFill="0" applyBorder="0" applyAlignment="0" applyProtection="0">
      <alignment vertical="center"/>
    </xf>
    <xf numFmtId="0" fontId="141" fillId="0" borderId="0"/>
    <xf numFmtId="0" fontId="87" fillId="0" borderId="0"/>
    <xf numFmtId="0" fontId="142" fillId="0" borderId="0" applyNumberFormat="0" applyFill="0" applyBorder="0" applyAlignment="0" applyProtection="0">
      <alignment vertical="center"/>
    </xf>
    <xf numFmtId="0" fontId="143" fillId="0" borderId="95" applyNumberFormat="0" applyFill="0" applyAlignment="0" applyProtection="0">
      <alignment vertical="center"/>
    </xf>
    <xf numFmtId="0" fontId="144" fillId="0" borderId="95" applyNumberFormat="0" applyFill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40" fillId="0" borderId="96" applyNumberFormat="0" applyFill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46" fillId="38" borderId="97" applyNumberFormat="0" applyAlignment="0" applyProtection="0">
      <alignment vertical="center"/>
    </xf>
    <xf numFmtId="0" fontId="145" fillId="38" borderId="93" applyNumberFormat="0" applyAlignment="0" applyProtection="0">
      <alignment vertical="center"/>
    </xf>
    <xf numFmtId="180" fontId="78" fillId="0" borderId="0"/>
    <xf numFmtId="0" fontId="147" fillId="45" borderId="98" applyNumberFormat="0" applyAlignment="0" applyProtection="0">
      <alignment vertical="center"/>
    </xf>
    <xf numFmtId="180" fontId="87" fillId="0" borderId="0" applyNumberFormat="0" applyFill="0" applyBorder="0" applyAlignment="0" applyProtection="0"/>
    <xf numFmtId="0" fontId="130" fillId="46" borderId="0" applyNumberFormat="0" applyBorder="0" applyAlignment="0" applyProtection="0">
      <alignment vertical="center"/>
    </xf>
    <xf numFmtId="0" fontId="131" fillId="26" borderId="0" applyNumberFormat="0" applyBorder="0" applyAlignment="0" applyProtection="0">
      <alignment vertical="center"/>
    </xf>
    <xf numFmtId="0" fontId="133" fillId="0" borderId="91" applyNumberFormat="0" applyFill="0" applyAlignment="0" applyProtection="0">
      <alignment vertical="center"/>
    </xf>
    <xf numFmtId="0" fontId="139" fillId="0" borderId="94" applyNumberFormat="0" applyFill="0" applyAlignment="0" applyProtection="0">
      <alignment vertical="center"/>
    </xf>
    <xf numFmtId="0" fontId="148" fillId="47" borderId="0" applyNumberFormat="0" applyBorder="0" applyAlignment="0" applyProtection="0">
      <alignment vertical="center"/>
    </xf>
    <xf numFmtId="9" fontId="78" fillId="0" borderId="0" applyFill="0" applyBorder="0" applyAlignment="0" applyProtection="0"/>
    <xf numFmtId="0" fontId="149" fillId="50" borderId="0" applyNumberFormat="0" applyBorder="0" applyAlignment="0" applyProtection="0">
      <alignment vertical="center"/>
    </xf>
    <xf numFmtId="0" fontId="130" fillId="51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0" fillId="44" borderId="0" applyNumberFormat="0" applyBorder="0" applyAlignment="0" applyProtection="0">
      <alignment vertical="center"/>
    </xf>
    <xf numFmtId="0" fontId="130" fillId="42" borderId="0" applyNumberFormat="0" applyBorder="0" applyAlignment="0" applyProtection="0">
      <alignment vertical="center"/>
    </xf>
    <xf numFmtId="0" fontId="130" fillId="41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0" fontId="131" fillId="49" borderId="0" applyNumberFormat="0" applyBorder="0" applyAlignment="0" applyProtection="0">
      <alignment vertical="center"/>
    </xf>
    <xf numFmtId="0" fontId="131" fillId="52" borderId="0" applyNumberFormat="0" applyBorder="0" applyAlignment="0" applyProtection="0">
      <alignment vertical="center"/>
    </xf>
    <xf numFmtId="0" fontId="130" fillId="53" borderId="0" applyNumberFormat="0" applyBorder="0" applyAlignment="0" applyProtection="0">
      <alignment vertical="center"/>
    </xf>
    <xf numFmtId="0" fontId="130" fillId="55" borderId="0" applyNumberFormat="0" applyBorder="0" applyAlignment="0" applyProtection="0">
      <alignment vertical="center"/>
    </xf>
    <xf numFmtId="0" fontId="131" fillId="35" borderId="0" applyNumberFormat="0" applyBorder="0" applyAlignment="0" applyProtection="0">
      <alignment vertical="center"/>
    </xf>
    <xf numFmtId="0" fontId="78" fillId="0" borderId="0"/>
    <xf numFmtId="0" fontId="130" fillId="36" borderId="0" applyNumberFormat="0" applyBorder="0" applyAlignment="0" applyProtection="0">
      <alignment vertical="center"/>
    </xf>
    <xf numFmtId="0" fontId="131" fillId="33" borderId="0" applyNumberFormat="0" applyBorder="0" applyAlignment="0" applyProtection="0">
      <alignment vertical="center"/>
    </xf>
    <xf numFmtId="0" fontId="131" fillId="48" borderId="0" applyNumberFormat="0" applyBorder="0" applyAlignment="0" applyProtection="0">
      <alignment vertical="center"/>
    </xf>
    <xf numFmtId="0" fontId="65" fillId="0" borderId="0"/>
    <xf numFmtId="0" fontId="19" fillId="0" borderId="0">
      <alignment vertical="center"/>
    </xf>
    <xf numFmtId="0" fontId="130" fillId="54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181" fontId="87" fillId="0" borderId="0"/>
    <xf numFmtId="181" fontId="87" fillId="0" borderId="0"/>
    <xf numFmtId="0" fontId="78" fillId="0" borderId="0"/>
    <xf numFmtId="0" fontId="33" fillId="0" borderId="0"/>
    <xf numFmtId="180" fontId="19" fillId="0" borderId="0">
      <alignment vertical="center"/>
    </xf>
    <xf numFmtId="0" fontId="78" fillId="0" borderId="0"/>
    <xf numFmtId="178" fontId="87" fillId="0" borderId="0"/>
    <xf numFmtId="0" fontId="150" fillId="0" borderId="0">
      <alignment vertical="center"/>
    </xf>
    <xf numFmtId="0" fontId="19" fillId="0" borderId="0"/>
    <xf numFmtId="0" fontId="78" fillId="0" borderId="0">
      <alignment vertical="center"/>
    </xf>
    <xf numFmtId="0" fontId="90" fillId="0" borderId="0"/>
    <xf numFmtId="0" fontId="87" fillId="0" borderId="0"/>
    <xf numFmtId="180" fontId="78" fillId="0" borderId="0" applyNumberFormat="0" applyFill="0" applyBorder="0" applyAlignment="0" applyProtection="0"/>
    <xf numFmtId="0" fontId="7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8" fillId="0" borderId="0">
      <alignment vertical="center"/>
    </xf>
    <xf numFmtId="0" fontId="78" fillId="0" borderId="0"/>
    <xf numFmtId="180" fontId="87" fillId="0" borderId="0" applyNumberFormat="0" applyFill="0" applyBorder="0" applyAlignment="0" applyProtection="0"/>
    <xf numFmtId="0" fontId="78" fillId="0" borderId="0"/>
    <xf numFmtId="0" fontId="33" fillId="0" borderId="0"/>
    <xf numFmtId="0" fontId="78" fillId="0" borderId="0"/>
    <xf numFmtId="180" fontId="78" fillId="0" borderId="0">
      <alignment vertical="center"/>
    </xf>
    <xf numFmtId="43" fontId="150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182" fontId="78" fillId="0" borderId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141" fillId="0" borderId="0" applyFont="0" applyFill="0" applyBorder="0" applyAlignment="0" applyProtection="0">
      <alignment vertical="center"/>
    </xf>
    <xf numFmtId="43" fontId="90" fillId="0" borderId="0" applyFont="0" applyFill="0" applyBorder="0" applyAlignment="0" applyProtection="0"/>
    <xf numFmtId="183" fontId="87" fillId="0" borderId="0" applyFont="0" applyFill="0" applyBorder="0" applyAlignment="0" applyProtection="0"/>
    <xf numFmtId="184" fontId="8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87" fillId="0" borderId="0"/>
  </cellStyleXfs>
  <cellXfs count="13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" fontId="2" fillId="2" borderId="4" xfId="0" applyNumberFormat="1" applyFont="1" applyFill="1" applyBorder="1" applyAlignment="1">
      <alignment horizontal="center" vertical="top" wrapText="1"/>
    </xf>
    <xf numFmtId="4" fontId="3" fillId="2" borderId="4" xfId="0" applyNumberFormat="1" applyFont="1" applyFill="1" applyBorder="1" applyAlignment="1">
      <alignment horizontal="center" vertical="top" wrapText="1"/>
    </xf>
    <xf numFmtId="10" fontId="3" fillId="2" borderId="4" xfId="0" applyNumberFormat="1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0" borderId="0" xfId="0" applyFont="1" applyFill="1" applyAlignment="1">
      <alignment vertical="center"/>
    </xf>
    <xf numFmtId="0" fontId="5" fillId="0" borderId="0" xfId="0" applyFont="1" applyFill="1"/>
    <xf numFmtId="0" fontId="6" fillId="0" borderId="0" xfId="82" applyFont="1" applyFill="1" applyBorder="1" applyAlignment="1" applyProtection="1">
      <alignment vertical="center"/>
    </xf>
    <xf numFmtId="185" fontId="7" fillId="0" borderId="0" xfId="0" applyNumberFormat="1" applyFont="1" applyFill="1"/>
    <xf numFmtId="0" fontId="7" fillId="0" borderId="0" xfId="0" applyFont="1" applyFill="1"/>
    <xf numFmtId="0" fontId="0" fillId="0" borderId="0" xfId="0" applyFill="1"/>
    <xf numFmtId="0" fontId="4" fillId="0" borderId="0" xfId="0" applyFont="1" applyFill="1"/>
    <xf numFmtId="0" fontId="8" fillId="0" borderId="5" xfId="0" applyFont="1" applyFill="1" applyBorder="1" applyAlignment="1">
      <alignment vertical="center"/>
    </xf>
    <xf numFmtId="185" fontId="9" fillId="0" borderId="5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/>
    <xf numFmtId="186" fontId="10" fillId="0" borderId="5" xfId="8" applyNumberFormat="1" applyFont="1" applyFill="1" applyBorder="1" applyAlignment="1">
      <alignment vertical="center"/>
    </xf>
    <xf numFmtId="186" fontId="11" fillId="0" borderId="5" xfId="82" applyNumberFormat="1" applyFont="1" applyFill="1" applyBorder="1" applyAlignment="1" applyProtection="1">
      <alignment vertical="center" shrinkToFit="1"/>
    </xf>
    <xf numFmtId="185" fontId="11" fillId="0" borderId="5" xfId="82" applyNumberFormat="1" applyFont="1" applyFill="1" applyBorder="1" applyAlignment="1" applyProtection="1">
      <alignment vertical="center" shrinkToFit="1"/>
    </xf>
    <xf numFmtId="0" fontId="12" fillId="0" borderId="5" xfId="0" applyFont="1" applyFill="1" applyBorder="1" applyAlignment="1" applyProtection="1">
      <alignment horizontal="right" vertical="center"/>
    </xf>
    <xf numFmtId="186" fontId="11" fillId="0" borderId="5" xfId="82" applyNumberFormat="1" applyFont="1" applyFill="1" applyBorder="1" applyAlignment="1" applyProtection="1">
      <alignment horizontal="center" vertical="center" shrinkToFit="1"/>
    </xf>
    <xf numFmtId="185" fontId="13" fillId="0" borderId="5" xfId="0" applyNumberFormat="1" applyFont="1" applyFill="1" applyBorder="1"/>
    <xf numFmtId="0" fontId="14" fillId="0" borderId="5" xfId="0" applyFont="1" applyFill="1" applyBorder="1" applyAlignment="1" applyProtection="1">
      <alignment horizontal="left" vertical="center"/>
    </xf>
    <xf numFmtId="185" fontId="14" fillId="0" borderId="5" xfId="0" applyNumberFormat="1" applyFont="1" applyFill="1" applyBorder="1" applyAlignment="1" applyProtection="1">
      <alignment vertical="center"/>
    </xf>
    <xf numFmtId="186" fontId="13" fillId="0" borderId="5" xfId="0" applyNumberFormat="1" applyFont="1" applyFill="1" applyBorder="1"/>
    <xf numFmtId="0" fontId="8" fillId="0" borderId="5" xfId="0" applyFont="1" applyFill="1" applyBorder="1" applyAlignment="1" applyProtection="1">
      <alignment vertical="center"/>
    </xf>
    <xf numFmtId="0" fontId="14" fillId="0" borderId="5" xfId="0" applyFont="1" applyFill="1" applyBorder="1" applyAlignment="1" applyProtection="1">
      <alignment vertical="center"/>
    </xf>
    <xf numFmtId="185" fontId="13" fillId="3" borderId="5" xfId="0" applyNumberFormat="1" applyFont="1" applyFill="1" applyBorder="1"/>
    <xf numFmtId="0" fontId="12" fillId="0" borderId="5" xfId="0" applyFont="1" applyFill="1" applyBorder="1" applyAlignment="1" applyProtection="1">
      <alignment horizontal="left" vertical="center"/>
    </xf>
    <xf numFmtId="10" fontId="13" fillId="0" borderId="5" xfId="0" applyNumberFormat="1" applyFont="1" applyFill="1" applyBorder="1"/>
    <xf numFmtId="10" fontId="13" fillId="3" borderId="5" xfId="0" applyNumberFormat="1" applyFont="1" applyFill="1" applyBorder="1"/>
    <xf numFmtId="186" fontId="13" fillId="0" borderId="5" xfId="0" applyNumberFormat="1" applyFont="1" applyFill="1" applyBorder="1" applyAlignment="1">
      <alignment horizontal="right"/>
    </xf>
    <xf numFmtId="186" fontId="13" fillId="0" borderId="5" xfId="0" applyNumberFormat="1" applyFont="1" applyFill="1" applyBorder="1" applyAlignment="1"/>
    <xf numFmtId="186" fontId="13" fillId="0" borderId="5" xfId="0" applyNumberFormat="1" applyFont="1" applyFill="1" applyBorder="1" applyAlignment="1">
      <alignment horizontal="right" vertical="center"/>
    </xf>
    <xf numFmtId="0" fontId="7" fillId="0" borderId="0" xfId="0" applyFont="1" applyFill="1" applyBorder="1"/>
    <xf numFmtId="185" fontId="7" fillId="0" borderId="0" xfId="0" applyNumberFormat="1" applyFont="1" applyFill="1" applyBorder="1"/>
    <xf numFmtId="185" fontId="15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/>
    <xf numFmtId="187" fontId="16" fillId="0" borderId="0" xfId="8" applyNumberFormat="1" applyFont="1" applyFill="1" applyBorder="1" applyAlignment="1">
      <alignment vertical="center"/>
    </xf>
    <xf numFmtId="187" fontId="5" fillId="0" borderId="0" xfId="8" applyNumberFormat="1" applyFont="1" applyFill="1" applyBorder="1" applyAlignment="1">
      <alignment vertical="center"/>
    </xf>
    <xf numFmtId="9" fontId="17" fillId="0" borderId="0" xfId="0" applyNumberFormat="1" applyFont="1" applyFill="1" applyBorder="1"/>
    <xf numFmtId="177" fontId="18" fillId="0" borderId="0" xfId="82" applyNumberFormat="1" applyFont="1" applyFill="1" applyBorder="1" applyAlignment="1" applyProtection="1">
      <alignment vertical="center" shrinkToFit="1"/>
    </xf>
    <xf numFmtId="185" fontId="17" fillId="0" borderId="0" xfId="0" applyNumberFormat="1" applyFont="1" applyFill="1" applyBorder="1"/>
    <xf numFmtId="10" fontId="17" fillId="0" borderId="0" xfId="0" applyNumberFormat="1" applyFont="1" applyFill="1" applyBorder="1"/>
    <xf numFmtId="10" fontId="7" fillId="0" borderId="0" xfId="0" applyNumberFormat="1" applyFont="1" applyFill="1" applyBorder="1"/>
    <xf numFmtId="186" fontId="13" fillId="0" borderId="6" xfId="0" applyNumberFormat="1" applyFont="1" applyFill="1" applyBorder="1" applyAlignment="1">
      <alignment horizontal="right"/>
    </xf>
    <xf numFmtId="185" fontId="17" fillId="0" borderId="7" xfId="0" applyNumberFormat="1" applyFont="1" applyFill="1" applyBorder="1"/>
    <xf numFmtId="186" fontId="13" fillId="0" borderId="6" xfId="0" applyNumberFormat="1" applyFont="1" applyFill="1" applyBorder="1" applyAlignment="1">
      <alignment horizontal="right" vertical="center"/>
    </xf>
    <xf numFmtId="185" fontId="17" fillId="0" borderId="0" xfId="0" applyNumberFormat="1" applyFont="1" applyFill="1" applyBorder="1"/>
    <xf numFmtId="4" fontId="0" fillId="0" borderId="0" xfId="0" applyNumberFormat="1" applyFill="1"/>
    <xf numFmtId="188" fontId="8" fillId="0" borderId="0" xfId="0" applyNumberFormat="1" applyFont="1" applyFill="1"/>
    <xf numFmtId="0" fontId="8" fillId="0" borderId="0" xfId="0" applyFont="1" applyFill="1"/>
    <xf numFmtId="10" fontId="7" fillId="0" borderId="0" xfId="0" applyNumberFormat="1" applyFont="1" applyFill="1"/>
    <xf numFmtId="0" fontId="0" fillId="0" borderId="5" xfId="0" applyFont="1" applyBorder="1"/>
    <xf numFmtId="43" fontId="0" fillId="0" borderId="5" xfId="0" applyNumberFormat="1" applyBorder="1"/>
    <xf numFmtId="188" fontId="0" fillId="0" borderId="5" xfId="0" applyNumberFormat="1" applyBorder="1"/>
    <xf numFmtId="0" fontId="0" fillId="0" borderId="5" xfId="0" applyBorder="1"/>
    <xf numFmtId="0" fontId="19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188" fontId="19" fillId="0" borderId="0" xfId="0" applyNumberFormat="1" applyFont="1" applyFill="1" applyAlignment="1">
      <alignment vertical="center"/>
    </xf>
    <xf numFmtId="0" fontId="8" fillId="0" borderId="5" xfId="0" applyFont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 wrapText="1"/>
    </xf>
    <xf numFmtId="188" fontId="20" fillId="0" borderId="5" xfId="0" applyNumberFormat="1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/>
    <xf numFmtId="43" fontId="8" fillId="0" borderId="5" xfId="64" applyNumberFormat="1" applyFont="1" applyFill="1" applyBorder="1" applyAlignment="1">
      <alignment horizontal="justify" vertical="center"/>
    </xf>
    <xf numFmtId="0" fontId="8" fillId="0" borderId="5" xfId="53" applyFont="1" applyFill="1" applyBorder="1" applyAlignment="1">
      <alignment horizontal="center" vertical="center" wrapText="1"/>
    </xf>
    <xf numFmtId="0" fontId="8" fillId="0" borderId="5" xfId="53" applyFont="1" applyFill="1" applyBorder="1" applyAlignment="1">
      <alignment vertical="center" wrapText="1"/>
    </xf>
    <xf numFmtId="0" fontId="14" fillId="0" borderId="5" xfId="53" applyFont="1" applyFill="1" applyBorder="1" applyAlignment="1">
      <alignment horizontal="center" vertical="center" wrapText="1"/>
    </xf>
    <xf numFmtId="0" fontId="14" fillId="0" borderId="5" xfId="53" applyFont="1" applyFill="1" applyBorder="1" applyAlignment="1">
      <alignment vertical="center" wrapText="1"/>
    </xf>
    <xf numFmtId="43" fontId="14" fillId="0" borderId="5" xfId="64" applyNumberFormat="1" applyFont="1" applyFill="1" applyBorder="1" applyAlignment="1">
      <alignment horizontal="justify" vertical="center"/>
    </xf>
    <xf numFmtId="0" fontId="14" fillId="0" borderId="5" xfId="64" applyFont="1" applyFill="1" applyBorder="1" applyAlignment="1">
      <alignment horizontal="center" vertical="center"/>
    </xf>
    <xf numFmtId="0" fontId="14" fillId="0" borderId="5" xfId="64" applyFont="1" applyFill="1" applyBorder="1" applyAlignment="1">
      <alignment horizontal="justify" vertical="center"/>
    </xf>
    <xf numFmtId="0" fontId="8" fillId="0" borderId="5" xfId="64" applyFont="1" applyFill="1" applyBorder="1" applyAlignment="1">
      <alignment horizontal="center" vertical="center"/>
    </xf>
    <xf numFmtId="0" fontId="8" fillId="0" borderId="5" xfId="64" applyFont="1" applyFill="1" applyBorder="1" applyAlignment="1">
      <alignment horizontal="justify" vertical="center"/>
    </xf>
    <xf numFmtId="188" fontId="20" fillId="0" borderId="5" xfId="0" applyNumberFormat="1" applyFont="1" applyFill="1" applyBorder="1" applyAlignment="1">
      <alignment vertical="center"/>
    </xf>
    <xf numFmtId="0" fontId="8" fillId="3" borderId="0" xfId="0" applyFont="1" applyFill="1"/>
    <xf numFmtId="0" fontId="8" fillId="0" borderId="0" xfId="0" applyFont="1"/>
    <xf numFmtId="43" fontId="8" fillId="0" borderId="8" xfId="8" applyFont="1" applyFill="1" applyBorder="1" applyAlignment="1">
      <alignment horizontal="center" vertical="center"/>
    </xf>
    <xf numFmtId="43" fontId="21" fillId="0" borderId="8" xfId="8" applyFont="1" applyFill="1" applyBorder="1" applyAlignment="1">
      <alignment horizontal="center" vertical="center"/>
    </xf>
    <xf numFmtId="43" fontId="14" fillId="3" borderId="9" xfId="8" applyFont="1" applyFill="1" applyBorder="1" applyAlignment="1">
      <alignment horizontal="center" vertical="center" wrapText="1"/>
    </xf>
    <xf numFmtId="0" fontId="22" fillId="0" borderId="10" xfId="23" applyFont="1" applyFill="1" applyBorder="1" applyAlignment="1">
      <alignment horizontal="center" vertical="center"/>
    </xf>
    <xf numFmtId="0" fontId="22" fillId="0" borderId="10" xfId="83" applyFont="1" applyFill="1" applyBorder="1" applyAlignment="1">
      <alignment horizontal="center"/>
    </xf>
    <xf numFmtId="43" fontId="8" fillId="3" borderId="11" xfId="8" applyFont="1" applyFill="1" applyBorder="1" applyAlignment="1"/>
    <xf numFmtId="43" fontId="8" fillId="3" borderId="12" xfId="8" applyFont="1" applyFill="1" applyBorder="1" applyAlignment="1"/>
    <xf numFmtId="188" fontId="3" fillId="0" borderId="5" xfId="8" applyNumberFormat="1" applyFont="1" applyFill="1" applyBorder="1" applyAlignment="1">
      <alignment vertical="center"/>
    </xf>
    <xf numFmtId="43" fontId="14" fillId="3" borderId="11" xfId="8" applyFont="1" applyFill="1" applyBorder="1" applyAlignment="1"/>
    <xf numFmtId="188" fontId="22" fillId="0" borderId="5" xfId="8" applyNumberFormat="1" applyFont="1" applyFill="1" applyBorder="1" applyAlignment="1">
      <alignment vertical="center"/>
    </xf>
    <xf numFmtId="191" fontId="8" fillId="3" borderId="11" xfId="79" applyNumberFormat="1" applyFont="1" applyFill="1" applyBorder="1">
      <alignment vertical="center"/>
    </xf>
    <xf numFmtId="191" fontId="8" fillId="3" borderId="12" xfId="79" applyNumberFormat="1" applyFont="1" applyFill="1" applyBorder="1">
      <alignment vertical="center"/>
    </xf>
    <xf numFmtId="191" fontId="3" fillId="3" borderId="11" xfId="79" applyNumberFormat="1" applyFont="1" applyFill="1" applyBorder="1">
      <alignment vertical="center"/>
    </xf>
    <xf numFmtId="191" fontId="3" fillId="3" borderId="12" xfId="79" applyNumberFormat="1" applyFont="1" applyFill="1" applyBorder="1">
      <alignment vertical="center"/>
    </xf>
    <xf numFmtId="191" fontId="8" fillId="3" borderId="11" xfId="79" applyNumberFormat="1" applyFont="1" applyFill="1" applyBorder="1" applyAlignment="1">
      <alignment horizontal="center" vertical="center"/>
    </xf>
    <xf numFmtId="188" fontId="8" fillId="3" borderId="12" xfId="79" applyNumberFormat="1" applyFont="1" applyFill="1" applyBorder="1" applyAlignment="1">
      <alignment horizontal="right" vertical="center"/>
    </xf>
    <xf numFmtId="191" fontId="8" fillId="3" borderId="13" xfId="79" applyNumberFormat="1" applyFont="1" applyFill="1" applyBorder="1">
      <alignment vertical="center"/>
    </xf>
    <xf numFmtId="191" fontId="8" fillId="3" borderId="14" xfId="79" applyNumberFormat="1" applyFont="1" applyFill="1" applyBorder="1">
      <alignment vertical="center"/>
    </xf>
    <xf numFmtId="188" fontId="3" fillId="0" borderId="15" xfId="8" applyNumberFormat="1" applyFont="1" applyFill="1" applyBorder="1" applyAlignment="1">
      <alignment vertical="center"/>
    </xf>
    <xf numFmtId="191" fontId="14" fillId="3" borderId="16" xfId="79" applyNumberFormat="1" applyFont="1" applyFill="1" applyBorder="1">
      <alignment vertical="center"/>
    </xf>
    <xf numFmtId="191" fontId="14" fillId="3" borderId="17" xfId="79" applyNumberFormat="1" applyFont="1" applyFill="1" applyBorder="1">
      <alignment vertical="center"/>
    </xf>
    <xf numFmtId="188" fontId="22" fillId="0" borderId="18" xfId="8" applyNumberFormat="1" applyFont="1" applyFill="1" applyBorder="1" applyAlignment="1">
      <alignment vertical="center"/>
    </xf>
    <xf numFmtId="186" fontId="23" fillId="0" borderId="5" xfId="8" applyNumberFormat="1" applyFont="1" applyFill="1" applyBorder="1" applyAlignment="1">
      <alignment vertical="center"/>
    </xf>
    <xf numFmtId="186" fontId="21" fillId="0" borderId="5" xfId="8" applyNumberFormat="1" applyFont="1" applyFill="1" applyBorder="1" applyAlignment="1">
      <alignment vertical="center"/>
    </xf>
    <xf numFmtId="186" fontId="23" fillId="3" borderId="5" xfId="8" applyNumberFormat="1" applyFont="1" applyFill="1" applyBorder="1" applyAlignment="1">
      <alignment vertical="center"/>
    </xf>
    <xf numFmtId="185" fontId="23" fillId="0" borderId="5" xfId="8" applyNumberFormat="1" applyFont="1" applyFill="1" applyBorder="1" applyAlignment="1">
      <alignment vertical="center"/>
    </xf>
    <xf numFmtId="185" fontId="23" fillId="0" borderId="15" xfId="8" applyNumberFormat="1" applyFont="1" applyFill="1" applyBorder="1" applyAlignment="1">
      <alignment vertical="center"/>
    </xf>
    <xf numFmtId="185" fontId="21" fillId="0" borderId="18" xfId="8" applyNumberFormat="1" applyFont="1" applyFill="1" applyBorder="1" applyAlignment="1">
      <alignment vertical="center"/>
    </xf>
    <xf numFmtId="0" fontId="8" fillId="4" borderId="0" xfId="0" applyFont="1" applyFill="1"/>
    <xf numFmtId="9" fontId="8" fillId="0" borderId="0" xfId="0" applyNumberFormat="1" applyFont="1"/>
    <xf numFmtId="191" fontId="3" fillId="4" borderId="11" xfId="79" applyNumberFormat="1" applyFont="1" applyFill="1" applyBorder="1">
      <alignment vertical="center"/>
    </xf>
    <xf numFmtId="188" fontId="3" fillId="4" borderId="5" xfId="8" applyNumberFormat="1" applyFont="1" applyFill="1" applyBorder="1" applyAlignment="1">
      <alignment vertical="center"/>
    </xf>
    <xf numFmtId="9" fontId="8" fillId="4" borderId="0" xfId="0" applyNumberFormat="1" applyFont="1" applyFill="1"/>
    <xf numFmtId="9" fontId="8" fillId="3" borderId="0" xfId="0" applyNumberFormat="1" applyFont="1" applyFill="1"/>
    <xf numFmtId="0" fontId="24" fillId="0" borderId="0" xfId="0" applyFont="1" applyFill="1" applyAlignment="1"/>
    <xf numFmtId="0" fontId="25" fillId="0" borderId="5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left" vertical="center" wrapText="1"/>
    </xf>
    <xf numFmtId="43" fontId="25" fillId="0" borderId="5" xfId="0" applyNumberFormat="1" applyFont="1" applyFill="1" applyBorder="1" applyAlignment="1">
      <alignment horizontal="center" vertical="center" wrapText="1"/>
    </xf>
    <xf numFmtId="43" fontId="25" fillId="0" borderId="5" xfId="0" applyNumberFormat="1" applyFont="1" applyFill="1" applyBorder="1" applyAlignment="1">
      <alignment horizontal="center" wrapText="1"/>
    </xf>
    <xf numFmtId="43" fontId="25" fillId="5" borderId="5" xfId="0" applyNumberFormat="1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left" wrapText="1"/>
    </xf>
    <xf numFmtId="0" fontId="24" fillId="0" borderId="0" xfId="0" applyFont="1" applyFill="1" applyAlignment="1">
      <alignment horizontal="left"/>
    </xf>
    <xf numFmtId="0" fontId="13" fillId="6" borderId="0" xfId="0" applyFont="1" applyFill="1" applyAlignment="1">
      <alignment horizontal="left" vertical="center"/>
    </xf>
    <xf numFmtId="0" fontId="5" fillId="0" borderId="0" xfId="0" applyFont="1"/>
    <xf numFmtId="0" fontId="5" fillId="7" borderId="0" xfId="0" applyFont="1" applyFill="1"/>
    <xf numFmtId="0" fontId="26" fillId="0" borderId="0" xfId="0" applyFont="1"/>
    <xf numFmtId="0" fontId="7" fillId="0" borderId="19" xfId="0" applyFont="1" applyFill="1" applyBorder="1"/>
    <xf numFmtId="0" fontId="7" fillId="0" borderId="0" xfId="0" applyFont="1"/>
    <xf numFmtId="0" fontId="13" fillId="0" borderId="5" xfId="0" applyFont="1" applyFill="1" applyBorder="1" applyAlignment="1">
      <alignment horizontal="left" vertical="center"/>
    </xf>
    <xf numFmtId="185" fontId="15" fillId="6" borderId="5" xfId="0" applyNumberFormat="1" applyFont="1" applyFill="1" applyBorder="1" applyAlignment="1">
      <alignment horizontal="center" vertical="center"/>
    </xf>
    <xf numFmtId="38" fontId="27" fillId="0" borderId="5" xfId="0" applyNumberFormat="1" applyFont="1" applyFill="1" applyBorder="1" applyAlignment="1"/>
    <xf numFmtId="185" fontId="28" fillId="6" borderId="5" xfId="74" applyNumberFormat="1" applyFont="1" applyFill="1" applyBorder="1" applyAlignment="1"/>
    <xf numFmtId="0" fontId="16" fillId="0" borderId="5" xfId="0" applyFont="1" applyFill="1" applyBorder="1" applyAlignment="1"/>
    <xf numFmtId="0" fontId="16" fillId="7" borderId="5" xfId="0" applyFont="1" applyFill="1" applyBorder="1" applyAlignment="1"/>
    <xf numFmtId="185" fontId="28" fillId="7" borderId="5" xfId="74" applyNumberFormat="1" applyFont="1" applyFill="1" applyBorder="1" applyAlignment="1"/>
    <xf numFmtId="185" fontId="28" fillId="0" borderId="5" xfId="74" applyNumberFormat="1" applyFont="1" applyFill="1" applyBorder="1" applyAlignment="1"/>
    <xf numFmtId="0" fontId="5" fillId="0" borderId="19" xfId="0" applyFont="1" applyFill="1" applyBorder="1"/>
    <xf numFmtId="38" fontId="29" fillId="0" borderId="5" xfId="0" applyNumberFormat="1" applyFont="1" applyFill="1" applyBorder="1" applyAlignment="1"/>
    <xf numFmtId="0" fontId="27" fillId="0" borderId="5" xfId="0" applyFont="1" applyFill="1" applyBorder="1" applyAlignment="1"/>
    <xf numFmtId="0" fontId="29" fillId="0" borderId="5" xfId="0" applyFont="1" applyFill="1" applyBorder="1" applyAlignment="1"/>
    <xf numFmtId="185" fontId="28" fillId="3" borderId="5" xfId="74" applyNumberFormat="1" applyFont="1" applyFill="1" applyBorder="1" applyAlignment="1"/>
    <xf numFmtId="9" fontId="7" fillId="0" borderId="0" xfId="0" applyNumberFormat="1" applyFont="1" applyFill="1" applyBorder="1"/>
    <xf numFmtId="0" fontId="4" fillId="0" borderId="0" xfId="0" applyFont="1" applyAlignment="1">
      <alignment vertical="center"/>
    </xf>
    <xf numFmtId="185" fontId="0" fillId="0" borderId="0" xfId="0" applyNumberFormat="1"/>
    <xf numFmtId="0" fontId="0" fillId="0" borderId="0" xfId="0" applyFont="1"/>
    <xf numFmtId="185" fontId="0" fillId="5" borderId="0" xfId="0" applyNumberFormat="1" applyFill="1"/>
    <xf numFmtId="185" fontId="0" fillId="3" borderId="0" xfId="0" applyNumberFormat="1" applyFill="1"/>
    <xf numFmtId="0" fontId="0" fillId="3" borderId="0" xfId="0" applyFont="1" applyFill="1" applyBorder="1"/>
    <xf numFmtId="0" fontId="0" fillId="5" borderId="0" xfId="0" applyFont="1" applyFill="1"/>
    <xf numFmtId="0" fontId="0" fillId="3" borderId="0" xfId="0" applyFill="1"/>
    <xf numFmtId="0" fontId="0" fillId="5" borderId="0" xfId="0" applyFill="1"/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right" vertical="center" wrapText="1"/>
    </xf>
    <xf numFmtId="0" fontId="30" fillId="0" borderId="20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0" fillId="0" borderId="5" xfId="0" applyFont="1" applyFill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right" vertical="center" wrapText="1"/>
    </xf>
    <xf numFmtId="0" fontId="0" fillId="0" borderId="22" xfId="0" applyBorder="1"/>
    <xf numFmtId="0" fontId="0" fillId="0" borderId="23" xfId="0" applyBorder="1"/>
    <xf numFmtId="10" fontId="0" fillId="0" borderId="5" xfId="0" applyNumberFormat="1" applyBorder="1"/>
    <xf numFmtId="0" fontId="32" fillId="0" borderId="0" xfId="0" applyFont="1"/>
    <xf numFmtId="0" fontId="8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center" vertical="center" wrapText="1"/>
    </xf>
    <xf numFmtId="0" fontId="33" fillId="0" borderId="0" xfId="0" applyFont="1"/>
    <xf numFmtId="10" fontId="33" fillId="0" borderId="0" xfId="0" applyNumberFormat="1" applyFont="1"/>
    <xf numFmtId="10" fontId="31" fillId="0" borderId="4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9" fontId="31" fillId="0" borderId="4" xfId="0" applyNumberFormat="1" applyFont="1" applyBorder="1" applyAlignment="1">
      <alignment horizontal="right" vertical="center" wrapText="1"/>
    </xf>
    <xf numFmtId="192" fontId="31" fillId="0" borderId="4" xfId="0" applyNumberFormat="1" applyFont="1" applyBorder="1" applyAlignment="1">
      <alignment horizontal="right" vertical="center" wrapText="1"/>
    </xf>
    <xf numFmtId="9" fontId="0" fillId="0" borderId="0" xfId="11" applyFont="1"/>
    <xf numFmtId="9" fontId="31" fillId="0" borderId="21" xfId="0" applyNumberFormat="1" applyFont="1" applyBorder="1" applyAlignment="1">
      <alignment horizontal="right" vertical="center" wrapText="1"/>
    </xf>
    <xf numFmtId="192" fontId="31" fillId="0" borderId="1" xfId="0" applyNumberFormat="1" applyFont="1" applyBorder="1" applyAlignment="1">
      <alignment horizontal="right" vertical="center" wrapText="1"/>
    </xf>
    <xf numFmtId="10" fontId="31" fillId="0" borderId="2" xfId="0" applyNumberFormat="1" applyFont="1" applyBorder="1" applyAlignment="1">
      <alignment horizontal="right" vertical="center" wrapText="1"/>
    </xf>
    <xf numFmtId="192" fontId="31" fillId="0" borderId="0" xfId="0" applyNumberFormat="1" applyFont="1" applyBorder="1" applyAlignment="1">
      <alignment horizontal="right" vertical="center" wrapText="1"/>
    </xf>
    <xf numFmtId="9" fontId="31" fillId="0" borderId="24" xfId="0" applyNumberFormat="1" applyFont="1" applyBorder="1" applyAlignment="1">
      <alignment horizontal="right" vertical="center" wrapText="1"/>
    </xf>
    <xf numFmtId="192" fontId="31" fillId="0" borderId="3" xfId="0" applyNumberFormat="1" applyFont="1" applyBorder="1" applyAlignment="1">
      <alignment horizontal="right" vertical="center" wrapText="1"/>
    </xf>
    <xf numFmtId="0" fontId="0" fillId="0" borderId="25" xfId="0" applyBorder="1"/>
    <xf numFmtId="192" fontId="31" fillId="0" borderId="25" xfId="0" applyNumberFormat="1" applyFont="1" applyBorder="1" applyAlignment="1">
      <alignment horizontal="right" vertical="center" wrapText="1"/>
    </xf>
    <xf numFmtId="0" fontId="34" fillId="0" borderId="0" xfId="0" applyFont="1"/>
    <xf numFmtId="188" fontId="0" fillId="0" borderId="0" xfId="0" applyNumberFormat="1" applyFont="1"/>
    <xf numFmtId="0" fontId="6" fillId="0" borderId="0" xfId="0" applyFont="1" applyFill="1" applyAlignment="1" applyProtection="1">
      <alignment vertical="center"/>
      <protection hidden="1"/>
    </xf>
    <xf numFmtId="0" fontId="0" fillId="0" borderId="0" xfId="0" applyFont="1" applyAlignment="1">
      <alignment vertical="center"/>
    </xf>
    <xf numFmtId="186" fontId="4" fillId="0" borderId="0" xfId="0" applyNumberFormat="1" applyFont="1" applyAlignment="1">
      <alignment vertical="center"/>
    </xf>
    <xf numFmtId="0" fontId="35" fillId="0" borderId="0" xfId="0" applyFont="1" applyFill="1" applyAlignment="1" applyProtection="1">
      <alignment horizontal="centerContinuous" vertical="center"/>
      <protection hidden="1"/>
    </xf>
    <xf numFmtId="0" fontId="6" fillId="0" borderId="0" xfId="0" applyFont="1" applyFill="1" applyAlignment="1" applyProtection="1">
      <alignment horizontal="centerContinuous" vertical="center"/>
      <protection hidden="1"/>
    </xf>
    <xf numFmtId="0" fontId="36" fillId="6" borderId="0" xfId="0" applyFont="1" applyFill="1" applyBorder="1" applyAlignment="1" applyProtection="1">
      <alignment vertical="center"/>
      <protection hidden="1"/>
    </xf>
    <xf numFmtId="0" fontId="37" fillId="0" borderId="0" xfId="0" applyFont="1" applyFill="1" applyBorder="1" applyAlignment="1" applyProtection="1">
      <alignment vertical="center"/>
      <protection hidden="1"/>
    </xf>
    <xf numFmtId="0" fontId="38" fillId="0" borderId="0" xfId="0" applyFont="1" applyFill="1" applyAlignment="1" applyProtection="1">
      <alignment vertical="center"/>
      <protection hidden="1"/>
    </xf>
    <xf numFmtId="0" fontId="39" fillId="0" borderId="0" xfId="0" applyFont="1" applyFill="1" applyAlignment="1" applyProtection="1">
      <alignment vertical="center"/>
      <protection hidden="1"/>
    </xf>
    <xf numFmtId="0" fontId="40" fillId="0" borderId="26" xfId="0" applyFont="1" applyBorder="1" applyAlignment="1">
      <alignment horizontal="center" vertical="center"/>
    </xf>
    <xf numFmtId="0" fontId="41" fillId="0" borderId="27" xfId="0" applyFont="1" applyFill="1" applyBorder="1" applyAlignment="1" applyProtection="1">
      <alignment horizontal="center" vertical="center"/>
      <protection locked="0"/>
    </xf>
    <xf numFmtId="185" fontId="42" fillId="0" borderId="28" xfId="0" applyNumberFormat="1" applyFont="1" applyFill="1" applyBorder="1" applyAlignment="1" applyProtection="1">
      <alignment horizontal="right" vertical="center" shrinkToFit="1"/>
    </xf>
    <xf numFmtId="0" fontId="43" fillId="0" borderId="29" xfId="0" applyFont="1" applyFill="1" applyBorder="1" applyAlignment="1" applyProtection="1">
      <alignment horizontal="left" vertical="center"/>
      <protection locked="0"/>
    </xf>
    <xf numFmtId="185" fontId="44" fillId="0" borderId="30" xfId="8" applyNumberFormat="1" applyFont="1" applyBorder="1" applyAlignment="1">
      <alignment vertical="center" shrinkToFit="1"/>
    </xf>
    <xf numFmtId="0" fontId="45" fillId="0" borderId="29" xfId="0" applyFont="1" applyFill="1" applyBorder="1" applyAlignment="1" applyProtection="1">
      <alignment horizontal="left" vertical="center"/>
      <protection locked="0"/>
    </xf>
    <xf numFmtId="0" fontId="41" fillId="0" borderId="29" xfId="0" applyFont="1" applyFill="1" applyBorder="1" applyAlignment="1" applyProtection="1">
      <alignment horizontal="left" vertical="center"/>
      <protection locked="0"/>
    </xf>
    <xf numFmtId="185" fontId="42" fillId="0" borderId="30" xfId="0" applyNumberFormat="1" applyFont="1" applyFill="1" applyBorder="1" applyAlignment="1" applyProtection="1">
      <alignment horizontal="right" vertical="center" shrinkToFit="1"/>
    </xf>
    <xf numFmtId="0" fontId="41" fillId="0" borderId="29" xfId="0" applyFont="1" applyFill="1" applyBorder="1" applyAlignment="1" applyProtection="1">
      <alignment horizontal="center" vertical="center"/>
      <protection locked="0"/>
    </xf>
    <xf numFmtId="0" fontId="43" fillId="0" borderId="31" xfId="0" applyFont="1" applyFill="1" applyBorder="1" applyAlignment="1" applyProtection="1">
      <alignment horizontal="center" vertical="center"/>
      <protection locked="0"/>
    </xf>
    <xf numFmtId="185" fontId="45" fillId="0" borderId="32" xfId="0" applyNumberFormat="1" applyFont="1" applyFill="1" applyBorder="1" applyAlignment="1" applyProtection="1">
      <alignment horizontal="right" vertical="center" shrinkToFit="1"/>
      <protection locked="0"/>
    </xf>
    <xf numFmtId="0" fontId="43" fillId="0" borderId="27" xfId="0" applyFont="1" applyFill="1" applyBorder="1" applyAlignment="1" applyProtection="1">
      <alignment horizontal="center" vertical="center" wrapText="1"/>
      <protection locked="0"/>
    </xf>
    <xf numFmtId="185" fontId="45" fillId="0" borderId="28" xfId="0" applyNumberFormat="1" applyFont="1" applyFill="1" applyBorder="1" applyAlignment="1" applyProtection="1">
      <alignment horizontal="right" vertical="center" shrinkToFit="1"/>
      <protection locked="0"/>
    </xf>
    <xf numFmtId="185" fontId="42" fillId="0" borderId="30" xfId="0" applyNumberFormat="1" applyFont="1" applyFill="1" applyBorder="1" applyAlignment="1" applyProtection="1">
      <alignment horizontal="right" vertical="center" shrinkToFit="1"/>
      <protection locked="0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185" fontId="4" fillId="0" borderId="0" xfId="0" applyNumberFormat="1" applyFont="1" applyAlignment="1">
      <alignment vertical="center"/>
    </xf>
    <xf numFmtId="0" fontId="46" fillId="6" borderId="5" xfId="0" applyFont="1" applyFill="1" applyBorder="1" applyAlignment="1">
      <alignment horizontal="center" vertical="center" wrapText="1"/>
    </xf>
    <xf numFmtId="0" fontId="47" fillId="6" borderId="5" xfId="0" applyFont="1" applyFill="1" applyBorder="1" applyAlignment="1">
      <alignment horizontal="left" vertical="center"/>
    </xf>
    <xf numFmtId="185" fontId="48" fillId="6" borderId="5" xfId="0" applyNumberFormat="1" applyFont="1" applyFill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48" fillId="6" borderId="5" xfId="0" applyFont="1" applyFill="1" applyBorder="1" applyAlignment="1">
      <alignment horizontal="right" vertical="center"/>
    </xf>
    <xf numFmtId="0" fontId="49" fillId="6" borderId="5" xfId="0" applyFont="1" applyFill="1" applyBorder="1" applyAlignment="1">
      <alignment horizontal="center" vertical="center"/>
    </xf>
    <xf numFmtId="185" fontId="50" fillId="6" borderId="5" xfId="0" applyNumberFormat="1" applyFont="1" applyFill="1" applyBorder="1" applyAlignment="1">
      <alignment horizontal="right" vertical="center"/>
    </xf>
    <xf numFmtId="185" fontId="4" fillId="8" borderId="0" xfId="0" applyNumberFormat="1" applyFont="1" applyFill="1" applyAlignment="1">
      <alignment vertical="center"/>
    </xf>
    <xf numFmtId="0" fontId="4" fillId="0" borderId="0" xfId="0" applyFont="1" applyBorder="1" applyAlignment="1">
      <alignment vertical="center"/>
    </xf>
    <xf numFmtId="185" fontId="48" fillId="6" borderId="0" xfId="0" applyNumberFormat="1" applyFont="1" applyFill="1" applyBorder="1" applyAlignment="1">
      <alignment horizontal="right" vertical="center"/>
    </xf>
    <xf numFmtId="4" fontId="51" fillId="0" borderId="0" xfId="0" applyNumberFormat="1" applyFont="1"/>
    <xf numFmtId="186" fontId="6" fillId="0" borderId="0" xfId="0" applyNumberFormat="1" applyFont="1" applyFill="1" applyAlignment="1" applyProtection="1">
      <alignment vertical="center"/>
      <protection hidden="1"/>
    </xf>
    <xf numFmtId="0" fontId="4" fillId="0" borderId="5" xfId="0" applyFont="1" applyBorder="1"/>
    <xf numFmtId="0" fontId="4" fillId="0" borderId="5" xfId="0" applyFont="1" applyFill="1" applyBorder="1"/>
    <xf numFmtId="0" fontId="52" fillId="0" borderId="0" xfId="0" applyFont="1" applyAlignment="1">
      <alignment vertical="center"/>
    </xf>
    <xf numFmtId="0" fontId="0" fillId="0" borderId="0" xfId="0" applyFont="1" applyAlignment="1"/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0" xfId="0" applyFont="1" applyBorder="1" applyAlignment="1">
      <alignment horizontal="left" vertical="center"/>
    </xf>
    <xf numFmtId="0" fontId="52" fillId="0" borderId="9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right" vertical="center"/>
    </xf>
    <xf numFmtId="0" fontId="52" fillId="0" borderId="11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left" vertical="center" wrapText="1"/>
    </xf>
    <xf numFmtId="43" fontId="56" fillId="0" borderId="5" xfId="8" applyNumberFormat="1" applyFont="1" applyBorder="1" applyAlignment="1">
      <alignment horizontal="center" vertical="center" wrapText="1"/>
    </xf>
    <xf numFmtId="0" fontId="52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/>
    </xf>
    <xf numFmtId="43" fontId="56" fillId="0" borderId="15" xfId="8" applyNumberFormat="1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 vertical="center" wrapText="1"/>
    </xf>
    <xf numFmtId="0" fontId="56" fillId="0" borderId="18" xfId="0" applyFont="1" applyBorder="1" applyAlignment="1">
      <alignment horizontal="center" vertical="center" wrapText="1"/>
    </xf>
    <xf numFmtId="43" fontId="56" fillId="0" borderId="18" xfId="8" applyNumberFormat="1" applyFont="1" applyBorder="1" applyAlignment="1">
      <alignment horizontal="center" vertical="center" wrapText="1"/>
    </xf>
    <xf numFmtId="0" fontId="52" fillId="0" borderId="0" xfId="0" applyFont="1" applyAlignment="1">
      <alignment horizontal="right" vertical="center"/>
    </xf>
    <xf numFmtId="0" fontId="57" fillId="0" borderId="0" xfId="0" applyFont="1" applyAlignment="1">
      <alignment vertical="center"/>
    </xf>
    <xf numFmtId="192" fontId="0" fillId="9" borderId="33" xfId="0" applyNumberFormat="1" applyFill="1" applyBorder="1" applyAlignment="1"/>
    <xf numFmtId="0" fontId="58" fillId="0" borderId="0" xfId="0" applyFont="1" applyAlignment="1">
      <alignment vertical="center"/>
    </xf>
    <xf numFmtId="0" fontId="52" fillId="0" borderId="34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10" fontId="52" fillId="0" borderId="35" xfId="0" applyNumberFormat="1" applyFont="1" applyBorder="1" applyAlignment="1">
      <alignment vertical="center" wrapText="1"/>
    </xf>
    <xf numFmtId="10" fontId="52" fillId="0" borderId="35" xfId="0" applyNumberFormat="1" applyFont="1" applyBorder="1" applyAlignment="1">
      <alignment horizontal="center" vertical="center" wrapText="1"/>
    </xf>
    <xf numFmtId="10" fontId="52" fillId="0" borderId="0" xfId="0" applyNumberFormat="1" applyFont="1" applyAlignment="1">
      <alignment vertical="center"/>
    </xf>
    <xf numFmtId="10" fontId="52" fillId="0" borderId="36" xfId="0" applyNumberFormat="1" applyFont="1" applyBorder="1" applyAlignment="1">
      <alignment vertical="center" wrapText="1"/>
    </xf>
    <xf numFmtId="0" fontId="52" fillId="0" borderId="33" xfId="0" applyFont="1" applyBorder="1" applyAlignment="1">
      <alignment vertical="center" wrapText="1"/>
    </xf>
    <xf numFmtId="0" fontId="59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49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60" fillId="0" borderId="0" xfId="0" applyFont="1" applyFill="1" applyAlignment="1" applyProtection="1">
      <alignment horizontal="center" vertical="center"/>
    </xf>
    <xf numFmtId="49" fontId="4" fillId="0" borderId="0" xfId="0" applyNumberFormat="1" applyFont="1" applyFill="1" applyAlignment="1" applyProtection="1">
      <alignment horizontal="center" vertical="center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Font="1" applyFill="1" applyBorder="1" applyAlignment="1" applyProtection="1">
      <alignment horizontal="center" vertical="center" wrapText="1"/>
    </xf>
    <xf numFmtId="0" fontId="8" fillId="0" borderId="5" xfId="0" applyFont="1" applyFill="1" applyBorder="1" applyAlignment="1" applyProtection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61" fillId="0" borderId="5" xfId="0" applyNumberFormat="1" applyFont="1" applyFill="1" applyBorder="1" applyAlignment="1" applyProtection="1">
      <alignment horizontal="right" vertical="center"/>
    </xf>
    <xf numFmtId="0" fontId="8" fillId="0" borderId="5" xfId="0" applyFont="1" applyFill="1" applyBorder="1" applyAlignment="1" applyProtection="1">
      <alignment horizontal="left" vertical="center"/>
    </xf>
    <xf numFmtId="193" fontId="0" fillId="0" borderId="5" xfId="0" applyNumberFormat="1" applyFont="1" applyFill="1" applyBorder="1" applyAlignment="1">
      <alignment horizontal="right" vertical="center"/>
    </xf>
    <xf numFmtId="0" fontId="4" fillId="0" borderId="5" xfId="0" applyFont="1" applyFill="1" applyBorder="1" applyAlignment="1">
      <alignment vertical="center"/>
    </xf>
    <xf numFmtId="189" fontId="62" fillId="0" borderId="5" xfId="53" applyNumberFormat="1" applyFont="1" applyFill="1" applyBorder="1" applyAlignment="1">
      <alignment horizontal="right" vertical="center"/>
    </xf>
    <xf numFmtId="49" fontId="61" fillId="0" borderId="5" xfId="0" applyNumberFormat="1" applyFont="1" applyFill="1" applyBorder="1" applyAlignment="1" applyProtection="1">
      <alignment horizontal="center" vertical="center"/>
    </xf>
    <xf numFmtId="185" fontId="62" fillId="0" borderId="5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85" fontId="62" fillId="0" borderId="15" xfId="0" applyNumberFormat="1" applyFont="1" applyFill="1" applyBorder="1" applyAlignment="1">
      <alignment horizontal="right" vertical="center"/>
    </xf>
    <xf numFmtId="0" fontId="8" fillId="0" borderId="6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>
      <alignment vertical="center"/>
    </xf>
    <xf numFmtId="49" fontId="61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>
      <alignment vertical="center"/>
    </xf>
    <xf numFmtId="185" fontId="62" fillId="0" borderId="0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Alignment="1">
      <alignment vertical="center"/>
    </xf>
    <xf numFmtId="185" fontId="63" fillId="0" borderId="0" xfId="71" applyNumberFormat="1" applyFont="1" applyFill="1" applyBorder="1" applyAlignment="1">
      <alignment vertical="center"/>
    </xf>
    <xf numFmtId="185" fontId="63" fillId="0" borderId="0" xfId="74" applyNumberFormat="1" applyFont="1" applyFill="1" applyBorder="1" applyAlignment="1">
      <alignment horizontal="left" vertical="center"/>
    </xf>
    <xf numFmtId="185" fontId="63" fillId="0" borderId="0" xfId="74" applyNumberFormat="1" applyFont="1" applyFill="1" applyBorder="1" applyAlignment="1">
      <alignment horizontal="center" vertical="center"/>
    </xf>
    <xf numFmtId="185" fontId="63" fillId="0" borderId="0" xfId="74" applyNumberFormat="1" applyFont="1" applyFill="1" applyBorder="1" applyAlignment="1">
      <alignment horizontal="right" vertical="center"/>
    </xf>
    <xf numFmtId="185" fontId="61" fillId="0" borderId="5" xfId="71" applyNumberFormat="1" applyFont="1" applyFill="1" applyBorder="1" applyAlignment="1">
      <alignment vertical="center"/>
    </xf>
    <xf numFmtId="185" fontId="61" fillId="0" borderId="5" xfId="74" applyNumberFormat="1" applyFont="1" applyFill="1" applyBorder="1" applyAlignment="1">
      <alignment horizontal="left" vertical="center"/>
    </xf>
    <xf numFmtId="0" fontId="8" fillId="0" borderId="5" xfId="0" applyFont="1" applyBorder="1" applyAlignment="1">
      <alignment horizontal="justify"/>
    </xf>
    <xf numFmtId="185" fontId="11" fillId="0" borderId="5" xfId="74" applyNumberFormat="1" applyFont="1" applyFill="1" applyBorder="1" applyAlignment="1">
      <alignment horizontal="center" vertical="center"/>
    </xf>
    <xf numFmtId="185" fontId="15" fillId="0" borderId="5" xfId="0" applyNumberFormat="1" applyFont="1" applyFill="1" applyBorder="1" applyAlignment="1">
      <alignment horizontal="center" vertical="center"/>
    </xf>
    <xf numFmtId="185" fontId="11" fillId="0" borderId="5" xfId="71" applyNumberFormat="1" applyFont="1" applyFill="1" applyBorder="1" applyAlignment="1">
      <alignment vertical="center"/>
    </xf>
    <xf numFmtId="185" fontId="14" fillId="0" borderId="5" xfId="74" applyNumberFormat="1" applyFont="1" applyFill="1" applyBorder="1" applyAlignment="1">
      <alignment horizontal="left" vertical="center"/>
    </xf>
    <xf numFmtId="185" fontId="11" fillId="0" borderId="5" xfId="74" applyNumberFormat="1" applyFont="1" applyFill="1" applyBorder="1" applyAlignment="1">
      <alignment horizontal="right" vertical="center"/>
    </xf>
    <xf numFmtId="185" fontId="61" fillId="0" borderId="5" xfId="74" applyNumberFormat="1" applyFont="1" applyFill="1" applyBorder="1" applyAlignment="1">
      <alignment horizontal="center" vertical="center"/>
    </xf>
    <xf numFmtId="185" fontId="61" fillId="0" borderId="5" xfId="8" applyNumberFormat="1" applyFont="1" applyFill="1" applyBorder="1" applyAlignment="1">
      <alignment horizontal="right" vertical="center"/>
    </xf>
    <xf numFmtId="185" fontId="8" fillId="0" borderId="5" xfId="74" applyNumberFormat="1" applyFont="1" applyFill="1" applyBorder="1" applyAlignment="1">
      <alignment horizontal="left" vertical="center"/>
    </xf>
    <xf numFmtId="185" fontId="11" fillId="0" borderId="5" xfId="74" applyNumberFormat="1" applyFont="1" applyFill="1" applyBorder="1" applyAlignment="1">
      <alignment horizontal="left" vertical="center"/>
    </xf>
    <xf numFmtId="185" fontId="61" fillId="0" borderId="5" xfId="8" applyNumberFormat="1" applyFont="1" applyFill="1" applyBorder="1" applyAlignment="1">
      <alignment vertical="center"/>
    </xf>
    <xf numFmtId="185" fontId="14" fillId="3" borderId="5" xfId="74" applyNumberFormat="1" applyFont="1" applyFill="1" applyBorder="1" applyAlignment="1">
      <alignment horizontal="left" vertical="center"/>
    </xf>
    <xf numFmtId="185" fontId="64" fillId="0" borderId="5" xfId="74" applyNumberFormat="1" applyFont="1" applyFill="1" applyBorder="1" applyAlignment="1"/>
    <xf numFmtId="185" fontId="28" fillId="0" borderId="5" xfId="74" applyNumberFormat="1" applyFont="1" applyFill="1" applyBorder="1" applyAlignment="1">
      <alignment horizontal="right"/>
    </xf>
    <xf numFmtId="185" fontId="61" fillId="0" borderId="5" xfId="8" applyNumberFormat="1" applyFont="1" applyFill="1" applyBorder="1" applyAlignment="1">
      <alignment horizontal="center" vertical="center"/>
    </xf>
    <xf numFmtId="185" fontId="61" fillId="0" borderId="5" xfId="74" applyNumberFormat="1" applyFont="1" applyFill="1" applyBorder="1" applyAlignment="1">
      <alignment horizontal="right" vertical="center"/>
    </xf>
    <xf numFmtId="185" fontId="63" fillId="0" borderId="5" xfId="71" applyNumberFormat="1" applyFont="1" applyFill="1" applyBorder="1" applyAlignment="1">
      <alignment vertical="center"/>
    </xf>
    <xf numFmtId="185" fontId="11" fillId="0" borderId="37" xfId="74" applyNumberFormat="1" applyFont="1" applyFill="1" applyBorder="1" applyAlignment="1">
      <alignment horizontal="center" vertical="center"/>
    </xf>
    <xf numFmtId="185" fontId="14" fillId="0" borderId="12" xfId="74" applyNumberFormat="1" applyFont="1" applyFill="1" applyBorder="1" applyAlignment="1">
      <alignment vertical="center"/>
    </xf>
    <xf numFmtId="185" fontId="65" fillId="0" borderId="5" xfId="74" applyNumberFormat="1" applyFont="1" applyFill="1" applyBorder="1" applyAlignment="1">
      <alignment horizontal="right"/>
    </xf>
    <xf numFmtId="185" fontId="11" fillId="0" borderId="7" xfId="74" applyNumberFormat="1" applyFont="1" applyFill="1" applyBorder="1" applyAlignment="1">
      <alignment horizontal="center" vertical="center"/>
    </xf>
    <xf numFmtId="185" fontId="11" fillId="0" borderId="22" xfId="74" applyNumberFormat="1" applyFont="1" applyFill="1" applyBorder="1" applyAlignment="1">
      <alignment horizontal="center" vertical="center"/>
    </xf>
    <xf numFmtId="185" fontId="61" fillId="3" borderId="5" xfId="8" applyNumberFormat="1" applyFont="1" applyFill="1" applyBorder="1" applyAlignment="1">
      <alignment horizontal="right" vertical="center"/>
    </xf>
    <xf numFmtId="0" fontId="8" fillId="0" borderId="0" xfId="0" applyFont="1" applyAlignment="1"/>
    <xf numFmtId="0" fontId="4" fillId="0" borderId="0" xfId="0" applyFont="1" applyBorder="1" applyAlignment="1">
      <alignment horizontal="left" vertical="center"/>
    </xf>
    <xf numFmtId="0" fontId="56" fillId="0" borderId="9" xfId="0" applyFont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56" fillId="0" borderId="15" xfId="0" applyFont="1" applyBorder="1" applyAlignment="1">
      <alignment horizontal="center" vertical="center" wrapText="1"/>
    </xf>
    <xf numFmtId="0" fontId="56" fillId="0" borderId="13" xfId="0" applyFont="1" applyBorder="1" applyAlignment="1">
      <alignment horizontal="center" vertical="center" wrapText="1"/>
    </xf>
    <xf numFmtId="0" fontId="56" fillId="0" borderId="16" xfId="0" applyFont="1" applyBorder="1" applyAlignment="1">
      <alignment horizontal="center" vertical="center" wrapText="1"/>
    </xf>
    <xf numFmtId="0" fontId="56" fillId="0" borderId="18" xfId="0" applyFont="1" applyBorder="1" applyAlignment="1">
      <alignment horizontal="justify" vertical="center"/>
    </xf>
    <xf numFmtId="0" fontId="52" fillId="0" borderId="0" xfId="0" applyFont="1" applyBorder="1" applyAlignment="1">
      <alignment horizontal="justify"/>
    </xf>
    <xf numFmtId="0" fontId="0" fillId="0" borderId="0" xfId="0" applyFont="1" applyBorder="1" applyAlignment="1"/>
    <xf numFmtId="0" fontId="66" fillId="0" borderId="0" xfId="0" applyFont="1" applyBorder="1" applyAlignment="1"/>
    <xf numFmtId="0" fontId="8" fillId="0" borderId="5" xfId="0" applyFont="1" applyBorder="1" applyAlignment="1">
      <alignment horizontal="center"/>
    </xf>
    <xf numFmtId="0" fontId="8" fillId="0" borderId="25" xfId="0" applyFont="1" applyBorder="1" applyAlignment="1"/>
    <xf numFmtId="0" fontId="8" fillId="0" borderId="5" xfId="0" applyFont="1" applyBorder="1" applyAlignment="1"/>
    <xf numFmtId="0" fontId="33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52" fillId="0" borderId="0" xfId="0" applyFont="1" applyBorder="1" applyAlignment="1">
      <alignment horizontal="right" vertical="center"/>
    </xf>
    <xf numFmtId="0" fontId="0" fillId="0" borderId="0" xfId="0" applyFont="1" applyBorder="1" applyAlignment="1">
      <alignment vertical="center"/>
    </xf>
    <xf numFmtId="0" fontId="56" fillId="0" borderId="10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5" xfId="0" applyFont="1" applyBorder="1" applyAlignment="1">
      <alignment vertical="center"/>
    </xf>
    <xf numFmtId="43" fontId="56" fillId="0" borderId="5" xfId="8" applyFont="1" applyBorder="1" applyAlignment="1">
      <alignment horizontal="right" vertical="center" wrapText="1"/>
    </xf>
    <xf numFmtId="0" fontId="56" fillId="0" borderId="15" xfId="0" applyFont="1" applyBorder="1" applyAlignment="1">
      <alignment vertical="center"/>
    </xf>
    <xf numFmtId="43" fontId="56" fillId="0" borderId="15" xfId="8" applyFont="1" applyBorder="1" applyAlignment="1">
      <alignment horizontal="right" vertical="center" wrapText="1"/>
    </xf>
    <xf numFmtId="0" fontId="56" fillId="0" borderId="18" xfId="0" applyFont="1" applyBorder="1" applyAlignment="1">
      <alignment vertical="center"/>
    </xf>
    <xf numFmtId="43" fontId="56" fillId="0" borderId="18" xfId="8" applyFont="1" applyBorder="1" applyAlignment="1">
      <alignment horizontal="right" vertical="center" wrapText="1"/>
    </xf>
    <xf numFmtId="0" fontId="52" fillId="0" borderId="0" xfId="0" applyFont="1" applyBorder="1" applyAlignment="1">
      <alignment horizontal="left"/>
    </xf>
    <xf numFmtId="10" fontId="0" fillId="0" borderId="0" xfId="0" applyNumberFormat="1" applyFont="1" applyAlignment="1"/>
    <xf numFmtId="0" fontId="8" fillId="0" borderId="0" xfId="0" applyFont="1" applyFill="1" applyBorder="1" applyAlignment="1"/>
    <xf numFmtId="9" fontId="8" fillId="0" borderId="5" xfId="0" applyNumberFormat="1" applyFont="1" applyBorder="1" applyAlignment="1"/>
    <xf numFmtId="0" fontId="52" fillId="0" borderId="34" xfId="0" applyFont="1" applyBorder="1" applyAlignment="1">
      <alignment horizontal="center" vertical="center" wrapText="1"/>
    </xf>
    <xf numFmtId="0" fontId="52" fillId="0" borderId="35" xfId="0" applyFont="1" applyBorder="1" applyAlignment="1">
      <alignment horizontal="center" vertical="center" wrapText="1"/>
    </xf>
    <xf numFmtId="0" fontId="52" fillId="0" borderId="35" xfId="0" applyFont="1" applyBorder="1" applyAlignment="1">
      <alignment vertical="center"/>
    </xf>
    <xf numFmtId="9" fontId="52" fillId="0" borderId="35" xfId="0" applyNumberFormat="1" applyFont="1" applyBorder="1" applyAlignment="1">
      <alignment vertical="center"/>
    </xf>
    <xf numFmtId="9" fontId="52" fillId="0" borderId="36" xfId="0" applyNumberFormat="1" applyFont="1" applyBorder="1" applyAlignment="1">
      <alignment vertical="center"/>
    </xf>
    <xf numFmtId="0" fontId="52" fillId="0" borderId="33" xfId="0" applyFont="1" applyBorder="1" applyAlignment="1">
      <alignment vertical="center"/>
    </xf>
    <xf numFmtId="9" fontId="8" fillId="0" borderId="0" xfId="0" applyNumberFormat="1" applyFont="1" applyAlignment="1"/>
    <xf numFmtId="0" fontId="20" fillId="0" borderId="0" xfId="0" applyFont="1" applyFill="1" applyAlignment="1">
      <alignment vertical="center"/>
    </xf>
    <xf numFmtId="0" fontId="8" fillId="0" borderId="0" xfId="66" applyFont="1" applyFill="1" applyBorder="1" applyAlignment="1">
      <alignment vertical="center"/>
    </xf>
    <xf numFmtId="0" fontId="8" fillId="0" borderId="0" xfId="66" applyFont="1" applyFill="1" applyBorder="1" applyAlignment="1">
      <alignment horizontal="center" vertical="center"/>
    </xf>
    <xf numFmtId="0" fontId="14" fillId="0" borderId="0" xfId="66" applyFont="1" applyFill="1" applyAlignment="1">
      <alignment horizontal="center" vertical="center"/>
    </xf>
    <xf numFmtId="0" fontId="14" fillId="0" borderId="9" xfId="66" applyFont="1" applyFill="1" applyBorder="1" applyAlignment="1">
      <alignment vertical="center"/>
    </xf>
    <xf numFmtId="0" fontId="14" fillId="0" borderId="10" xfId="66" applyFont="1" applyFill="1" applyBorder="1" applyAlignment="1">
      <alignment horizontal="center" vertical="center"/>
    </xf>
    <xf numFmtId="0" fontId="14" fillId="0" borderId="34" xfId="66" applyFont="1" applyFill="1" applyBorder="1" applyAlignment="1">
      <alignment horizontal="center" vertical="center"/>
    </xf>
    <xf numFmtId="0" fontId="14" fillId="0" borderId="11" xfId="66" applyFont="1" applyFill="1" applyBorder="1" applyAlignment="1">
      <alignment vertical="center"/>
    </xf>
    <xf numFmtId="0" fontId="8" fillId="0" borderId="5" xfId="66" applyFont="1" applyFill="1" applyBorder="1" applyAlignment="1">
      <alignment horizontal="center" vertical="center"/>
    </xf>
    <xf numFmtId="0" fontId="14" fillId="0" borderId="35" xfId="66" applyFont="1" applyFill="1" applyBorder="1" applyAlignment="1">
      <alignment horizontal="center" vertical="center"/>
    </xf>
    <xf numFmtId="0" fontId="8" fillId="0" borderId="11" xfId="66" applyFont="1" applyFill="1" applyBorder="1" applyAlignment="1">
      <alignment vertical="center"/>
    </xf>
    <xf numFmtId="0" fontId="8" fillId="0" borderId="35" xfId="66" applyFont="1" applyFill="1" applyBorder="1" applyAlignment="1">
      <alignment horizontal="center" vertical="center"/>
    </xf>
    <xf numFmtId="0" fontId="67" fillId="0" borderId="11" xfId="66" applyFont="1" applyFill="1" applyBorder="1" applyAlignment="1">
      <alignment vertical="center"/>
    </xf>
    <xf numFmtId="0" fontId="67" fillId="0" borderId="5" xfId="66" applyFont="1" applyFill="1" applyBorder="1" applyAlignment="1">
      <alignment horizontal="center" vertical="center"/>
    </xf>
    <xf numFmtId="0" fontId="14" fillId="0" borderId="5" xfId="66" applyFont="1" applyFill="1" applyBorder="1" applyAlignment="1">
      <alignment horizontal="center" vertical="center"/>
    </xf>
    <xf numFmtId="185" fontId="8" fillId="0" borderId="5" xfId="66" applyNumberFormat="1" applyFont="1" applyFill="1" applyBorder="1" applyAlignment="1">
      <alignment horizontal="center" vertical="center"/>
    </xf>
    <xf numFmtId="185" fontId="8" fillId="0" borderId="35" xfId="66" applyNumberFormat="1" applyFont="1" applyFill="1" applyBorder="1" applyAlignment="1">
      <alignment horizontal="center" vertical="center"/>
    </xf>
    <xf numFmtId="188" fontId="14" fillId="0" borderId="5" xfId="66" applyNumberFormat="1" applyFont="1" applyFill="1" applyBorder="1" applyAlignment="1">
      <alignment horizontal="center" vertical="center"/>
    </xf>
    <xf numFmtId="188" fontId="14" fillId="0" borderId="35" xfId="66" applyNumberFormat="1" applyFont="1" applyFill="1" applyBorder="1" applyAlignment="1">
      <alignment horizontal="center" vertical="center"/>
    </xf>
    <xf numFmtId="188" fontId="8" fillId="0" borderId="5" xfId="66" applyNumberFormat="1" applyFont="1" applyFill="1" applyBorder="1" applyAlignment="1">
      <alignment horizontal="center" vertical="center"/>
    </xf>
    <xf numFmtId="188" fontId="8" fillId="0" borderId="35" xfId="66" applyNumberFormat="1" applyFont="1" applyFill="1" applyBorder="1" applyAlignment="1">
      <alignment horizontal="center" vertical="center"/>
    </xf>
    <xf numFmtId="188" fontId="8" fillId="0" borderId="0" xfId="66" applyNumberFormat="1" applyFont="1" applyFill="1" applyBorder="1" applyAlignment="1">
      <alignment horizontal="center" vertical="center"/>
    </xf>
    <xf numFmtId="9" fontId="8" fillId="0" borderId="0" xfId="66" applyNumberFormat="1" applyFont="1" applyFill="1" applyBorder="1" applyAlignment="1">
      <alignment vertical="center"/>
    </xf>
    <xf numFmtId="0" fontId="68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6" borderId="0" xfId="0" applyFill="1"/>
    <xf numFmtId="0" fontId="40" fillId="6" borderId="0" xfId="0" applyFont="1" applyFill="1"/>
    <xf numFmtId="0" fontId="4" fillId="6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69" fillId="6" borderId="8" xfId="80" applyFont="1" applyFill="1" applyBorder="1" applyAlignment="1">
      <alignment horizontal="center" vertical="center"/>
    </xf>
    <xf numFmtId="0" fontId="70" fillId="6" borderId="11" xfId="80" applyFont="1" applyFill="1" applyBorder="1" applyAlignment="1">
      <alignment horizontal="center" vertical="center"/>
    </xf>
    <xf numFmtId="0" fontId="70" fillId="6" borderId="5" xfId="80" applyFont="1" applyFill="1" applyBorder="1" applyAlignment="1">
      <alignment horizontal="center" vertical="center"/>
    </xf>
    <xf numFmtId="195" fontId="4" fillId="6" borderId="5" xfId="80" applyNumberFormat="1" applyFont="1" applyFill="1" applyBorder="1" applyAlignment="1">
      <alignment horizontal="center" vertical="center"/>
    </xf>
    <xf numFmtId="0" fontId="4" fillId="6" borderId="5" xfId="80" applyFont="1" applyFill="1" applyBorder="1" applyAlignment="1">
      <alignment horizontal="center" vertical="center"/>
    </xf>
    <xf numFmtId="195" fontId="70" fillId="6" borderId="5" xfId="80" applyNumberFormat="1" applyFont="1" applyFill="1" applyBorder="1" applyAlignment="1">
      <alignment horizontal="center" vertical="center"/>
    </xf>
    <xf numFmtId="191" fontId="4" fillId="6" borderId="5" xfId="80" applyNumberFormat="1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188" fontId="4" fillId="6" borderId="5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188" fontId="4" fillId="6" borderId="15" xfId="0" applyNumberFormat="1" applyFont="1" applyFill="1" applyBorder="1" applyAlignment="1">
      <alignment horizontal="center" vertical="center"/>
    </xf>
    <xf numFmtId="0" fontId="70" fillId="6" borderId="11" xfId="0" applyFont="1" applyFill="1" applyBorder="1" applyAlignment="1">
      <alignment horizontal="center" vertical="center"/>
    </xf>
    <xf numFmtId="0" fontId="70" fillId="6" borderId="5" xfId="0" applyFont="1" applyFill="1" applyBorder="1" applyAlignment="1">
      <alignment horizontal="center" vertical="center"/>
    </xf>
    <xf numFmtId="188" fontId="70" fillId="6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88" fontId="4" fillId="0" borderId="5" xfId="0" applyNumberFormat="1" applyFont="1" applyFill="1" applyBorder="1" applyAlignment="1">
      <alignment horizontal="center" vertical="center"/>
    </xf>
    <xf numFmtId="0" fontId="4" fillId="6" borderId="5" xfId="0" applyNumberFormat="1" applyFont="1" applyFill="1" applyBorder="1" applyAlignment="1">
      <alignment horizontal="center" vertical="center"/>
    </xf>
    <xf numFmtId="0" fontId="70" fillId="6" borderId="13" xfId="0" applyFont="1" applyFill="1" applyBorder="1" applyAlignment="1">
      <alignment horizontal="center" vertical="center"/>
    </xf>
    <xf numFmtId="0" fontId="70" fillId="6" borderId="15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196" fontId="4" fillId="6" borderId="18" xfId="0" applyNumberFormat="1" applyFont="1" applyFill="1" applyBorder="1" applyAlignment="1">
      <alignment horizontal="center" vertical="center"/>
    </xf>
    <xf numFmtId="188" fontId="4" fillId="6" borderId="18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0" fillId="6" borderId="0" xfId="0" applyFont="1" applyFill="1"/>
    <xf numFmtId="0" fontId="40" fillId="6" borderId="0" xfId="0" applyFont="1" applyFill="1" applyAlignment="1">
      <alignment horizontal="center"/>
    </xf>
    <xf numFmtId="0" fontId="71" fillId="6" borderId="0" xfId="0" applyFont="1" applyFill="1" applyBorder="1" applyAlignment="1">
      <alignment horizontal="center" vertical="center"/>
    </xf>
    <xf numFmtId="0" fontId="40" fillId="6" borderId="0" xfId="8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72" fillId="6" borderId="0" xfId="0" applyFont="1" applyFill="1" applyBorder="1" applyAlignment="1">
      <alignment horizontal="center" vertical="center"/>
    </xf>
    <xf numFmtId="0" fontId="4" fillId="6" borderId="0" xfId="80" applyNumberFormat="1" applyFont="1" applyFill="1" applyBorder="1" applyAlignment="1">
      <alignment horizontal="center" vertical="center"/>
    </xf>
    <xf numFmtId="0" fontId="73" fillId="0" borderId="0" xfId="0" applyFont="1" applyAlignment="1">
      <alignment horizontal="center"/>
    </xf>
    <xf numFmtId="191" fontId="70" fillId="6" borderId="5" xfId="80" applyNumberFormat="1" applyFont="1" applyFill="1" applyBorder="1" applyAlignment="1">
      <alignment horizontal="center" vertical="center" wrapText="1"/>
    </xf>
    <xf numFmtId="0" fontId="70" fillId="6" borderId="35" xfId="80" applyFont="1" applyFill="1" applyBorder="1" applyAlignment="1">
      <alignment horizontal="center" vertical="center"/>
    </xf>
    <xf numFmtId="188" fontId="4" fillId="6" borderId="35" xfId="0" applyNumberFormat="1" applyFont="1" applyFill="1" applyBorder="1" applyAlignment="1">
      <alignment horizontal="center" vertical="center"/>
    </xf>
    <xf numFmtId="188" fontId="70" fillId="6" borderId="35" xfId="0" applyNumberFormat="1" applyFont="1" applyFill="1" applyBorder="1" applyAlignment="1">
      <alignment horizontal="center" vertical="center"/>
    </xf>
    <xf numFmtId="0" fontId="70" fillId="6" borderId="0" xfId="0" applyFont="1" applyFill="1" applyAlignment="1">
      <alignment horizontal="center" vertical="center"/>
    </xf>
    <xf numFmtId="188" fontId="4" fillId="6" borderId="0" xfId="0" applyNumberFormat="1" applyFont="1" applyFill="1" applyAlignment="1">
      <alignment horizontal="center" vertical="center"/>
    </xf>
    <xf numFmtId="188" fontId="70" fillId="6" borderId="0" xfId="0" applyNumberFormat="1" applyFont="1" applyFill="1" applyAlignment="1">
      <alignment horizontal="center" vertical="center"/>
    </xf>
    <xf numFmtId="188" fontId="0" fillId="6" borderId="0" xfId="0" applyNumberFormat="1" applyFill="1"/>
    <xf numFmtId="191" fontId="40" fillId="6" borderId="0" xfId="80" applyNumberFormat="1" applyFont="1" applyFill="1" applyBorder="1" applyAlignment="1">
      <alignment vertical="center"/>
    </xf>
    <xf numFmtId="0" fontId="4" fillId="6" borderId="0" xfId="80" applyNumberFormat="1" applyFont="1" applyFill="1" applyBorder="1" applyAlignment="1">
      <alignment vertical="center"/>
    </xf>
    <xf numFmtId="41" fontId="4" fillId="6" borderId="0" xfId="80" applyNumberFormat="1" applyFont="1" applyFill="1" applyBorder="1" applyAlignment="1">
      <alignment horizontal="center" vertical="center"/>
    </xf>
    <xf numFmtId="191" fontId="74" fillId="0" borderId="0" xfId="0" applyNumberFormat="1" applyFont="1" applyFill="1" applyAlignment="1">
      <alignment horizontal="center" vertical="center"/>
    </xf>
    <xf numFmtId="188" fontId="0" fillId="0" borderId="0" xfId="0" applyNumberFormat="1"/>
    <xf numFmtId="43" fontId="75" fillId="0" borderId="0" xfId="90" applyFont="1" applyFill="1" applyAlignment="1">
      <alignment horizontal="center" vertical="center"/>
    </xf>
    <xf numFmtId="43" fontId="62" fillId="0" borderId="0" xfId="90" applyFont="1" applyFill="1" applyBorder="1" applyAlignment="1">
      <alignment horizontal="center" vertical="center"/>
    </xf>
    <xf numFmtId="43" fontId="62" fillId="3" borderId="0" xfId="90" applyFont="1" applyFill="1" applyAlignment="1">
      <alignment horizontal="center" vertical="center"/>
    </xf>
    <xf numFmtId="43" fontId="62" fillId="0" borderId="0" xfId="90" applyFont="1" applyFill="1" applyAlignment="1">
      <alignment horizontal="center" vertical="center"/>
    </xf>
    <xf numFmtId="43" fontId="62" fillId="0" borderId="0" xfId="90" applyFont="1" applyFill="1" applyAlignment="1">
      <alignment horizontal="center" vertical="center" wrapText="1"/>
    </xf>
    <xf numFmtId="43" fontId="75" fillId="0" borderId="0" xfId="90" applyFont="1" applyFill="1" applyAlignment="1">
      <alignment horizontal="center" vertical="center" wrapText="1"/>
    </xf>
    <xf numFmtId="43" fontId="76" fillId="0" borderId="0" xfId="90" applyFont="1" applyFill="1" applyBorder="1" applyAlignment="1">
      <alignment horizontal="center" vertical="center"/>
    </xf>
    <xf numFmtId="43" fontId="77" fillId="0" borderId="0" xfId="90" applyFont="1" applyFill="1" applyBorder="1" applyAlignment="1">
      <alignment horizontal="center" vertical="center"/>
    </xf>
    <xf numFmtId="43" fontId="62" fillId="0" borderId="0" xfId="90" applyFont="1" applyFill="1" applyBorder="1" applyAlignment="1">
      <alignment horizontal="left" vertical="center"/>
    </xf>
    <xf numFmtId="43" fontId="70" fillId="10" borderId="5" xfId="90" applyFont="1" applyFill="1" applyBorder="1" applyAlignment="1">
      <alignment horizontal="center" vertical="center" wrapText="1"/>
    </xf>
    <xf numFmtId="43" fontId="70" fillId="11" borderId="5" xfId="90" applyFont="1" applyFill="1" applyBorder="1" applyAlignment="1">
      <alignment horizontal="center" vertical="center"/>
    </xf>
    <xf numFmtId="43" fontId="77" fillId="11" borderId="5" xfId="90" applyFont="1" applyFill="1" applyBorder="1" applyAlignment="1">
      <alignment horizontal="center" vertical="center"/>
    </xf>
    <xf numFmtId="49" fontId="62" fillId="3" borderId="5" xfId="90" applyNumberFormat="1" applyFont="1" applyFill="1" applyBorder="1" applyAlignment="1">
      <alignment horizontal="center" vertical="center"/>
    </xf>
    <xf numFmtId="43" fontId="70" fillId="3" borderId="5" xfId="90" applyFont="1" applyFill="1" applyBorder="1" applyAlignment="1">
      <alignment horizontal="left" vertical="center" wrapText="1"/>
    </xf>
    <xf numFmtId="9" fontId="62" fillId="3" borderId="5" xfId="90" applyNumberFormat="1" applyFont="1" applyFill="1" applyBorder="1" applyAlignment="1">
      <alignment horizontal="center" vertical="center"/>
    </xf>
    <xf numFmtId="43" fontId="62" fillId="3" borderId="5" xfId="90" applyFont="1" applyFill="1" applyBorder="1" applyAlignment="1">
      <alignment horizontal="center" vertical="center"/>
    </xf>
    <xf numFmtId="9" fontId="77" fillId="3" borderId="5" xfId="11" applyFont="1" applyFill="1" applyBorder="1" applyAlignment="1">
      <alignment horizontal="center" vertical="center"/>
    </xf>
    <xf numFmtId="43" fontId="77" fillId="3" borderId="5" xfId="90" applyFont="1" applyFill="1" applyBorder="1" applyAlignment="1">
      <alignment horizontal="center" vertical="center"/>
    </xf>
    <xf numFmtId="9" fontId="62" fillId="3" borderId="5" xfId="11" applyNumberFormat="1" applyFont="1" applyFill="1" applyBorder="1" applyAlignment="1">
      <alignment horizontal="center" vertical="center"/>
    </xf>
    <xf numFmtId="9" fontId="62" fillId="3" borderId="5" xfId="11" applyFont="1" applyFill="1" applyBorder="1" applyAlignment="1">
      <alignment horizontal="center" vertical="center"/>
    </xf>
    <xf numFmtId="43" fontId="62" fillId="3" borderId="5" xfId="90" applyFont="1" applyFill="1" applyBorder="1" applyAlignment="1">
      <alignment horizontal="center" vertical="center" wrapText="1"/>
    </xf>
    <xf numFmtId="43" fontId="4" fillId="3" borderId="5" xfId="90" applyFont="1" applyFill="1" applyBorder="1" applyAlignment="1">
      <alignment horizontal="center" vertical="center"/>
    </xf>
    <xf numFmtId="43" fontId="4" fillId="0" borderId="0" xfId="90" applyFont="1" applyFill="1" applyAlignment="1">
      <alignment horizontal="center" vertical="center" wrapText="1"/>
    </xf>
    <xf numFmtId="43" fontId="4" fillId="0" borderId="5" xfId="90" applyFont="1" applyFill="1" applyBorder="1" applyAlignment="1">
      <alignment horizontal="center" vertical="center" wrapText="1"/>
    </xf>
    <xf numFmtId="43" fontId="4" fillId="0" borderId="5" xfId="90" applyFont="1" applyFill="1" applyBorder="1" applyAlignment="1">
      <alignment horizontal="center" vertical="center"/>
    </xf>
    <xf numFmtId="43" fontId="62" fillId="0" borderId="5" xfId="90" applyFont="1" applyFill="1" applyBorder="1" applyAlignment="1">
      <alignment horizontal="center" vertical="center"/>
    </xf>
    <xf numFmtId="9" fontId="62" fillId="0" borderId="5" xfId="90" applyNumberFormat="1" applyFont="1" applyFill="1" applyBorder="1" applyAlignment="1">
      <alignment horizontal="center" vertical="center"/>
    </xf>
    <xf numFmtId="43" fontId="4" fillId="0" borderId="0" xfId="90" applyFont="1" applyFill="1" applyBorder="1" applyAlignment="1">
      <alignment horizontal="right" vertical="center"/>
    </xf>
    <xf numFmtId="0" fontId="78" fillId="0" borderId="0" xfId="0" applyFont="1"/>
    <xf numFmtId="0" fontId="79" fillId="2" borderId="38" xfId="0" applyFont="1" applyFill="1" applyBorder="1" applyAlignment="1">
      <alignment horizontal="center" vertical="center" wrapText="1"/>
    </xf>
    <xf numFmtId="0" fontId="79" fillId="2" borderId="39" xfId="0" applyFont="1" applyFill="1" applyBorder="1" applyAlignment="1">
      <alignment horizontal="center" vertical="center" wrapText="1"/>
    </xf>
    <xf numFmtId="0" fontId="80" fillId="2" borderId="40" xfId="0" applyFont="1" applyFill="1" applyBorder="1" applyAlignment="1">
      <alignment horizontal="center" vertical="center" wrapText="1"/>
    </xf>
    <xf numFmtId="188" fontId="80" fillId="2" borderId="41" xfId="0" applyNumberFormat="1" applyFont="1" applyFill="1" applyBorder="1" applyAlignment="1">
      <alignment horizontal="center" vertical="center" wrapText="1"/>
    </xf>
    <xf numFmtId="0" fontId="81" fillId="2" borderId="40" xfId="0" applyFont="1" applyFill="1" applyBorder="1" applyAlignment="1">
      <alignment horizontal="center" vertical="center" wrapText="1"/>
    </xf>
    <xf numFmtId="188" fontId="81" fillId="2" borderId="41" xfId="0" applyNumberFormat="1" applyFont="1" applyFill="1" applyBorder="1" applyAlignment="1">
      <alignment horizontal="center" vertical="center" wrapText="1"/>
    </xf>
    <xf numFmtId="10" fontId="80" fillId="5" borderId="41" xfId="0" applyNumberFormat="1" applyFont="1" applyFill="1" applyBorder="1" applyAlignment="1">
      <alignment horizontal="center" vertical="center" wrapText="1"/>
    </xf>
    <xf numFmtId="10" fontId="80" fillId="5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2" fillId="0" borderId="0" xfId="0" applyFont="1" applyAlignment="1">
      <alignment horizontal="center" vertical="center"/>
    </xf>
    <xf numFmtId="185" fontId="0" fillId="0" borderId="0" xfId="0" applyNumberFormat="1" applyAlignment="1">
      <alignment vertical="center"/>
    </xf>
    <xf numFmtId="0" fontId="0" fillId="0" borderId="5" xfId="0" applyBorder="1" applyAlignment="1">
      <alignment horizontal="center" vertical="center"/>
    </xf>
    <xf numFmtId="0" fontId="78" fillId="0" borderId="5" xfId="0" applyFont="1" applyBorder="1" applyAlignment="1">
      <alignment horizontal="center" vertical="center"/>
    </xf>
    <xf numFmtId="185" fontId="0" fillId="0" borderId="5" xfId="0" applyNumberFormat="1" applyBorder="1" applyAlignment="1">
      <alignment vertical="center"/>
    </xf>
    <xf numFmtId="0" fontId="78" fillId="0" borderId="5" xfId="0" applyFont="1" applyBorder="1" applyAlignment="1">
      <alignment vertical="center"/>
    </xf>
    <xf numFmtId="10" fontId="0" fillId="0" borderId="0" xfId="0" applyNumberFormat="1" applyAlignment="1">
      <alignment vertical="center"/>
    </xf>
    <xf numFmtId="0" fontId="78" fillId="0" borderId="0" xfId="0" applyFont="1" applyAlignment="1">
      <alignment vertical="center"/>
    </xf>
    <xf numFmtId="185" fontId="83" fillId="3" borderId="5" xfId="0" applyNumberFormat="1" applyFont="1" applyFill="1" applyBorder="1" applyAlignment="1">
      <alignment vertical="center"/>
    </xf>
    <xf numFmtId="185" fontId="0" fillId="3" borderId="5" xfId="0" applyNumberFormat="1" applyFill="1" applyBorder="1" applyAlignment="1">
      <alignment vertical="center"/>
    </xf>
    <xf numFmtId="0" fontId="78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10" fontId="84" fillId="0" borderId="0" xfId="0" applyNumberFormat="1" applyFont="1" applyAlignment="1">
      <alignment horizontal="center" vertical="center"/>
    </xf>
    <xf numFmtId="0" fontId="19" fillId="12" borderId="0" xfId="69" applyFill="1" applyAlignment="1"/>
    <xf numFmtId="0" fontId="19" fillId="5" borderId="0" xfId="69" applyFill="1" applyAlignment="1"/>
    <xf numFmtId="0" fontId="19" fillId="13" borderId="0" xfId="69" applyFill="1" applyAlignment="1"/>
    <xf numFmtId="0" fontId="85" fillId="0" borderId="0" xfId="69" applyFont="1" applyFill="1" applyAlignment="1"/>
    <xf numFmtId="0" fontId="19" fillId="0" borderId="0" xfId="69" applyFill="1" applyAlignment="1"/>
    <xf numFmtId="197" fontId="19" fillId="0" borderId="0" xfId="69" applyNumberFormat="1" applyFill="1" applyAlignment="1"/>
    <xf numFmtId="0" fontId="19" fillId="0" borderId="0" xfId="69" applyFill="1" applyAlignment="1">
      <alignment horizontal="left"/>
    </xf>
    <xf numFmtId="14" fontId="19" fillId="0" borderId="0" xfId="69" applyNumberFormat="1" applyFill="1" applyAlignment="1"/>
    <xf numFmtId="0" fontId="70" fillId="0" borderId="5" xfId="69" applyFont="1" applyFill="1" applyBorder="1" applyAlignment="1">
      <alignment horizontal="center" vertical="center" wrapText="1"/>
    </xf>
    <xf numFmtId="197" fontId="70" fillId="0" borderId="5" xfId="69" applyNumberFormat="1" applyFont="1" applyFill="1" applyBorder="1" applyAlignment="1">
      <alignment horizontal="center" vertical="center" wrapText="1"/>
    </xf>
    <xf numFmtId="0" fontId="86" fillId="12" borderId="5" xfId="69" applyFont="1" applyFill="1" applyBorder="1" applyAlignment="1">
      <alignment horizontal="center" vertical="center" wrapText="1"/>
    </xf>
    <xf numFmtId="0" fontId="86" fillId="12" borderId="15" xfId="69" applyFont="1" applyFill="1" applyBorder="1" applyAlignment="1">
      <alignment vertical="center" wrapText="1"/>
    </xf>
    <xf numFmtId="0" fontId="86" fillId="12" borderId="15" xfId="69" applyFont="1" applyFill="1" applyBorder="1" applyAlignment="1">
      <alignment horizontal="center" vertical="center" wrapText="1"/>
    </xf>
    <xf numFmtId="185" fontId="86" fillId="12" borderId="5" xfId="69" applyNumberFormat="1" applyFont="1" applyFill="1" applyBorder="1" applyAlignment="1">
      <alignment horizontal="right" vertical="center" wrapText="1"/>
    </xf>
    <xf numFmtId="10" fontId="86" fillId="12" borderId="15" xfId="69" applyNumberFormat="1" applyFont="1" applyFill="1" applyBorder="1" applyAlignment="1">
      <alignment horizontal="center" vertical="center" wrapText="1"/>
    </xf>
    <xf numFmtId="14" fontId="86" fillId="12" borderId="5" xfId="69" applyNumberFormat="1" applyFont="1" applyFill="1" applyBorder="1" applyAlignment="1">
      <alignment horizontal="center" vertical="center" wrapText="1"/>
    </xf>
    <xf numFmtId="10" fontId="86" fillId="12" borderId="42" xfId="69" applyNumberFormat="1" applyFont="1" applyFill="1" applyBorder="1" applyAlignment="1">
      <alignment horizontal="center" vertical="center" wrapText="1"/>
    </xf>
    <xf numFmtId="10" fontId="86" fillId="12" borderId="25" xfId="69" applyNumberFormat="1" applyFont="1" applyFill="1" applyBorder="1" applyAlignment="1">
      <alignment horizontal="center" vertical="center" wrapText="1"/>
    </xf>
    <xf numFmtId="0" fontId="86" fillId="0" borderId="5" xfId="69" applyFont="1" applyFill="1" applyBorder="1" applyAlignment="1">
      <alignment horizontal="center" vertical="center" wrapText="1"/>
    </xf>
    <xf numFmtId="0" fontId="86" fillId="0" borderId="15" xfId="69" applyFont="1" applyFill="1" applyBorder="1" applyAlignment="1">
      <alignment vertical="center" wrapText="1"/>
    </xf>
    <xf numFmtId="0" fontId="86" fillId="0" borderId="15" xfId="69" applyFont="1" applyFill="1" applyBorder="1" applyAlignment="1">
      <alignment horizontal="center" vertical="center" wrapText="1"/>
    </xf>
    <xf numFmtId="185" fontId="86" fillId="0" borderId="5" xfId="69" applyNumberFormat="1" applyFont="1" applyFill="1" applyBorder="1" applyAlignment="1">
      <alignment horizontal="right" vertical="center" wrapText="1"/>
    </xf>
    <xf numFmtId="197" fontId="86" fillId="0" borderId="5" xfId="69" applyNumberFormat="1" applyFont="1" applyFill="1" applyBorder="1" applyAlignment="1">
      <alignment horizontal="center" vertical="center" wrapText="1"/>
    </xf>
    <xf numFmtId="14" fontId="86" fillId="0" borderId="5" xfId="69" applyNumberFormat="1" applyFont="1" applyFill="1" applyBorder="1" applyAlignment="1">
      <alignment horizontal="center" vertical="center" wrapText="1"/>
    </xf>
    <xf numFmtId="0" fontId="86" fillId="5" borderId="5" xfId="69" applyFont="1" applyFill="1" applyBorder="1" applyAlignment="1">
      <alignment horizontal="center" vertical="center" wrapText="1"/>
    </xf>
    <xf numFmtId="0" fontId="86" fillId="5" borderId="15" xfId="69" applyFont="1" applyFill="1" applyBorder="1" applyAlignment="1">
      <alignment vertical="center" wrapText="1"/>
    </xf>
    <xf numFmtId="0" fontId="86" fillId="5" borderId="15" xfId="69" applyFont="1" applyFill="1" applyBorder="1" applyAlignment="1">
      <alignment horizontal="center" vertical="center" wrapText="1"/>
    </xf>
    <xf numFmtId="185" fontId="86" fillId="5" borderId="5" xfId="69" applyNumberFormat="1" applyFont="1" applyFill="1" applyBorder="1" applyAlignment="1">
      <alignment horizontal="right" vertical="center" wrapText="1"/>
    </xf>
    <xf numFmtId="10" fontId="86" fillId="5" borderId="5" xfId="69" applyNumberFormat="1" applyFont="1" applyFill="1" applyBorder="1" applyAlignment="1">
      <alignment horizontal="center" vertical="center" wrapText="1"/>
    </xf>
    <xf numFmtId="14" fontId="86" fillId="5" borderId="5" xfId="69" applyNumberFormat="1" applyFont="1" applyFill="1" applyBorder="1" applyAlignment="1">
      <alignment horizontal="center" vertical="center" wrapText="1"/>
    </xf>
    <xf numFmtId="194" fontId="86" fillId="5" borderId="5" xfId="69" applyNumberFormat="1" applyFont="1" applyFill="1" applyBorder="1" applyAlignment="1">
      <alignment horizontal="center" vertical="center" wrapText="1"/>
    </xf>
    <xf numFmtId="0" fontId="86" fillId="13" borderId="5" xfId="69" applyFont="1" applyFill="1" applyBorder="1" applyAlignment="1">
      <alignment horizontal="center" vertical="center" wrapText="1"/>
    </xf>
    <xf numFmtId="0" fontId="86" fillId="13" borderId="15" xfId="69" applyFont="1" applyFill="1" applyBorder="1" applyAlignment="1">
      <alignment vertical="center" wrapText="1"/>
    </xf>
    <xf numFmtId="0" fontId="86" fillId="13" borderId="15" xfId="69" applyFont="1" applyFill="1" applyBorder="1" applyAlignment="1">
      <alignment horizontal="center" vertical="center" wrapText="1"/>
    </xf>
    <xf numFmtId="185" fontId="86" fillId="13" borderId="5" xfId="69" applyNumberFormat="1" applyFont="1" applyFill="1" applyBorder="1" applyAlignment="1">
      <alignment horizontal="right" vertical="center" wrapText="1"/>
    </xf>
    <xf numFmtId="197" fontId="86" fillId="13" borderId="5" xfId="69" applyNumberFormat="1" applyFont="1" applyFill="1" applyBorder="1" applyAlignment="1">
      <alignment horizontal="center" vertical="center" wrapText="1"/>
    </xf>
    <xf numFmtId="14" fontId="86" fillId="13" borderId="5" xfId="69" applyNumberFormat="1" applyFont="1" applyFill="1" applyBorder="1" applyAlignment="1">
      <alignment horizontal="center" vertical="center" wrapText="1"/>
    </xf>
    <xf numFmtId="9" fontId="86" fillId="0" borderId="15" xfId="69" applyNumberFormat="1" applyFont="1" applyFill="1" applyBorder="1" applyAlignment="1">
      <alignment horizontal="center" vertical="center" wrapText="1"/>
    </xf>
    <xf numFmtId="10" fontId="86" fillId="0" borderId="5" xfId="69" applyNumberFormat="1" applyFont="1" applyFill="1" applyBorder="1" applyAlignment="1">
      <alignment horizontal="center" vertical="center" wrapText="1"/>
    </xf>
    <xf numFmtId="0" fontId="19" fillId="5" borderId="5" xfId="69" applyFill="1" applyBorder="1" applyAlignment="1"/>
    <xf numFmtId="0" fontId="86" fillId="5" borderId="5" xfId="69" applyFont="1" applyFill="1" applyBorder="1" applyAlignment="1">
      <alignment vertical="center" wrapText="1"/>
    </xf>
    <xf numFmtId="9" fontId="86" fillId="5" borderId="5" xfId="13" applyFont="1" applyFill="1" applyBorder="1" applyAlignment="1">
      <alignment horizontal="center" vertical="center" wrapText="1"/>
    </xf>
    <xf numFmtId="0" fontId="86" fillId="0" borderId="43" xfId="69" applyFont="1" applyFill="1" applyBorder="1" applyAlignment="1">
      <alignment horizontal="left" vertical="center" wrapText="1"/>
    </xf>
    <xf numFmtId="0" fontId="86" fillId="0" borderId="0" xfId="69" applyFont="1" applyFill="1" applyBorder="1" applyAlignment="1">
      <alignment horizontal="center" vertical="center" wrapText="1"/>
    </xf>
    <xf numFmtId="0" fontId="19" fillId="0" borderId="0" xfId="69" applyFill="1" applyBorder="1" applyAlignment="1"/>
    <xf numFmtId="0" fontId="86" fillId="0" borderId="0" xfId="69" applyFont="1" applyFill="1" applyBorder="1" applyAlignment="1">
      <alignment vertical="center" wrapText="1"/>
    </xf>
    <xf numFmtId="9" fontId="86" fillId="0" borderId="0" xfId="13" applyFont="1" applyFill="1" applyBorder="1" applyAlignment="1">
      <alignment horizontal="center" vertical="center" wrapText="1"/>
    </xf>
    <xf numFmtId="187" fontId="86" fillId="0" borderId="0" xfId="69" applyNumberFormat="1" applyFont="1" applyFill="1" applyBorder="1" applyAlignment="1">
      <alignment horizontal="right" vertical="center" wrapText="1"/>
    </xf>
    <xf numFmtId="10" fontId="86" fillId="0" borderId="0" xfId="69" applyNumberFormat="1" applyFont="1" applyFill="1" applyBorder="1" applyAlignment="1">
      <alignment horizontal="center" vertical="center" wrapText="1"/>
    </xf>
    <xf numFmtId="14" fontId="86" fillId="0" borderId="0" xfId="69" applyNumberFormat="1" applyFont="1" applyFill="1" applyBorder="1" applyAlignment="1">
      <alignment horizontal="center" vertical="center" wrapText="1"/>
    </xf>
    <xf numFmtId="198" fontId="87" fillId="0" borderId="0" xfId="89" applyNumberFormat="1" applyFont="1" applyFill="1" applyAlignment="1"/>
    <xf numFmtId="0" fontId="70" fillId="0" borderId="0" xfId="69" applyFont="1" applyFill="1" applyBorder="1" applyAlignment="1">
      <alignment horizontal="center" vertical="center" wrapText="1"/>
    </xf>
    <xf numFmtId="187" fontId="86" fillId="12" borderId="15" xfId="69" applyNumberFormat="1" applyFont="1" applyFill="1" applyBorder="1" applyAlignment="1">
      <alignment horizontal="right" vertical="center" wrapText="1"/>
    </xf>
    <xf numFmtId="0" fontId="19" fillId="12" borderId="5" xfId="69" applyFill="1" applyBorder="1" applyAlignment="1">
      <alignment horizontal="left"/>
    </xf>
    <xf numFmtId="43" fontId="0" fillId="12" borderId="0" xfId="89" applyFont="1" applyFill="1" applyAlignment="1"/>
    <xf numFmtId="187" fontId="86" fillId="0" borderId="15" xfId="69" applyNumberFormat="1" applyFont="1" applyFill="1" applyBorder="1" applyAlignment="1">
      <alignment horizontal="right" vertical="center" wrapText="1"/>
    </xf>
    <xf numFmtId="0" fontId="19" fillId="0" borderId="5" xfId="69" applyFill="1" applyBorder="1" applyAlignment="1">
      <alignment horizontal="left"/>
    </xf>
    <xf numFmtId="187" fontId="86" fillId="5" borderId="5" xfId="69" applyNumberFormat="1" applyFont="1" applyFill="1" applyBorder="1" applyAlignment="1">
      <alignment horizontal="right" vertical="center" wrapText="1"/>
    </xf>
    <xf numFmtId="0" fontId="19" fillId="5" borderId="5" xfId="69" applyFill="1" applyBorder="1" applyAlignment="1">
      <alignment horizontal="left"/>
    </xf>
    <xf numFmtId="187" fontId="86" fillId="13" borderId="5" xfId="69" applyNumberFormat="1" applyFont="1" applyFill="1" applyBorder="1" applyAlignment="1">
      <alignment horizontal="right" vertical="center" wrapText="1"/>
    </xf>
    <xf numFmtId="0" fontId="19" fillId="13" borderId="5" xfId="69" applyFill="1" applyBorder="1" applyAlignment="1">
      <alignment horizontal="left"/>
    </xf>
    <xf numFmtId="185" fontId="88" fillId="5" borderId="5" xfId="69" applyNumberFormat="1" applyFont="1" applyFill="1" applyBorder="1" applyAlignment="1">
      <alignment horizontal="left" vertical="center"/>
    </xf>
    <xf numFmtId="14" fontId="19" fillId="5" borderId="5" xfId="69" applyNumberFormat="1" applyFill="1" applyBorder="1" applyAlignment="1"/>
    <xf numFmtId="43" fontId="19" fillId="0" borderId="0" xfId="69" applyNumberFormat="1" applyFill="1" applyAlignment="1"/>
    <xf numFmtId="185" fontId="88" fillId="0" borderId="0" xfId="69" applyNumberFormat="1" applyFont="1" applyFill="1" applyBorder="1" applyAlignment="1">
      <alignment horizontal="left" vertical="center"/>
    </xf>
    <xf numFmtId="14" fontId="19" fillId="0" borderId="0" xfId="69" applyNumberFormat="1" applyFill="1" applyBorder="1" applyAlignment="1"/>
    <xf numFmtId="198" fontId="19" fillId="0" borderId="0" xfId="69" applyNumberFormat="1" applyFill="1" applyAlignment="1"/>
    <xf numFmtId="187" fontId="19" fillId="0" borderId="0" xfId="69" applyNumberFormat="1" applyFill="1" applyAlignment="1"/>
    <xf numFmtId="0" fontId="85" fillId="0" borderId="0" xfId="69" applyFont="1" applyFill="1" applyAlignment="1">
      <alignment horizontal="left"/>
    </xf>
    <xf numFmtId="14" fontId="85" fillId="0" borderId="0" xfId="69" applyNumberFormat="1" applyFont="1" applyFill="1" applyAlignment="1"/>
    <xf numFmtId="0" fontId="0" fillId="0" borderId="0" xfId="0" applyAlignment="1">
      <alignment horizontal="center"/>
    </xf>
    <xf numFmtId="0" fontId="84" fillId="0" borderId="9" xfId="0" applyFont="1" applyBorder="1" applyAlignment="1">
      <alignment horizontal="center"/>
    </xf>
    <xf numFmtId="0" fontId="84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84" fillId="0" borderId="34" xfId="0" applyFont="1" applyBorder="1" applyAlignment="1">
      <alignment horizontal="center"/>
    </xf>
    <xf numFmtId="0" fontId="0" fillId="0" borderId="11" xfId="0" applyBorder="1"/>
    <xf numFmtId="0" fontId="0" fillId="0" borderId="35" xfId="0" applyBorder="1"/>
    <xf numFmtId="0" fontId="0" fillId="0" borderId="11" xfId="0" applyFont="1" applyBorder="1"/>
    <xf numFmtId="9" fontId="0" fillId="0" borderId="5" xfId="0" applyNumberFormat="1" applyBorder="1"/>
    <xf numFmtId="0" fontId="84" fillId="0" borderId="16" xfId="0" applyFont="1" applyBorder="1" applyAlignment="1">
      <alignment horizontal="center"/>
    </xf>
    <xf numFmtId="0" fontId="84" fillId="0" borderId="18" xfId="0" applyFont="1" applyBorder="1" applyAlignment="1">
      <alignment horizontal="center"/>
    </xf>
    <xf numFmtId="0" fontId="84" fillId="0" borderId="18" xfId="0" applyFont="1" applyBorder="1"/>
    <xf numFmtId="185" fontId="84" fillId="0" borderId="33" xfId="0" applyNumberFormat="1" applyFont="1" applyBorder="1"/>
    <xf numFmtId="0" fontId="0" fillId="3" borderId="0" xfId="0" applyFill="1" applyAlignment="1">
      <alignment vertical="center"/>
    </xf>
    <xf numFmtId="0" fontId="8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NumberFormat="1" applyFont="1" applyFill="1" applyAlignment="1">
      <alignment horizontal="left" vertical="center"/>
    </xf>
    <xf numFmtId="0" fontId="90" fillId="3" borderId="0" xfId="0" applyFont="1" applyFill="1" applyAlignment="1">
      <alignment horizontal="center" vertical="center"/>
    </xf>
    <xf numFmtId="9" fontId="90" fillId="3" borderId="0" xfId="11" applyFont="1" applyFill="1" applyAlignment="1">
      <alignment horizontal="center" vertical="center"/>
    </xf>
    <xf numFmtId="43" fontId="90" fillId="3" borderId="0" xfId="0" applyNumberFormat="1" applyFont="1" applyFill="1" applyAlignment="1">
      <alignment horizontal="center" vertical="center"/>
    </xf>
    <xf numFmtId="9" fontId="0" fillId="14" borderId="0" xfId="0" applyNumberFormat="1" applyFill="1"/>
    <xf numFmtId="0" fontId="0" fillId="0" borderId="5" xfId="0" applyNumberFormat="1" applyFont="1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90" fillId="3" borderId="5" xfId="0" applyFont="1" applyFill="1" applyBorder="1" applyAlignment="1">
      <alignment horizontal="center" vertical="center"/>
    </xf>
    <xf numFmtId="0" fontId="90" fillId="3" borderId="6" xfId="0" applyFont="1" applyFill="1" applyBorder="1" applyAlignment="1">
      <alignment horizontal="center" vertical="center"/>
    </xf>
    <xf numFmtId="0" fontId="90" fillId="0" borderId="5" xfId="0" applyFont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 wrapText="1"/>
    </xf>
    <xf numFmtId="43" fontId="4" fillId="3" borderId="5" xfId="95" applyFont="1" applyFill="1" applyBorder="1" applyAlignment="1">
      <alignment horizontal="left" vertical="center"/>
    </xf>
    <xf numFmtId="43" fontId="90" fillId="3" borderId="5" xfId="8" applyFont="1" applyFill="1" applyBorder="1" applyAlignment="1">
      <alignment horizontal="left" vertical="center"/>
    </xf>
    <xf numFmtId="43" fontId="90" fillId="3" borderId="5" xfId="8" applyFon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3" borderId="5" xfId="0" applyFont="1" applyFill="1" applyBorder="1" applyAlignment="1">
      <alignment horizontal="center" vertical="center"/>
    </xf>
    <xf numFmtId="43" fontId="90" fillId="3" borderId="5" xfId="8" applyFont="1" applyFill="1" applyBorder="1" applyAlignment="1"/>
    <xf numFmtId="43" fontId="0" fillId="0" borderId="0" xfId="0" applyNumberFormat="1"/>
    <xf numFmtId="0" fontId="90" fillId="3" borderId="44" xfId="0" applyFont="1" applyFill="1" applyBorder="1" applyAlignment="1">
      <alignment horizontal="center" vertical="center"/>
    </xf>
    <xf numFmtId="0" fontId="90" fillId="3" borderId="12" xfId="0" applyFont="1" applyFill="1" applyBorder="1" applyAlignment="1">
      <alignment horizontal="center" vertical="center"/>
    </xf>
    <xf numFmtId="9" fontId="0" fillId="3" borderId="0" xfId="11" applyFont="1" applyFill="1" applyAlignment="1">
      <alignment horizontal="center" vertical="center"/>
    </xf>
    <xf numFmtId="180" fontId="88" fillId="0" borderId="0" xfId="65" applyFont="1" applyBorder="1" applyAlignment="1">
      <alignment horizontal="center" vertical="center"/>
    </xf>
    <xf numFmtId="180" fontId="88" fillId="0" borderId="0" xfId="65" applyFont="1" applyFill="1" applyBorder="1">
      <alignment vertical="center"/>
    </xf>
    <xf numFmtId="180" fontId="88" fillId="5" borderId="0" xfId="65" applyFont="1" applyFill="1" applyBorder="1">
      <alignment vertical="center"/>
    </xf>
    <xf numFmtId="180" fontId="88" fillId="15" borderId="0" xfId="65" applyFont="1" applyFill="1" applyBorder="1">
      <alignment vertical="center"/>
    </xf>
    <xf numFmtId="180" fontId="88" fillId="12" borderId="0" xfId="65" applyFont="1" applyFill="1" applyBorder="1">
      <alignment vertical="center"/>
    </xf>
    <xf numFmtId="0" fontId="88" fillId="0" borderId="0" xfId="0" applyFont="1" applyFill="1" applyAlignment="1">
      <alignment vertical="center"/>
    </xf>
    <xf numFmtId="0" fontId="88" fillId="0" borderId="0" xfId="0" applyFont="1" applyAlignment="1">
      <alignment vertical="center"/>
    </xf>
    <xf numFmtId="180" fontId="88" fillId="0" borderId="0" xfId="85" applyFont="1" applyFill="1" applyAlignment="1">
      <alignment vertical="center" wrapText="1"/>
    </xf>
    <xf numFmtId="0" fontId="88" fillId="0" borderId="0" xfId="65" applyNumberFormat="1" applyFont="1">
      <alignment vertical="center"/>
    </xf>
    <xf numFmtId="180" fontId="88" fillId="0" borderId="0" xfId="65" applyFont="1">
      <alignment vertical="center"/>
    </xf>
    <xf numFmtId="180" fontId="88" fillId="0" borderId="0" xfId="65" applyFont="1" applyAlignment="1">
      <alignment horizontal="right" vertical="center"/>
    </xf>
    <xf numFmtId="180" fontId="88" fillId="0" borderId="0" xfId="65" applyFont="1" applyAlignment="1">
      <alignment vertical="center" wrapText="1"/>
    </xf>
    <xf numFmtId="180" fontId="88" fillId="0" borderId="0" xfId="65" applyFont="1" applyBorder="1">
      <alignment vertical="center"/>
    </xf>
    <xf numFmtId="0" fontId="91" fillId="16" borderId="5" xfId="34" applyNumberFormat="1" applyFont="1" applyFill="1" applyBorder="1" applyAlignment="1">
      <alignment horizontal="center" vertical="center" wrapText="1"/>
    </xf>
    <xf numFmtId="191" fontId="91" fillId="16" borderId="5" xfId="34" applyNumberFormat="1" applyFont="1" applyFill="1" applyBorder="1" applyAlignment="1" applyProtection="1">
      <alignment horizontal="center" vertical="center" wrapText="1"/>
      <protection locked="0"/>
    </xf>
    <xf numFmtId="195" fontId="91" fillId="16" borderId="5" xfId="34" applyNumberFormat="1" applyFont="1" applyFill="1" applyBorder="1" applyAlignment="1">
      <alignment horizontal="center" vertical="center" wrapText="1"/>
    </xf>
    <xf numFmtId="191" fontId="91" fillId="16" borderId="5" xfId="34" applyNumberFormat="1" applyFont="1" applyFill="1" applyBorder="1" applyAlignment="1">
      <alignment horizontal="center" vertical="center" wrapText="1"/>
    </xf>
    <xf numFmtId="0" fontId="88" fillId="0" borderId="5" xfId="85" applyNumberFormat="1" applyFont="1" applyFill="1" applyBorder="1" applyAlignment="1">
      <alignment horizontal="center" vertical="center"/>
    </xf>
    <xf numFmtId="180" fontId="88" fillId="0" borderId="5" xfId="32" applyFont="1" applyFill="1" applyBorder="1" applyAlignment="1" applyProtection="1">
      <alignment horizontal="left" vertical="center"/>
      <protection locked="0"/>
    </xf>
    <xf numFmtId="180" fontId="88" fillId="0" borderId="5" xfId="85" applyFont="1" applyFill="1" applyBorder="1" applyAlignment="1">
      <alignment horizontal="center" vertical="center"/>
    </xf>
    <xf numFmtId="180" fontId="88" fillId="0" borderId="5" xfId="85" applyFont="1" applyFill="1" applyBorder="1" applyAlignment="1">
      <alignment horizontal="left" vertical="center"/>
    </xf>
    <xf numFmtId="0" fontId="88" fillId="0" borderId="15" xfId="85" applyNumberFormat="1" applyFont="1" applyFill="1" applyBorder="1" applyAlignment="1">
      <alignment horizontal="center" vertical="center"/>
    </xf>
    <xf numFmtId="0" fontId="88" fillId="0" borderId="25" xfId="85" applyNumberFormat="1" applyFont="1" applyFill="1" applyBorder="1" applyAlignment="1">
      <alignment horizontal="center" vertical="center"/>
    </xf>
    <xf numFmtId="180" fontId="92" fillId="0" borderId="5" xfId="85" applyFont="1" applyFill="1" applyBorder="1" applyAlignment="1">
      <alignment horizontal="left" vertical="center"/>
    </xf>
    <xf numFmtId="180" fontId="88" fillId="0" borderId="5" xfId="65" applyFont="1" applyFill="1" applyBorder="1" applyAlignment="1">
      <alignment vertical="center" shrinkToFit="1"/>
    </xf>
    <xf numFmtId="0" fontId="88" fillId="5" borderId="5" xfId="85" applyNumberFormat="1" applyFont="1" applyFill="1" applyBorder="1" applyAlignment="1">
      <alignment horizontal="center" vertical="center"/>
    </xf>
    <xf numFmtId="180" fontId="88" fillId="5" borderId="5" xfId="85" applyFont="1" applyFill="1" applyBorder="1" applyAlignment="1">
      <alignment horizontal="center" vertical="center"/>
    </xf>
    <xf numFmtId="180" fontId="4" fillId="5" borderId="5" xfId="85" applyFont="1" applyFill="1" applyBorder="1" applyAlignment="1">
      <alignment horizontal="center" vertical="center"/>
    </xf>
    <xf numFmtId="180" fontId="4" fillId="5" borderId="5" xfId="85" applyFont="1" applyFill="1" applyBorder="1" applyAlignment="1">
      <alignment horizontal="left" vertical="center"/>
    </xf>
    <xf numFmtId="177" fontId="92" fillId="0" borderId="5" xfId="0" applyNumberFormat="1" applyFont="1" applyFill="1" applyBorder="1" applyAlignment="1">
      <alignment horizontal="left" vertical="center"/>
    </xf>
    <xf numFmtId="180" fontId="88" fillId="0" borderId="5" xfId="32" applyFont="1" applyFill="1" applyBorder="1" applyAlignment="1" applyProtection="1">
      <alignment vertical="center"/>
      <protection locked="0"/>
    </xf>
    <xf numFmtId="180" fontId="88" fillId="0" borderId="5" xfId="65" applyFont="1" applyFill="1" applyBorder="1" applyAlignment="1">
      <alignment vertical="center"/>
    </xf>
    <xf numFmtId="180" fontId="88" fillId="5" borderId="5" xfId="65" applyFont="1" applyFill="1" applyBorder="1" applyAlignment="1">
      <alignment vertical="center"/>
    </xf>
    <xf numFmtId="0" fontId="88" fillId="15" borderId="5" xfId="85" applyNumberFormat="1" applyFont="1" applyFill="1" applyBorder="1" applyAlignment="1">
      <alignment horizontal="center" vertical="center"/>
    </xf>
    <xf numFmtId="180" fontId="4" fillId="0" borderId="5" xfId="85" applyFont="1" applyFill="1" applyBorder="1" applyAlignment="1">
      <alignment horizontal="center" vertical="center"/>
    </xf>
    <xf numFmtId="180" fontId="88" fillId="15" borderId="5" xfId="85" applyFont="1" applyFill="1" applyBorder="1" applyAlignment="1">
      <alignment horizontal="center" vertical="center"/>
    </xf>
    <xf numFmtId="180" fontId="4" fillId="15" borderId="5" xfId="65" applyFont="1" applyFill="1" applyBorder="1" applyAlignment="1">
      <alignment vertical="center"/>
    </xf>
    <xf numFmtId="0" fontId="88" fillId="0" borderId="5" xfId="65" applyNumberFormat="1" applyFont="1" applyBorder="1" applyAlignment="1">
      <alignment horizontal="center" vertical="center"/>
    </xf>
    <xf numFmtId="177" fontId="3" fillId="0" borderId="5" xfId="0" applyNumberFormat="1" applyFont="1" applyFill="1" applyBorder="1" applyAlignment="1">
      <alignment vertical="center" wrapText="1"/>
    </xf>
    <xf numFmtId="0" fontId="88" fillId="0" borderId="15" xfId="65" applyNumberFormat="1" applyFont="1" applyBorder="1" applyAlignment="1">
      <alignment horizontal="center" vertical="center"/>
    </xf>
    <xf numFmtId="0" fontId="88" fillId="0" borderId="5" xfId="85" applyNumberFormat="1" applyFont="1" applyFill="1" applyBorder="1" applyAlignment="1">
      <alignment horizontal="center" vertical="center" wrapText="1"/>
    </xf>
    <xf numFmtId="0" fontId="88" fillId="5" borderId="5" xfId="85" applyNumberFormat="1" applyFont="1" applyFill="1" applyBorder="1" applyAlignment="1">
      <alignment horizontal="center" vertical="center" wrapText="1"/>
    </xf>
    <xf numFmtId="180" fontId="88" fillId="5" borderId="5" xfId="85" applyFont="1" applyFill="1" applyBorder="1" applyAlignment="1">
      <alignment horizontal="left" vertical="center"/>
    </xf>
    <xf numFmtId="0" fontId="88" fillId="0" borderId="15" xfId="85" applyNumberFormat="1" applyFont="1" applyFill="1" applyBorder="1" applyAlignment="1">
      <alignment horizontal="center" vertical="center" wrapText="1"/>
    </xf>
    <xf numFmtId="180" fontId="88" fillId="0" borderId="15" xfId="32" applyFont="1" applyFill="1" applyBorder="1" applyAlignment="1" applyProtection="1">
      <alignment horizontal="center" vertical="center"/>
      <protection locked="0"/>
    </xf>
    <xf numFmtId="180" fontId="88" fillId="0" borderId="15" xfId="85" applyFont="1" applyFill="1" applyBorder="1" applyAlignment="1">
      <alignment vertical="center"/>
    </xf>
    <xf numFmtId="180" fontId="88" fillId="0" borderId="5" xfId="32" applyFont="1" applyFill="1" applyBorder="1" applyAlignment="1">
      <alignment vertical="center"/>
    </xf>
    <xf numFmtId="180" fontId="88" fillId="0" borderId="5" xfId="85" applyFont="1" applyFill="1" applyBorder="1" applyAlignment="1">
      <alignment vertical="center"/>
    </xf>
    <xf numFmtId="180" fontId="88" fillId="5" borderId="0" xfId="65" applyFont="1" applyFill="1" applyAlignment="1">
      <alignment vertical="center" shrinkToFit="1"/>
    </xf>
    <xf numFmtId="180" fontId="88" fillId="0" borderId="0" xfId="65" applyFont="1" applyFill="1" applyAlignment="1">
      <alignment vertical="center" shrinkToFit="1"/>
    </xf>
    <xf numFmtId="180" fontId="88" fillId="0" borderId="5" xfId="65" applyFont="1" applyFill="1" applyBorder="1" applyAlignment="1" applyProtection="1">
      <alignment horizontal="left" vertical="center"/>
    </xf>
    <xf numFmtId="0" fontId="88" fillId="0" borderId="25" xfId="85" applyNumberFormat="1" applyFont="1" applyFill="1" applyBorder="1" applyAlignment="1">
      <alignment horizontal="center" vertical="center" wrapText="1"/>
    </xf>
    <xf numFmtId="177" fontId="88" fillId="0" borderId="5" xfId="0" applyNumberFormat="1" applyFont="1" applyFill="1" applyBorder="1" applyAlignment="1">
      <alignment horizontal="left" vertical="center"/>
    </xf>
    <xf numFmtId="180" fontId="88" fillId="0" borderId="5" xfId="65" applyFont="1" applyBorder="1" applyAlignment="1">
      <alignment horizontal="center" vertical="center"/>
    </xf>
    <xf numFmtId="0" fontId="88" fillId="0" borderId="25" xfId="65" applyNumberFormat="1" applyFont="1" applyBorder="1" applyAlignment="1">
      <alignment horizontal="center" vertical="center"/>
    </xf>
    <xf numFmtId="0" fontId="88" fillId="12" borderId="5" xfId="85" applyNumberFormat="1" applyFont="1" applyFill="1" applyBorder="1" applyAlignment="1">
      <alignment horizontal="center" vertical="center" wrapText="1"/>
    </xf>
    <xf numFmtId="180" fontId="88" fillId="12" borderId="5" xfId="32" applyFont="1" applyFill="1" applyBorder="1" applyAlignment="1" applyProtection="1">
      <alignment horizontal="left" vertical="center"/>
      <protection locked="0"/>
    </xf>
    <xf numFmtId="180" fontId="88" fillId="12" borderId="5" xfId="85" applyFont="1" applyFill="1" applyBorder="1" applyAlignment="1">
      <alignment horizontal="center" vertical="center"/>
    </xf>
    <xf numFmtId="180" fontId="88" fillId="12" borderId="5" xfId="65" applyFont="1" applyFill="1" applyBorder="1" applyAlignment="1" applyProtection="1">
      <alignment horizontal="left" vertical="center"/>
    </xf>
    <xf numFmtId="0" fontId="88" fillId="12" borderId="15" xfId="85" applyNumberFormat="1" applyFont="1" applyFill="1" applyBorder="1" applyAlignment="1">
      <alignment horizontal="center" vertical="center" wrapText="1"/>
    </xf>
    <xf numFmtId="180" fontId="88" fillId="5" borderId="5" xfId="65" applyFont="1" applyFill="1" applyBorder="1" applyAlignment="1" applyProtection="1">
      <alignment horizontal="left" vertical="center"/>
    </xf>
    <xf numFmtId="0" fontId="88" fillId="0" borderId="5" xfId="0" applyFont="1" applyFill="1" applyBorder="1" applyAlignment="1">
      <alignment vertical="center"/>
    </xf>
    <xf numFmtId="0" fontId="88" fillId="0" borderId="42" xfId="85" applyNumberFormat="1" applyFont="1" applyFill="1" applyBorder="1" applyAlignment="1">
      <alignment horizontal="center" vertical="center" wrapText="1"/>
    </xf>
    <xf numFmtId="180" fontId="88" fillId="0" borderId="15" xfId="85" applyFont="1" applyFill="1" applyBorder="1" applyAlignment="1">
      <alignment horizontal="center" vertical="center"/>
    </xf>
    <xf numFmtId="186" fontId="91" fillId="16" borderId="5" xfId="34" applyNumberFormat="1" applyFont="1" applyFill="1" applyBorder="1" applyAlignment="1">
      <alignment horizontal="center" vertical="center" wrapText="1"/>
    </xf>
    <xf numFmtId="191" fontId="70" fillId="16" borderId="5" xfId="34" applyNumberFormat="1" applyFont="1" applyFill="1" applyBorder="1" applyAlignment="1">
      <alignment horizontal="center" vertical="center" wrapText="1"/>
    </xf>
    <xf numFmtId="188" fontId="88" fillId="0" borderId="5" xfId="65" applyNumberFormat="1" applyFont="1" applyFill="1" applyBorder="1" applyAlignment="1">
      <alignment horizontal="left" vertical="center"/>
    </xf>
    <xf numFmtId="186" fontId="88" fillId="0" borderId="5" xfId="85" applyNumberFormat="1" applyFont="1" applyFill="1" applyBorder="1" applyAlignment="1">
      <alignment horizontal="right" vertical="center"/>
    </xf>
    <xf numFmtId="180" fontId="88" fillId="0" borderId="5" xfId="85" applyFont="1" applyFill="1" applyBorder="1" applyAlignment="1">
      <alignment horizontal="left" vertical="center" wrapText="1"/>
    </xf>
    <xf numFmtId="180" fontId="88" fillId="0" borderId="5" xfId="65" applyFont="1" applyFill="1" applyBorder="1" applyAlignment="1">
      <alignment vertical="center" wrapText="1"/>
    </xf>
    <xf numFmtId="180" fontId="88" fillId="0" borderId="5" xfId="65" applyFont="1" applyFill="1" applyBorder="1" applyAlignment="1">
      <alignment horizontal="left" vertical="center"/>
    </xf>
    <xf numFmtId="186" fontId="88" fillId="0" borderId="5" xfId="65" applyNumberFormat="1" applyFont="1" applyFill="1" applyBorder="1" applyAlignment="1">
      <alignment horizontal="right" vertical="center"/>
    </xf>
    <xf numFmtId="180" fontId="88" fillId="0" borderId="5" xfId="32" applyFont="1" applyFill="1" applyBorder="1" applyAlignment="1">
      <alignment horizontal="center" vertical="center"/>
    </xf>
    <xf numFmtId="180" fontId="88" fillId="0" borderId="5" xfId="73" applyFont="1" applyFill="1" applyBorder="1" applyAlignment="1">
      <alignment vertical="center"/>
    </xf>
    <xf numFmtId="180" fontId="88" fillId="5" borderId="5" xfId="73" applyFont="1" applyFill="1" applyBorder="1" applyAlignment="1">
      <alignment vertical="center"/>
    </xf>
    <xf numFmtId="186" fontId="88" fillId="5" borderId="5" xfId="85" applyNumberFormat="1" applyFont="1" applyFill="1" applyBorder="1" applyAlignment="1">
      <alignment horizontal="right" vertical="center"/>
    </xf>
    <xf numFmtId="180" fontId="88" fillId="5" borderId="5" xfId="65" applyFont="1" applyFill="1" applyBorder="1" applyAlignment="1">
      <alignment vertical="center" wrapText="1"/>
    </xf>
    <xf numFmtId="186" fontId="4" fillId="5" borderId="5" xfId="85" applyNumberFormat="1" applyFont="1" applyFill="1" applyBorder="1" applyAlignment="1">
      <alignment horizontal="right" vertical="center"/>
    </xf>
    <xf numFmtId="180" fontId="4" fillId="0" borderId="5" xfId="65" applyFont="1" applyFill="1" applyBorder="1" applyAlignment="1">
      <alignment vertical="center"/>
    </xf>
    <xf numFmtId="180" fontId="88" fillId="15" borderId="5" xfId="65" applyFont="1" applyFill="1" applyBorder="1" applyAlignment="1">
      <alignment vertical="center"/>
    </xf>
    <xf numFmtId="186" fontId="88" fillId="15" borderId="5" xfId="85" applyNumberFormat="1" applyFont="1" applyFill="1" applyBorder="1" applyAlignment="1">
      <alignment horizontal="right" vertical="center"/>
    </xf>
    <xf numFmtId="180" fontId="88" fillId="15" borderId="5" xfId="65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43" fontId="3" fillId="3" borderId="5" xfId="8" applyFont="1" applyFill="1" applyBorder="1" applyAlignment="1">
      <alignment horizontal="right" vertical="center"/>
    </xf>
    <xf numFmtId="0" fontId="3" fillId="0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  <xf numFmtId="186" fontId="88" fillId="5" borderId="5" xfId="65" applyNumberFormat="1" applyFont="1" applyFill="1" applyBorder="1" applyAlignment="1">
      <alignment horizontal="right" vertical="center"/>
    </xf>
    <xf numFmtId="180" fontId="88" fillId="0" borderId="5" xfId="85" applyFont="1" applyFill="1" applyBorder="1" applyAlignment="1">
      <alignment vertical="center" wrapText="1"/>
    </xf>
    <xf numFmtId="180" fontId="88" fillId="0" borderId="0" xfId="65" applyFont="1" applyFill="1" applyAlignment="1">
      <alignment vertical="center"/>
    </xf>
    <xf numFmtId="188" fontId="88" fillId="5" borderId="5" xfId="65" applyNumberFormat="1" applyFont="1" applyFill="1" applyBorder="1" applyAlignment="1">
      <alignment horizontal="left" vertical="center"/>
    </xf>
    <xf numFmtId="180" fontId="88" fillId="5" borderId="5" xfId="85" applyFont="1" applyFill="1" applyBorder="1" applyAlignment="1">
      <alignment vertical="center" wrapText="1"/>
    </xf>
    <xf numFmtId="180" fontId="88" fillId="5" borderId="0" xfId="65" applyFont="1" applyFill="1" applyAlignment="1">
      <alignment vertical="center"/>
    </xf>
    <xf numFmtId="180" fontId="88" fillId="5" borderId="5" xfId="85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right" vertical="center"/>
    </xf>
    <xf numFmtId="180" fontId="88" fillId="12" borderId="5" xfId="65" applyFont="1" applyFill="1" applyBorder="1" applyAlignment="1">
      <alignment horizontal="left" vertical="center"/>
    </xf>
    <xf numFmtId="186" fontId="88" fillId="12" borderId="5" xfId="85" applyNumberFormat="1" applyFont="1" applyFill="1" applyBorder="1" applyAlignment="1">
      <alignment horizontal="right" vertical="center"/>
    </xf>
    <xf numFmtId="180" fontId="88" fillId="12" borderId="5" xfId="85" applyFont="1" applyFill="1" applyBorder="1" applyAlignment="1">
      <alignment vertical="center" wrapText="1"/>
    </xf>
    <xf numFmtId="180" fontId="88" fillId="12" borderId="5" xfId="85" applyFont="1" applyFill="1" applyBorder="1" applyAlignment="1">
      <alignment vertical="center"/>
    </xf>
    <xf numFmtId="188" fontId="88" fillId="12" borderId="5" xfId="65" applyNumberFormat="1" applyFont="1" applyFill="1" applyBorder="1" applyAlignment="1">
      <alignment horizontal="left" vertical="center"/>
    </xf>
    <xf numFmtId="180" fontId="88" fillId="12" borderId="5" xfId="85" applyFont="1" applyFill="1" applyBorder="1" applyAlignment="1">
      <alignment horizontal="left" vertical="center" wrapText="1"/>
    </xf>
    <xf numFmtId="0" fontId="88" fillId="0" borderId="5" xfId="0" applyFont="1" applyBorder="1" applyAlignment="1">
      <alignment vertical="center"/>
    </xf>
    <xf numFmtId="180" fontId="88" fillId="0" borderId="0" xfId="65" applyFont="1" applyFill="1" applyAlignment="1">
      <alignment vertical="center" wrapText="1"/>
    </xf>
    <xf numFmtId="186" fontId="88" fillId="0" borderId="15" xfId="85" applyNumberFormat="1" applyFont="1" applyFill="1" applyBorder="1" applyAlignment="1">
      <alignment horizontal="right" vertical="center"/>
    </xf>
    <xf numFmtId="191" fontId="22" fillId="16" borderId="5" xfId="34" applyNumberFormat="1" applyFont="1" applyFill="1" applyBorder="1" applyAlignment="1">
      <alignment horizontal="center" vertical="center" wrapText="1"/>
    </xf>
    <xf numFmtId="180" fontId="91" fillId="0" borderId="0" xfId="65" applyFont="1" applyBorder="1" applyAlignment="1">
      <alignment horizontal="center" vertical="center" wrapText="1"/>
    </xf>
    <xf numFmtId="9" fontId="4" fillId="0" borderId="5" xfId="11" applyFont="1" applyFill="1" applyBorder="1" applyAlignment="1">
      <alignment horizontal="right" vertical="center"/>
    </xf>
    <xf numFmtId="187" fontId="3" fillId="0" borderId="5" xfId="85" applyNumberFormat="1" applyFont="1" applyFill="1" applyBorder="1" applyAlignment="1">
      <alignment vertical="center"/>
    </xf>
    <xf numFmtId="180" fontId="88" fillId="0" borderId="0" xfId="65" applyFont="1" applyFill="1" applyBorder="1" applyAlignment="1">
      <alignment vertical="center" wrapText="1"/>
    </xf>
    <xf numFmtId="9" fontId="88" fillId="0" borderId="5" xfId="11" applyFont="1" applyFill="1" applyBorder="1" applyAlignment="1">
      <alignment horizontal="right" vertical="center"/>
    </xf>
    <xf numFmtId="190" fontId="3" fillId="0" borderId="5" xfId="85" applyNumberFormat="1" applyFont="1" applyFill="1" applyBorder="1" applyAlignment="1">
      <alignment vertical="center"/>
    </xf>
    <xf numFmtId="187" fontId="8" fillId="0" borderId="5" xfId="85" applyNumberFormat="1" applyFont="1" applyFill="1" applyBorder="1" applyAlignment="1">
      <alignment vertical="center"/>
    </xf>
    <xf numFmtId="9" fontId="88" fillId="5" borderId="5" xfId="11" applyFont="1" applyFill="1" applyBorder="1" applyAlignment="1">
      <alignment horizontal="right" vertical="center"/>
    </xf>
    <xf numFmtId="187" fontId="3" fillId="5" borderId="5" xfId="85" applyNumberFormat="1" applyFont="1" applyFill="1" applyBorder="1" applyAlignment="1">
      <alignment vertical="center"/>
    </xf>
    <xf numFmtId="180" fontId="88" fillId="5" borderId="0" xfId="65" applyFont="1" applyFill="1" applyBorder="1" applyAlignment="1">
      <alignment vertical="center" wrapText="1"/>
    </xf>
    <xf numFmtId="180" fontId="88" fillId="0" borderId="5" xfId="85" applyNumberFormat="1" applyFont="1" applyFill="1" applyBorder="1" applyAlignment="1">
      <alignment horizontal="left" vertical="center" wrapText="1"/>
    </xf>
    <xf numFmtId="9" fontId="88" fillId="15" borderId="5" xfId="11" applyFont="1" applyFill="1" applyBorder="1" applyAlignment="1">
      <alignment horizontal="right" vertical="center"/>
    </xf>
    <xf numFmtId="187" fontId="3" fillId="15" borderId="5" xfId="85" applyNumberFormat="1" applyFont="1" applyFill="1" applyBorder="1" applyAlignment="1">
      <alignment vertical="center"/>
    </xf>
    <xf numFmtId="180" fontId="88" fillId="15" borderId="0" xfId="65" applyFont="1" applyFill="1" applyBorder="1" applyAlignment="1">
      <alignment vertical="center" wrapText="1"/>
    </xf>
    <xf numFmtId="10" fontId="88" fillId="0" borderId="5" xfId="11" applyNumberFormat="1" applyFont="1" applyFill="1" applyBorder="1" applyAlignment="1">
      <alignment horizontal="right" vertical="center"/>
    </xf>
    <xf numFmtId="180" fontId="88" fillId="0" borderId="5" xfId="65" applyFont="1" applyBorder="1" applyAlignment="1">
      <alignment vertical="center" wrapText="1"/>
    </xf>
    <xf numFmtId="180" fontId="4" fillId="0" borderId="5" xfId="65" applyFont="1" applyBorder="1">
      <alignment vertical="center"/>
    </xf>
    <xf numFmtId="180" fontId="88" fillId="0" borderId="5" xfId="65" applyFont="1" applyBorder="1">
      <alignment vertical="center"/>
    </xf>
    <xf numFmtId="180" fontId="8" fillId="0" borderId="5" xfId="85" applyFont="1" applyFill="1" applyBorder="1" applyAlignment="1">
      <alignment vertical="center"/>
    </xf>
    <xf numFmtId="180" fontId="3" fillId="0" borderId="5" xfId="85" applyFont="1" applyFill="1" applyBorder="1" applyAlignment="1">
      <alignment vertical="center"/>
    </xf>
    <xf numFmtId="9" fontId="4" fillId="5" borderId="5" xfId="11" applyFont="1" applyFill="1" applyBorder="1" applyAlignment="1">
      <alignment horizontal="right" vertical="center"/>
    </xf>
    <xf numFmtId="180" fontId="3" fillId="5" borderId="5" xfId="85" applyFont="1" applyFill="1" applyBorder="1" applyAlignment="1">
      <alignment vertical="center"/>
    </xf>
    <xf numFmtId="180" fontId="3" fillId="0" borderId="5" xfId="32" applyFont="1" applyFill="1" applyBorder="1" applyAlignment="1">
      <alignment vertical="center"/>
    </xf>
    <xf numFmtId="180" fontId="3" fillId="5" borderId="5" xfId="32" applyFont="1" applyFill="1" applyBorder="1" applyAlignment="1">
      <alignment vertical="center"/>
    </xf>
    <xf numFmtId="180" fontId="3" fillId="0" borderId="5" xfId="85" applyFont="1" applyFill="1" applyBorder="1" applyAlignment="1">
      <alignment horizontal="center" vertical="center"/>
    </xf>
    <xf numFmtId="190" fontId="3" fillId="12" borderId="5" xfId="85" applyNumberFormat="1" applyFont="1" applyFill="1" applyBorder="1" applyAlignment="1">
      <alignment vertical="center"/>
    </xf>
    <xf numFmtId="180" fontId="88" fillId="12" borderId="0" xfId="65" applyFont="1" applyFill="1" applyBorder="1" applyAlignment="1">
      <alignment vertical="center" wrapText="1"/>
    </xf>
    <xf numFmtId="180" fontId="3" fillId="12" borderId="5" xfId="32" applyFont="1" applyFill="1" applyBorder="1" applyAlignment="1">
      <alignment vertical="center" wrapText="1"/>
    </xf>
    <xf numFmtId="180" fontId="8" fillId="0" borderId="5" xfId="32" applyFont="1" applyFill="1" applyBorder="1" applyAlignment="1">
      <alignment vertical="center"/>
    </xf>
    <xf numFmtId="180" fontId="3" fillId="0" borderId="5" xfId="81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88" fillId="5" borderId="15" xfId="65" applyNumberFormat="1" applyFont="1" applyFill="1" applyBorder="1" applyAlignment="1">
      <alignment horizontal="center" vertical="center"/>
    </xf>
    <xf numFmtId="180" fontId="88" fillId="5" borderId="5" xfId="65" applyFont="1" applyFill="1" applyBorder="1" applyAlignment="1">
      <alignment horizontal="center" vertical="center"/>
    </xf>
    <xf numFmtId="177" fontId="3" fillId="5" borderId="5" xfId="0" applyNumberFormat="1" applyFont="1" applyFill="1" applyBorder="1" applyAlignment="1">
      <alignment vertical="center" wrapText="1"/>
    </xf>
    <xf numFmtId="0" fontId="88" fillId="5" borderId="42" xfId="65" applyNumberFormat="1" applyFont="1" applyFill="1" applyBorder="1" applyAlignment="1">
      <alignment horizontal="center" vertical="center"/>
    </xf>
    <xf numFmtId="0" fontId="88" fillId="5" borderId="25" xfId="65" applyNumberFormat="1" applyFont="1" applyFill="1" applyBorder="1" applyAlignment="1">
      <alignment horizontal="center" vertical="center"/>
    </xf>
    <xf numFmtId="180" fontId="88" fillId="0" borderId="42" xfId="85" applyFont="1" applyFill="1" applyBorder="1" applyAlignment="1">
      <alignment horizontal="center" vertical="center"/>
    </xf>
    <xf numFmtId="180" fontId="4" fillId="0" borderId="5" xfId="65" applyFont="1" applyBorder="1" applyAlignment="1">
      <alignment horizontal="center" vertical="center"/>
    </xf>
    <xf numFmtId="177" fontId="8" fillId="0" borderId="5" xfId="0" applyNumberFormat="1" applyFont="1" applyFill="1" applyBorder="1" applyAlignment="1">
      <alignment vertical="center" wrapText="1"/>
    </xf>
    <xf numFmtId="180" fontId="4" fillId="0" borderId="42" xfId="85" applyFont="1" applyFill="1" applyBorder="1" applyAlignment="1">
      <alignment horizontal="center" vertical="center"/>
    </xf>
    <xf numFmtId="177" fontId="92" fillId="0" borderId="5" xfId="0" applyNumberFormat="1" applyFont="1" applyFill="1" applyBorder="1" applyAlignment="1">
      <alignment vertical="center" wrapText="1"/>
    </xf>
    <xf numFmtId="180" fontId="88" fillId="0" borderId="25" xfId="32" applyFont="1" applyFill="1" applyBorder="1" applyAlignment="1" applyProtection="1">
      <alignment horizontal="left" vertical="center"/>
      <protection locked="0"/>
    </xf>
    <xf numFmtId="180" fontId="88" fillId="0" borderId="25" xfId="85" applyFont="1" applyFill="1" applyBorder="1" applyAlignment="1">
      <alignment horizontal="center" vertical="center"/>
    </xf>
    <xf numFmtId="0" fontId="88" fillId="0" borderId="5" xfId="0" applyFont="1" applyFill="1" applyBorder="1" applyAlignment="1">
      <alignment horizontal="left" vertical="center"/>
    </xf>
    <xf numFmtId="180" fontId="88" fillId="0" borderId="42" xfId="85" applyFont="1" applyFill="1" applyBorder="1" applyAlignment="1" applyProtection="1">
      <alignment vertical="center"/>
      <protection locked="0"/>
    </xf>
    <xf numFmtId="180" fontId="88" fillId="0" borderId="42" xfId="85" applyFont="1" applyFill="1" applyBorder="1" applyAlignment="1">
      <alignment vertical="center"/>
    </xf>
    <xf numFmtId="180" fontId="88" fillId="0" borderId="5" xfId="85" applyFont="1" applyFill="1" applyBorder="1" applyAlignment="1" applyProtection="1">
      <alignment horizontal="left" vertical="center"/>
      <protection locked="0"/>
    </xf>
    <xf numFmtId="180" fontId="88" fillId="12" borderId="5" xfId="65" applyFont="1" applyFill="1" applyBorder="1" applyAlignment="1">
      <alignment vertical="center"/>
    </xf>
    <xf numFmtId="180" fontId="88" fillId="12" borderId="5" xfId="85" applyFont="1" applyFill="1" applyBorder="1" applyAlignment="1">
      <alignment horizontal="left" vertical="center"/>
    </xf>
    <xf numFmtId="180" fontId="88" fillId="0" borderId="15" xfId="85" applyFont="1" applyFill="1" applyBorder="1" applyAlignment="1">
      <alignment horizontal="left" vertical="center"/>
    </xf>
    <xf numFmtId="180" fontId="92" fillId="0" borderId="5" xfId="85" applyFont="1" applyFill="1" applyBorder="1" applyAlignment="1">
      <alignment horizontal="center" vertical="center"/>
    </xf>
    <xf numFmtId="0" fontId="88" fillId="0" borderId="0" xfId="85" applyNumberFormat="1" applyFont="1" applyFill="1" applyBorder="1" applyAlignment="1">
      <alignment horizontal="center" vertical="center" wrapText="1"/>
    </xf>
    <xf numFmtId="0" fontId="88" fillId="5" borderId="5" xfId="65" applyNumberFormat="1" applyFont="1" applyFill="1" applyBorder="1" applyAlignment="1">
      <alignment horizontal="center" vertical="center"/>
    </xf>
    <xf numFmtId="177" fontId="3" fillId="3" borderId="5" xfId="0" applyNumberFormat="1" applyFont="1" applyFill="1" applyBorder="1" applyAlignment="1">
      <alignment vertical="center" wrapText="1"/>
    </xf>
    <xf numFmtId="180" fontId="88" fillId="5" borderId="5" xfId="65" applyFont="1" applyFill="1" applyBorder="1" applyAlignment="1">
      <alignment vertical="center" shrinkToFit="1"/>
    </xf>
    <xf numFmtId="180" fontId="88" fillId="0" borderId="15" xfId="32" applyFont="1" applyFill="1" applyBorder="1" applyAlignment="1" applyProtection="1">
      <alignment horizontal="left" vertical="center"/>
      <protection locked="0"/>
    </xf>
    <xf numFmtId="0" fontId="88" fillId="0" borderId="5" xfId="0" applyFont="1" applyFill="1" applyBorder="1" applyAlignment="1">
      <alignment horizontal="center" vertical="center"/>
    </xf>
    <xf numFmtId="0" fontId="88" fillId="0" borderId="5" xfId="0" applyFont="1" applyBorder="1" applyAlignment="1">
      <alignment horizontal="left" vertical="center"/>
    </xf>
    <xf numFmtId="0" fontId="88" fillId="0" borderId="5" xfId="0" applyFont="1" applyBorder="1" applyAlignment="1">
      <alignment horizontal="center" vertical="center"/>
    </xf>
    <xf numFmtId="0" fontId="3" fillId="5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right" vertical="center"/>
    </xf>
    <xf numFmtId="0" fontId="3" fillId="5" borderId="5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/>
    </xf>
    <xf numFmtId="180" fontId="88" fillId="0" borderId="5" xfId="32" applyFont="1" applyFill="1" applyBorder="1" applyAlignment="1">
      <alignment horizontal="left" vertical="center"/>
    </xf>
    <xf numFmtId="188" fontId="88" fillId="0" borderId="5" xfId="32" applyNumberFormat="1" applyFont="1" applyFill="1" applyBorder="1" applyAlignment="1">
      <alignment horizontal="left" vertical="center"/>
    </xf>
    <xf numFmtId="186" fontId="88" fillId="0" borderId="5" xfId="32" applyNumberFormat="1" applyFont="1" applyFill="1" applyBorder="1" applyAlignment="1">
      <alignment horizontal="right" vertical="center"/>
    </xf>
    <xf numFmtId="180" fontId="88" fillId="0" borderId="7" xfId="65" applyFont="1" applyFill="1" applyBorder="1" applyAlignment="1">
      <alignment vertical="center"/>
    </xf>
    <xf numFmtId="186" fontId="88" fillId="0" borderId="0" xfId="65" applyNumberFormat="1" applyFont="1" applyFill="1" applyBorder="1" applyAlignment="1">
      <alignment horizontal="right" vertical="center"/>
    </xf>
    <xf numFmtId="186" fontId="88" fillId="12" borderId="5" xfId="65" applyNumberFormat="1" applyFont="1" applyFill="1" applyBorder="1" applyAlignment="1">
      <alignment horizontal="right" vertical="center"/>
    </xf>
    <xf numFmtId="180" fontId="88" fillId="12" borderId="5" xfId="65" applyFont="1" applyFill="1" applyBorder="1" applyAlignment="1">
      <alignment vertical="center" wrapText="1"/>
    </xf>
    <xf numFmtId="180" fontId="88" fillId="0" borderId="15" xfId="65" applyFont="1" applyFill="1" applyBorder="1" applyAlignment="1">
      <alignment vertical="center"/>
    </xf>
    <xf numFmtId="186" fontId="88" fillId="0" borderId="15" xfId="65" applyNumberFormat="1" applyFont="1" applyFill="1" applyBorder="1" applyAlignment="1">
      <alignment horizontal="right" vertical="center"/>
    </xf>
    <xf numFmtId="180" fontId="88" fillId="0" borderId="15" xfId="65" applyFont="1" applyFill="1" applyBorder="1" applyAlignment="1">
      <alignment vertical="center" wrapText="1"/>
    </xf>
    <xf numFmtId="43" fontId="3" fillId="5" borderId="5" xfId="8" applyFont="1" applyFill="1" applyBorder="1" applyAlignment="1">
      <alignment horizontal="right" vertical="center"/>
    </xf>
    <xf numFmtId="180" fontId="92" fillId="0" borderId="5" xfId="85" applyFont="1" applyFill="1" applyBorder="1" applyAlignment="1">
      <alignment vertical="center"/>
    </xf>
    <xf numFmtId="188" fontId="88" fillId="0" borderId="15" xfId="65" applyNumberFormat="1" applyFont="1" applyFill="1" applyBorder="1" applyAlignment="1">
      <alignment horizontal="left" vertical="center"/>
    </xf>
    <xf numFmtId="180" fontId="88" fillId="0" borderId="15" xfId="85" applyFont="1" applyFill="1" applyBorder="1" applyAlignment="1">
      <alignment horizontal="left" vertical="center" wrapText="1"/>
    </xf>
    <xf numFmtId="0" fontId="88" fillId="0" borderId="5" xfId="0" applyFont="1" applyFill="1" applyBorder="1" applyAlignment="1">
      <alignment horizontal="right" vertical="center"/>
    </xf>
    <xf numFmtId="0" fontId="88" fillId="0" borderId="5" xfId="0" applyFont="1" applyFill="1" applyBorder="1" applyAlignment="1">
      <alignment vertical="center" wrapText="1"/>
    </xf>
    <xf numFmtId="0" fontId="88" fillId="0" borderId="5" xfId="0" applyFont="1" applyBorder="1" applyAlignment="1">
      <alignment horizontal="right" vertical="center"/>
    </xf>
    <xf numFmtId="0" fontId="88" fillId="0" borderId="5" xfId="0" applyFont="1" applyBorder="1" applyAlignment="1">
      <alignment vertical="center" wrapText="1"/>
    </xf>
    <xf numFmtId="180" fontId="3" fillId="0" borderId="5" xfId="85" applyFont="1" applyFill="1" applyBorder="1" applyAlignment="1">
      <alignment horizontal="left" vertical="center" wrapText="1"/>
    </xf>
    <xf numFmtId="180" fontId="88" fillId="5" borderId="5" xfId="65" applyFont="1" applyFill="1" applyBorder="1">
      <alignment vertical="center"/>
    </xf>
    <xf numFmtId="180" fontId="88" fillId="0" borderId="25" xfId="65" applyFont="1" applyBorder="1" applyAlignment="1">
      <alignment vertical="center" wrapText="1"/>
    </xf>
    <xf numFmtId="180" fontId="88" fillId="0" borderId="25" xfId="65" applyFont="1" applyBorder="1">
      <alignment vertical="center"/>
    </xf>
    <xf numFmtId="180" fontId="88" fillId="0" borderId="25" xfId="65" applyFont="1" applyFill="1" applyBorder="1" applyAlignment="1">
      <alignment vertical="center" wrapText="1"/>
    </xf>
    <xf numFmtId="187" fontId="3" fillId="0" borderId="25" xfId="85" applyNumberFormat="1" applyFont="1" applyFill="1" applyBorder="1" applyAlignment="1">
      <alignment vertical="center"/>
    </xf>
    <xf numFmtId="180" fontId="91" fillId="0" borderId="25" xfId="85" applyNumberFormat="1" applyFont="1" applyFill="1" applyBorder="1" applyAlignment="1">
      <alignment horizontal="center" vertical="center" wrapText="1"/>
    </xf>
    <xf numFmtId="180" fontId="3" fillId="0" borderId="25" xfId="85" applyFont="1" applyFill="1" applyBorder="1" applyAlignment="1">
      <alignment vertical="center"/>
    </xf>
    <xf numFmtId="180" fontId="22" fillId="0" borderId="5" xfId="85" applyFont="1" applyFill="1" applyBorder="1" applyAlignment="1">
      <alignment vertical="center"/>
    </xf>
    <xf numFmtId="190" fontId="3" fillId="12" borderId="5" xfId="0" applyNumberFormat="1" applyFont="1" applyFill="1" applyBorder="1" applyAlignment="1">
      <alignment vertical="center"/>
    </xf>
    <xf numFmtId="190" fontId="3" fillId="0" borderId="5" xfId="0" applyNumberFormat="1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57" fontId="3" fillId="0" borderId="5" xfId="0" applyNumberFormat="1" applyFont="1" applyFill="1" applyBorder="1" applyAlignment="1">
      <alignment vertical="center"/>
    </xf>
    <xf numFmtId="186" fontId="4" fillId="0" borderId="5" xfId="85" applyNumberFormat="1" applyFont="1" applyFill="1" applyBorder="1" applyAlignment="1">
      <alignment horizontal="right" vertical="center"/>
    </xf>
    <xf numFmtId="180" fontId="3" fillId="0" borderId="15" xfId="32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88" fillId="0" borderId="15" xfId="0" applyFont="1" applyBorder="1" applyAlignment="1">
      <alignment horizontal="center" vertical="center"/>
    </xf>
    <xf numFmtId="0" fontId="88" fillId="0" borderId="5" xfId="57" applyFont="1" applyFill="1" applyBorder="1" applyAlignment="1" applyProtection="1">
      <alignment horizontal="left" vertical="center" wrapText="1"/>
      <protection locked="0"/>
    </xf>
    <xf numFmtId="0" fontId="88" fillId="0" borderId="42" xfId="0" applyFont="1" applyBorder="1" applyAlignment="1">
      <alignment horizontal="center" vertical="center"/>
    </xf>
    <xf numFmtId="0" fontId="88" fillId="0" borderId="25" xfId="0" applyFont="1" applyBorder="1" applyAlignment="1">
      <alignment horizontal="center" vertical="center"/>
    </xf>
    <xf numFmtId="0" fontId="88" fillId="0" borderId="42" xfId="65" applyNumberFormat="1" applyFont="1" applyBorder="1" applyAlignment="1">
      <alignment horizontal="center" vertical="center"/>
    </xf>
    <xf numFmtId="0" fontId="88" fillId="0" borderId="5" xfId="0" applyFont="1" applyFill="1" applyBorder="1" applyAlignment="1">
      <alignment horizontal="left" vertical="center" wrapText="1"/>
    </xf>
    <xf numFmtId="186" fontId="88" fillId="0" borderId="5" xfId="85" applyNumberFormat="1" applyFont="1" applyFill="1" applyBorder="1" applyAlignment="1">
      <alignment horizontal="right" vertical="center" wrapText="1"/>
    </xf>
    <xf numFmtId="0" fontId="88" fillId="0" borderId="15" xfId="0" applyFont="1" applyBorder="1" applyAlignment="1">
      <alignment horizontal="right" vertical="center"/>
    </xf>
    <xf numFmtId="186" fontId="88" fillId="0" borderId="15" xfId="85" applyNumberFormat="1" applyFont="1" applyFill="1" applyBorder="1" applyAlignment="1">
      <alignment horizontal="center" vertical="center"/>
    </xf>
    <xf numFmtId="0" fontId="88" fillId="0" borderId="42" xfId="0" applyFont="1" applyBorder="1" applyAlignment="1">
      <alignment horizontal="right" vertical="center"/>
    </xf>
    <xf numFmtId="186" fontId="88" fillId="0" borderId="42" xfId="85" applyNumberFormat="1" applyFont="1" applyFill="1" applyBorder="1" applyAlignment="1">
      <alignment horizontal="center" vertical="center"/>
    </xf>
    <xf numFmtId="186" fontId="88" fillId="0" borderId="42" xfId="85" applyNumberFormat="1" applyFont="1" applyFill="1" applyBorder="1" applyAlignment="1">
      <alignment horizontal="right" vertical="center"/>
    </xf>
    <xf numFmtId="186" fontId="88" fillId="0" borderId="25" xfId="85" applyNumberFormat="1" applyFont="1" applyFill="1" applyBorder="1" applyAlignment="1">
      <alignment horizontal="center" vertical="center"/>
    </xf>
    <xf numFmtId="186" fontId="88" fillId="0" borderId="25" xfId="85" applyNumberFormat="1" applyFont="1" applyFill="1" applyBorder="1" applyAlignment="1">
      <alignment horizontal="right" vertical="center"/>
    </xf>
    <xf numFmtId="0" fontId="88" fillId="0" borderId="25" xfId="0" applyFont="1" applyBorder="1" applyAlignment="1">
      <alignment horizontal="right" vertical="center"/>
    </xf>
    <xf numFmtId="43" fontId="88" fillId="0" borderId="0" xfId="8" applyFont="1" applyAlignment="1">
      <alignment vertical="center" wrapText="1"/>
    </xf>
    <xf numFmtId="9" fontId="88" fillId="0" borderId="15" xfId="11" applyFont="1" applyFill="1" applyBorder="1" applyAlignment="1">
      <alignment horizontal="center" vertical="center"/>
    </xf>
    <xf numFmtId="9" fontId="88" fillId="0" borderId="42" xfId="11" applyFont="1" applyFill="1" applyBorder="1" applyAlignment="1">
      <alignment horizontal="center" vertical="center"/>
    </xf>
    <xf numFmtId="9" fontId="88" fillId="0" borderId="25" xfId="11" applyFont="1" applyFill="1" applyBorder="1" applyAlignment="1">
      <alignment horizontal="center" vertical="center"/>
    </xf>
    <xf numFmtId="43" fontId="88" fillId="0" borderId="0" xfId="8" applyFont="1" applyBorder="1" applyAlignment="1">
      <alignment vertical="center"/>
    </xf>
    <xf numFmtId="0" fontId="0" fillId="3" borderId="5" xfId="0" applyNumberFormat="1" applyFont="1" applyFill="1" applyBorder="1" applyAlignment="1">
      <alignment horizontal="center" vertical="center" wrapText="1"/>
    </xf>
    <xf numFmtId="0" fontId="90" fillId="5" borderId="5" xfId="0" applyFont="1" applyFill="1" applyBorder="1" applyAlignment="1"/>
    <xf numFmtId="43" fontId="90" fillId="5" borderId="5" xfId="8" applyFont="1" applyFill="1" applyBorder="1" applyAlignment="1"/>
    <xf numFmtId="199" fontId="90" fillId="5" borderId="5" xfId="11" applyNumberFormat="1" applyFont="1" applyFill="1" applyBorder="1" applyAlignment="1"/>
    <xf numFmtId="0" fontId="0" fillId="3" borderId="5" xfId="0" applyNumberFormat="1" applyFill="1" applyBorder="1" applyAlignment="1">
      <alignment horizontal="center" vertical="center" wrapText="1"/>
    </xf>
    <xf numFmtId="0" fontId="90" fillId="15" borderId="5" xfId="0" applyFont="1" applyFill="1" applyBorder="1" applyAlignment="1"/>
    <xf numFmtId="43" fontId="90" fillId="15" borderId="5" xfId="8" applyFont="1" applyFill="1" applyBorder="1" applyAlignment="1"/>
    <xf numFmtId="0" fontId="4" fillId="15" borderId="5" xfId="0" applyFont="1" applyFill="1" applyBorder="1" applyAlignment="1"/>
    <xf numFmtId="0" fontId="90" fillId="3" borderId="5" xfId="0" applyFont="1" applyFill="1" applyBorder="1" applyAlignment="1"/>
    <xf numFmtId="0" fontId="4" fillId="3" borderId="5" xfId="0" applyFont="1" applyFill="1" applyBorder="1" applyAlignment="1"/>
    <xf numFmtId="0" fontId="4" fillId="5" borderId="5" xfId="0" applyFont="1" applyFill="1" applyBorder="1" applyAlignment="1">
      <alignment horizontal="center" vertical="center"/>
    </xf>
    <xf numFmtId="43" fontId="90" fillId="5" borderId="5" xfId="8" applyFont="1" applyFill="1" applyBorder="1" applyAlignment="1">
      <alignment horizontal="center" vertical="center"/>
    </xf>
    <xf numFmtId="9" fontId="0" fillId="3" borderId="0" xfId="11" applyFont="1" applyFill="1" applyAlignment="1">
      <alignment vertical="center"/>
    </xf>
    <xf numFmtId="0" fontId="90" fillId="3" borderId="15" xfId="0" applyFont="1" applyFill="1" applyBorder="1" applyAlignment="1">
      <alignment horizontal="center" vertical="center"/>
    </xf>
    <xf numFmtId="0" fontId="90" fillId="3" borderId="25" xfId="0" applyFont="1" applyFill="1" applyBorder="1" applyAlignment="1">
      <alignment horizontal="center" vertical="center"/>
    </xf>
    <xf numFmtId="199" fontId="90" fillId="5" borderId="5" xfId="11" applyNumberFormat="1" applyFont="1" applyFill="1" applyBorder="1" applyAlignment="1">
      <alignment horizontal="center" vertical="center"/>
    </xf>
    <xf numFmtId="185" fontId="93" fillId="3" borderId="5" xfId="8" applyNumberFormat="1" applyFont="1" applyFill="1" applyBorder="1" applyAlignment="1"/>
    <xf numFmtId="185" fontId="93" fillId="3" borderId="5" xfId="8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89" fillId="0" borderId="0" xfId="0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left" vertical="center"/>
    </xf>
    <xf numFmtId="0" fontId="90" fillId="0" borderId="0" xfId="0" applyFon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90" fillId="0" borderId="6" xfId="0" applyFont="1" applyFill="1" applyBorder="1" applyAlignment="1">
      <alignment horizontal="center" vertical="center"/>
    </xf>
    <xf numFmtId="0" fontId="90" fillId="0" borderId="44" xfId="0" applyFont="1" applyFill="1" applyBorder="1" applyAlignment="1">
      <alignment horizontal="center" vertical="center"/>
    </xf>
    <xf numFmtId="0" fontId="90" fillId="0" borderId="5" xfId="0" applyFon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 wrapText="1"/>
    </xf>
    <xf numFmtId="0" fontId="90" fillId="0" borderId="5" xfId="0" applyFont="1" applyFill="1" applyBorder="1" applyAlignment="1"/>
    <xf numFmtId="43" fontId="90" fillId="0" borderId="5" xfId="8" applyFont="1" applyFill="1" applyBorder="1" applyAlignment="1"/>
    <xf numFmtId="10" fontId="90" fillId="0" borderId="5" xfId="11" applyNumberFormat="1" applyFont="1" applyFill="1" applyBorder="1" applyAlignment="1"/>
    <xf numFmtId="0" fontId="0" fillId="0" borderId="42" xfId="0" applyNumberFormat="1" applyFill="1" applyBorder="1" applyAlignment="1">
      <alignment horizontal="center" vertical="center" wrapText="1"/>
    </xf>
    <xf numFmtId="43" fontId="4" fillId="0" borderId="5" xfId="95" applyFont="1" applyFill="1" applyBorder="1" applyAlignment="1">
      <alignment horizontal="left" vertical="center"/>
    </xf>
    <xf numFmtId="43" fontId="90" fillId="0" borderId="5" xfId="8" applyFont="1" applyFill="1" applyBorder="1" applyAlignment="1">
      <alignment horizontal="left" vertical="center"/>
    </xf>
    <xf numFmtId="0" fontId="0" fillId="0" borderId="25" xfId="0" applyNumberFormat="1" applyFill="1" applyBorder="1" applyAlignment="1">
      <alignment horizontal="center" vertical="center" wrapText="1"/>
    </xf>
    <xf numFmtId="43" fontId="90" fillId="0" borderId="0" xfId="0" applyNumberFormat="1" applyFont="1" applyFill="1" applyAlignment="1">
      <alignment horizontal="right" vertical="center"/>
    </xf>
    <xf numFmtId="0" fontId="0" fillId="0" borderId="0" xfId="0" applyNumberFormat="1" applyFill="1" applyAlignment="1">
      <alignment horizontal="center" vertical="center"/>
    </xf>
    <xf numFmtId="0" fontId="90" fillId="0" borderId="0" xfId="0" applyFont="1" applyFill="1" applyAlignment="1">
      <alignment horizontal="right" vertical="center"/>
    </xf>
    <xf numFmtId="43" fontId="90" fillId="0" borderId="0" xfId="8" applyFont="1" applyFill="1" applyAlignment="1">
      <alignment horizontal="right" vertical="center"/>
    </xf>
    <xf numFmtId="9" fontId="90" fillId="0" borderId="0" xfId="11" applyFont="1" applyFill="1" applyAlignment="1">
      <alignment horizontal="center" vertical="center"/>
    </xf>
    <xf numFmtId="43" fontId="90" fillId="0" borderId="0" xfId="0" applyNumberFormat="1" applyFont="1" applyFill="1" applyAlignment="1">
      <alignment horizontal="center" vertical="center"/>
    </xf>
    <xf numFmtId="9" fontId="0" fillId="0" borderId="0" xfId="11" applyFont="1" applyFill="1" applyAlignment="1">
      <alignment vertical="center"/>
    </xf>
    <xf numFmtId="0" fontId="90" fillId="0" borderId="12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90" fillId="0" borderId="25" xfId="0" applyFont="1" applyFill="1" applyBorder="1" applyAlignment="1">
      <alignment horizontal="center" vertical="center"/>
    </xf>
    <xf numFmtId="185" fontId="90" fillId="0" borderId="5" xfId="8" applyNumberFormat="1" applyFont="1" applyFill="1" applyBorder="1" applyAlignment="1"/>
    <xf numFmtId="43" fontId="0" fillId="0" borderId="0" xfId="8" applyFont="1" applyFill="1" applyAlignment="1">
      <alignment vertical="center"/>
    </xf>
    <xf numFmtId="43" fontId="0" fillId="0" borderId="0" xfId="0" applyNumberFormat="1" applyFill="1" applyAlignment="1">
      <alignment horizontal="center" vertical="center"/>
    </xf>
    <xf numFmtId="9" fontId="0" fillId="0" borderId="0" xfId="0" applyNumberFormat="1" applyFill="1" applyAlignment="1">
      <alignment vertical="center"/>
    </xf>
    <xf numFmtId="43" fontId="0" fillId="0" borderId="0" xfId="0" applyNumberFormat="1" applyFill="1" applyAlignment="1">
      <alignment vertical="center"/>
    </xf>
    <xf numFmtId="9" fontId="0" fillId="0" borderId="0" xfId="11" applyFont="1" applyFill="1" applyAlignment="1">
      <alignment horizontal="center" vertical="center"/>
    </xf>
    <xf numFmtId="0" fontId="94" fillId="0" borderId="0" xfId="0" applyFont="1" applyFill="1" applyAlignment="1">
      <alignment vertical="center"/>
    </xf>
    <xf numFmtId="0" fontId="94" fillId="0" borderId="0" xfId="0" applyFont="1" applyAlignment="1"/>
    <xf numFmtId="0" fontId="94" fillId="0" borderId="0" xfId="0" applyFont="1" applyAlignment="1">
      <alignment horizontal="center" vertical="center"/>
    </xf>
    <xf numFmtId="0" fontId="94" fillId="0" borderId="0" xfId="0" applyFont="1" applyFill="1" applyAlignment="1"/>
    <xf numFmtId="0" fontId="4" fillId="6" borderId="0" xfId="0" applyFont="1" applyFill="1" applyAlignment="1">
      <alignment horizontal="left" vertical="center"/>
    </xf>
    <xf numFmtId="0" fontId="15" fillId="17" borderId="0" xfId="0" applyFont="1" applyFill="1"/>
    <xf numFmtId="0" fontId="15" fillId="6" borderId="0" xfId="0" applyFont="1" applyFill="1"/>
    <xf numFmtId="196" fontId="15" fillId="0" borderId="0" xfId="0" applyNumberFormat="1" applyFont="1"/>
    <xf numFmtId="196" fontId="15" fillId="0" borderId="0" xfId="0" applyNumberFormat="1" applyFont="1" applyFill="1"/>
    <xf numFmtId="0" fontId="15" fillId="15" borderId="0" xfId="0" applyFont="1" applyFill="1"/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95" fillId="0" borderId="0" xfId="0" applyFont="1" applyFill="1" applyAlignment="1">
      <alignment horizontal="center" vertical="center" wrapText="1"/>
    </xf>
    <xf numFmtId="0" fontId="95" fillId="0" borderId="0" xfId="0" applyFont="1" applyFill="1" applyAlignment="1">
      <alignment horizontal="center" vertical="center"/>
    </xf>
    <xf numFmtId="0" fontId="94" fillId="0" borderId="45" xfId="0" applyFont="1" applyFill="1" applyBorder="1" applyAlignment="1">
      <alignment vertical="center"/>
    </xf>
    <xf numFmtId="0" fontId="96" fillId="0" borderId="5" xfId="0" applyFont="1" applyFill="1" applyBorder="1" applyAlignment="1">
      <alignment horizontal="center" vertical="center" wrapText="1"/>
    </xf>
    <xf numFmtId="0" fontId="96" fillId="5" borderId="5" xfId="0" applyFont="1" applyFill="1" applyBorder="1" applyAlignment="1">
      <alignment horizontal="center" vertical="center" wrapText="1"/>
    </xf>
    <xf numFmtId="179" fontId="96" fillId="5" borderId="5" xfId="0" applyNumberFormat="1" applyFont="1" applyFill="1" applyBorder="1" applyAlignment="1">
      <alignment horizontal="center" vertical="center" wrapText="1"/>
    </xf>
    <xf numFmtId="0" fontId="96" fillId="0" borderId="5" xfId="0" applyFont="1" applyFill="1" applyBorder="1" applyAlignment="1">
      <alignment horizontal="center" vertical="center"/>
    </xf>
    <xf numFmtId="0" fontId="96" fillId="5" borderId="5" xfId="0" applyFont="1" applyFill="1" applyBorder="1" applyAlignment="1">
      <alignment horizontal="center" vertical="center"/>
    </xf>
    <xf numFmtId="179" fontId="96" fillId="5" borderId="5" xfId="0" applyNumberFormat="1" applyFont="1" applyFill="1" applyBorder="1" applyAlignment="1">
      <alignment horizontal="center" vertical="center"/>
    </xf>
    <xf numFmtId="0" fontId="94" fillId="0" borderId="5" xfId="0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/>
    <xf numFmtId="43" fontId="97" fillId="5" borderId="5" xfId="8" applyFont="1" applyFill="1" applyBorder="1" applyAlignment="1"/>
    <xf numFmtId="191" fontId="94" fillId="5" borderId="5" xfId="0" applyNumberFormat="1" applyFont="1" applyFill="1" applyBorder="1" applyAlignment="1">
      <alignment vertical="center"/>
    </xf>
    <xf numFmtId="0" fontId="98" fillId="5" borderId="5" xfId="0" applyFont="1" applyFill="1" applyBorder="1" applyAlignment="1">
      <alignment horizontal="center" vertical="center" wrapText="1"/>
    </xf>
    <xf numFmtId="0" fontId="98" fillId="5" borderId="5" xfId="20" applyFont="1" applyFill="1" applyBorder="1" applyAlignment="1">
      <alignment horizontal="center" vertical="center"/>
    </xf>
    <xf numFmtId="195" fontId="94" fillId="5" borderId="5" xfId="0" applyNumberFormat="1" applyFont="1" applyFill="1" applyBorder="1" applyAlignment="1">
      <alignment vertical="center" wrapText="1"/>
    </xf>
    <xf numFmtId="195" fontId="94" fillId="5" borderId="5" xfId="0" applyNumberFormat="1" applyFont="1" applyFill="1" applyBorder="1" applyAlignment="1">
      <alignment vertical="center"/>
    </xf>
    <xf numFmtId="49" fontId="4" fillId="5" borderId="5" xfId="0" applyNumberFormat="1" applyFont="1" applyFill="1" applyBorder="1" applyAlignment="1"/>
    <xf numFmtId="0" fontId="94" fillId="10" borderId="5" xfId="0" applyFont="1" applyFill="1" applyBorder="1" applyAlignment="1">
      <alignment horizontal="center" vertical="center"/>
    </xf>
    <xf numFmtId="0" fontId="94" fillId="0" borderId="45" xfId="0" applyFont="1" applyBorder="1" applyAlignment="1">
      <alignment horizontal="left"/>
    </xf>
    <xf numFmtId="0" fontId="96" fillId="0" borderId="5" xfId="0" applyFont="1" applyBorder="1" applyAlignment="1">
      <alignment horizontal="center" vertical="center" wrapText="1"/>
    </xf>
    <xf numFmtId="0" fontId="96" fillId="0" borderId="5" xfId="0" applyFont="1" applyBorder="1" applyAlignment="1">
      <alignment horizontal="center" vertical="center"/>
    </xf>
    <xf numFmtId="0" fontId="94" fillId="0" borderId="5" xfId="0" applyFont="1" applyFill="1" applyBorder="1" applyAlignment="1">
      <alignment horizontal="center" wrapText="1"/>
    </xf>
    <xf numFmtId="191" fontId="99" fillId="5" borderId="5" xfId="0" applyNumberFormat="1" applyFont="1" applyFill="1" applyBorder="1" applyAlignment="1"/>
    <xf numFmtId="195" fontId="99" fillId="5" borderId="5" xfId="0" applyNumberFormat="1" applyFont="1" applyFill="1" applyBorder="1" applyAlignment="1"/>
    <xf numFmtId="176" fontId="94" fillId="5" borderId="5" xfId="0" applyNumberFormat="1" applyFont="1" applyFill="1" applyBorder="1" applyAlignment="1">
      <alignment wrapText="1"/>
    </xf>
    <xf numFmtId="176" fontId="99" fillId="5" borderId="5" xfId="0" applyNumberFormat="1" applyFont="1" applyFill="1" applyBorder="1" applyAlignment="1"/>
    <xf numFmtId="191" fontId="99" fillId="5" borderId="5" xfId="0" applyNumberFormat="1" applyFont="1" applyFill="1" applyBorder="1" applyAlignment="1">
      <alignment vertical="center"/>
    </xf>
    <xf numFmtId="195" fontId="99" fillId="5" borderId="5" xfId="0" applyNumberFormat="1" applyFont="1" applyFill="1" applyBorder="1" applyAlignment="1">
      <alignment vertical="center"/>
    </xf>
    <xf numFmtId="176" fontId="99" fillId="5" borderId="5" xfId="0" applyNumberFormat="1" applyFont="1" applyFill="1" applyBorder="1" applyAlignment="1">
      <alignment vertical="center"/>
    </xf>
    <xf numFmtId="0" fontId="94" fillId="10" borderId="6" xfId="0" applyFont="1" applyFill="1" applyBorder="1" applyAlignment="1">
      <alignment horizontal="center"/>
    </xf>
    <xf numFmtId="0" fontId="94" fillId="10" borderId="44" xfId="0" applyFont="1" applyFill="1" applyBorder="1" applyAlignment="1">
      <alignment horizontal="center"/>
    </xf>
    <xf numFmtId="191" fontId="94" fillId="5" borderId="5" xfId="0" applyNumberFormat="1" applyFont="1" applyFill="1" applyBorder="1" applyAlignment="1"/>
    <xf numFmtId="195" fontId="94" fillId="5" borderId="5" xfId="0" applyNumberFormat="1" applyFont="1" applyFill="1" applyBorder="1" applyAlignment="1"/>
    <xf numFmtId="0" fontId="79" fillId="0" borderId="5" xfId="0" applyFont="1" applyFill="1" applyBorder="1" applyAlignment="1">
      <alignment horizontal="left" vertical="center"/>
    </xf>
    <xf numFmtId="185" fontId="15" fillId="5" borderId="5" xfId="0" applyNumberFormat="1" applyFont="1" applyFill="1" applyBorder="1" applyAlignment="1">
      <alignment horizontal="center" vertical="center"/>
    </xf>
    <xf numFmtId="185" fontId="15" fillId="5" borderId="0" xfId="0" applyNumberFormat="1" applyFont="1" applyFill="1" applyBorder="1" applyAlignment="1">
      <alignment horizontal="center" vertical="center"/>
    </xf>
    <xf numFmtId="1" fontId="100" fillId="0" borderId="5" xfId="8" applyNumberFormat="1" applyFont="1" applyFill="1" applyBorder="1" applyAlignment="1">
      <alignment horizontal="center" vertical="center"/>
    </xf>
    <xf numFmtId="1" fontId="100" fillId="5" borderId="5" xfId="8" applyNumberFormat="1" applyFont="1" applyFill="1" applyBorder="1" applyAlignment="1">
      <alignment horizontal="center" vertical="center"/>
    </xf>
    <xf numFmtId="1" fontId="100" fillId="5" borderId="0" xfId="8" applyNumberFormat="1" applyFont="1" applyFill="1" applyBorder="1" applyAlignment="1">
      <alignment horizontal="center" vertical="center"/>
    </xf>
    <xf numFmtId="196" fontId="29" fillId="18" borderId="5" xfId="66" applyNumberFormat="1" applyFont="1" applyFill="1" applyBorder="1" applyAlignment="1"/>
    <xf numFmtId="1" fontId="100" fillId="0" borderId="5" xfId="87" applyNumberFormat="1" applyFont="1" applyFill="1" applyBorder="1" applyAlignment="1">
      <alignment horizontal="center" vertical="center"/>
    </xf>
    <xf numFmtId="1" fontId="100" fillId="5" borderId="5" xfId="87" applyNumberFormat="1" applyFont="1" applyFill="1" applyBorder="1" applyAlignment="1">
      <alignment horizontal="center" vertical="center"/>
    </xf>
    <xf numFmtId="1" fontId="100" fillId="5" borderId="0" xfId="87" applyNumberFormat="1" applyFont="1" applyFill="1" applyBorder="1" applyAlignment="1">
      <alignment horizontal="center" vertical="center"/>
    </xf>
    <xf numFmtId="196" fontId="100" fillId="0" borderId="25" xfId="66" applyNumberFormat="1" applyFont="1" applyFill="1" applyBorder="1" applyAlignment="1">
      <alignment horizontal="center" vertical="center"/>
    </xf>
    <xf numFmtId="196" fontId="100" fillId="0" borderId="5" xfId="66" applyNumberFormat="1" applyFont="1" applyFill="1" applyBorder="1" applyAlignment="1">
      <alignment horizontal="center" vertical="center"/>
    </xf>
    <xf numFmtId="196" fontId="29" fillId="0" borderId="5" xfId="0" applyNumberFormat="1" applyFont="1" applyFill="1" applyBorder="1" applyAlignment="1"/>
    <xf numFmtId="196" fontId="100" fillId="5" borderId="25" xfId="0" applyNumberFormat="1" applyFont="1" applyFill="1" applyBorder="1" applyAlignment="1">
      <alignment horizontal="center" vertical="center"/>
    </xf>
    <xf numFmtId="196" fontId="100" fillId="5" borderId="0" xfId="0" applyNumberFormat="1" applyFont="1" applyFill="1" applyBorder="1" applyAlignment="1">
      <alignment horizontal="center" vertical="center"/>
    </xf>
    <xf numFmtId="196" fontId="100" fillId="0" borderId="25" xfId="0" applyNumberFormat="1" applyFont="1" applyFill="1" applyBorder="1" applyAlignment="1">
      <alignment horizontal="center" vertical="center"/>
    </xf>
    <xf numFmtId="196" fontId="100" fillId="0" borderId="5" xfId="0" applyNumberFormat="1" applyFont="1" applyFill="1" applyBorder="1" applyAlignment="1">
      <alignment horizontal="center" vertical="center"/>
    </xf>
    <xf numFmtId="196" fontId="100" fillId="5" borderId="5" xfId="0" applyNumberFormat="1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186" fontId="15" fillId="0" borderId="5" xfId="66" applyNumberFormat="1" applyFont="1" applyFill="1" applyBorder="1" applyAlignment="1">
      <alignment horizontal="center" vertical="center"/>
    </xf>
    <xf numFmtId="186" fontId="15" fillId="5" borderId="5" xfId="66" applyNumberFormat="1" applyFont="1" applyFill="1" applyBorder="1" applyAlignment="1">
      <alignment horizontal="center" vertical="center"/>
    </xf>
    <xf numFmtId="186" fontId="15" fillId="5" borderId="0" xfId="66" applyNumberFormat="1" applyFont="1" applyFill="1" applyBorder="1" applyAlignment="1">
      <alignment horizontal="center" vertical="center"/>
    </xf>
    <xf numFmtId="0" fontId="94" fillId="0" borderId="45" xfId="0" applyFont="1" applyFill="1" applyBorder="1" applyAlignment="1">
      <alignment horizontal="right" vertical="center"/>
    </xf>
    <xf numFmtId="191" fontId="94" fillId="0" borderId="5" xfId="0" applyNumberFormat="1" applyFont="1" applyFill="1" applyBorder="1" applyAlignment="1">
      <alignment vertical="center"/>
    </xf>
    <xf numFmtId="191" fontId="99" fillId="0" borderId="5" xfId="0" applyNumberFormat="1" applyFont="1" applyFill="1" applyBorder="1" applyAlignment="1"/>
    <xf numFmtId="191" fontId="94" fillId="10" borderId="5" xfId="0" applyNumberFormat="1" applyFont="1" applyFill="1" applyBorder="1" applyAlignment="1">
      <alignment vertical="center"/>
    </xf>
    <xf numFmtId="0" fontId="94" fillId="0" borderId="45" xfId="0" applyFont="1" applyBorder="1" applyAlignment="1">
      <alignment horizontal="right"/>
    </xf>
    <xf numFmtId="0" fontId="94" fillId="0" borderId="5" xfId="0" applyFont="1" applyBorder="1" applyAlignment="1">
      <alignment horizontal="center" vertical="center"/>
    </xf>
    <xf numFmtId="191" fontId="94" fillId="0" borderId="5" xfId="0" applyNumberFormat="1" applyFont="1" applyBorder="1" applyAlignment="1"/>
    <xf numFmtId="191" fontId="99" fillId="0" borderId="5" xfId="0" applyNumberFormat="1" applyFont="1" applyFill="1" applyBorder="1" applyAlignment="1">
      <alignment vertical="center"/>
    </xf>
    <xf numFmtId="191" fontId="94" fillId="0" borderId="5" xfId="0" applyNumberFormat="1" applyFont="1" applyBorder="1" applyAlignment="1">
      <alignment vertical="center"/>
    </xf>
    <xf numFmtId="191" fontId="94" fillId="10" borderId="5" xfId="0" applyNumberFormat="1" applyFont="1" applyFill="1" applyBorder="1" applyAlignment="1"/>
    <xf numFmtId="9" fontId="15" fillId="6" borderId="0" xfId="0" applyNumberFormat="1" applyFont="1" applyFill="1"/>
    <xf numFmtId="186" fontId="15" fillId="0" borderId="5" xfId="0" applyNumberFormat="1" applyFont="1" applyFill="1" applyBorder="1" applyAlignment="1">
      <alignment horizontal="center" vertical="center"/>
    </xf>
    <xf numFmtId="186" fontId="15" fillId="5" borderId="5" xfId="0" applyNumberFormat="1" applyFont="1" applyFill="1" applyBorder="1" applyAlignment="1">
      <alignment horizontal="center" vertical="center"/>
    </xf>
    <xf numFmtId="186" fontId="15" fillId="5" borderId="0" xfId="0" applyNumberFormat="1" applyFont="1" applyFill="1" applyBorder="1" applyAlignment="1">
      <alignment horizontal="center" vertical="center"/>
    </xf>
    <xf numFmtId="0" fontId="15" fillId="0" borderId="0" xfId="0" applyFont="1" applyFill="1"/>
    <xf numFmtId="0" fontId="15" fillId="0" borderId="0" xfId="0" applyFont="1" applyFill="1" applyAlignment="1">
      <alignment horizontal="center" vertical="center"/>
    </xf>
    <xf numFmtId="196" fontId="29" fillId="0" borderId="5" xfId="0" applyNumberFormat="1" applyFont="1" applyFill="1" applyBorder="1" applyAlignment="1">
      <alignment horizontal="left"/>
    </xf>
    <xf numFmtId="196" fontId="29" fillId="15" borderId="5" xfId="66" applyNumberFormat="1" applyFont="1" applyFill="1" applyBorder="1" applyAlignment="1"/>
    <xf numFmtId="185" fontId="15" fillId="15" borderId="5" xfId="0" applyNumberFormat="1" applyFont="1" applyFill="1" applyBorder="1" applyAlignment="1">
      <alignment horizontal="center" vertical="center"/>
    </xf>
    <xf numFmtId="185" fontId="15" fillId="15" borderId="0" xfId="0" applyNumberFormat="1" applyFont="1" applyFill="1" applyBorder="1" applyAlignment="1">
      <alignment horizontal="center" vertical="center"/>
    </xf>
    <xf numFmtId="0" fontId="101" fillId="15" borderId="0" xfId="0" applyFont="1" applyFill="1"/>
    <xf numFmtId="0" fontId="101" fillId="0" borderId="0" xfId="0" applyFont="1"/>
    <xf numFmtId="0" fontId="100" fillId="0" borderId="0" xfId="0" applyFont="1" applyAlignment="1">
      <alignment vertical="center"/>
    </xf>
    <xf numFmtId="0" fontId="100" fillId="0" borderId="0" xfId="0" applyFont="1" applyFill="1" applyAlignment="1">
      <alignment vertical="center"/>
    </xf>
    <xf numFmtId="0" fontId="100" fillId="0" borderId="5" xfId="0" applyFont="1" applyBorder="1" applyAlignment="1">
      <alignment vertical="center"/>
    </xf>
    <xf numFmtId="43" fontId="100" fillId="6" borderId="5" xfId="92" applyFont="1" applyFill="1" applyBorder="1" applyAlignment="1">
      <alignment vertical="center"/>
    </xf>
    <xf numFmtId="43" fontId="100" fillId="0" borderId="5" xfId="0" applyNumberFormat="1" applyFont="1" applyBorder="1" applyAlignment="1">
      <alignment vertical="center"/>
    </xf>
    <xf numFmtId="43" fontId="100" fillId="0" borderId="5" xfId="92" applyFont="1" applyFill="1" applyBorder="1" applyAlignment="1">
      <alignment vertical="center"/>
    </xf>
    <xf numFmtId="43" fontId="100" fillId="0" borderId="5" xfId="0" applyNumberFormat="1" applyFont="1" applyFill="1" applyBorder="1" applyAlignment="1">
      <alignment vertical="center"/>
    </xf>
    <xf numFmtId="43" fontId="101" fillId="0" borderId="5" xfId="92" applyFont="1" applyFill="1" applyBorder="1" applyAlignment="1">
      <alignment vertical="center"/>
    </xf>
    <xf numFmtId="0" fontId="101" fillId="0" borderId="5" xfId="0" applyFont="1" applyBorder="1" applyAlignment="1">
      <alignment horizontal="center" vertical="center"/>
    </xf>
    <xf numFmtId="0" fontId="0" fillId="0" borderId="5" xfId="0" applyFont="1" applyFill="1" applyBorder="1"/>
    <xf numFmtId="0" fontId="101" fillId="0" borderId="0" xfId="0" applyFont="1" applyAlignment="1">
      <alignment vertical="center"/>
    </xf>
    <xf numFmtId="9" fontId="100" fillId="0" borderId="0" xfId="0" applyNumberFormat="1" applyFont="1" applyAlignment="1">
      <alignment vertical="center"/>
    </xf>
    <xf numFmtId="0" fontId="101" fillId="0" borderId="0" xfId="0" applyFont="1" applyFill="1" applyAlignment="1">
      <alignment vertical="center"/>
    </xf>
    <xf numFmtId="10" fontId="100" fillId="0" borderId="0" xfId="0" applyNumberFormat="1" applyFont="1" applyFill="1" applyAlignment="1">
      <alignment vertical="center"/>
    </xf>
    <xf numFmtId="10" fontId="100" fillId="0" borderId="0" xfId="0" applyNumberFormat="1" applyFont="1" applyAlignment="1">
      <alignment vertical="center"/>
    </xf>
    <xf numFmtId="0" fontId="0" fillId="10" borderId="0" xfId="0" applyFill="1"/>
    <xf numFmtId="185" fontId="0" fillId="17" borderId="0" xfId="0" applyNumberFormat="1" applyFill="1"/>
    <xf numFmtId="0" fontId="0" fillId="0" borderId="0" xfId="63" applyFont="1" applyAlignment="1">
      <alignment horizontal="center"/>
    </xf>
    <xf numFmtId="0" fontId="6" fillId="0" borderId="5" xfId="63" applyFont="1" applyBorder="1" applyAlignment="1">
      <alignment horizontal="left" vertical="center"/>
    </xf>
    <xf numFmtId="0" fontId="6" fillId="0" borderId="5" xfId="63" applyFont="1" applyFill="1" applyBorder="1" applyAlignment="1">
      <alignment horizontal="center" vertical="center"/>
    </xf>
    <xf numFmtId="0" fontId="0" fillId="10" borderId="5" xfId="63" applyFont="1" applyFill="1" applyBorder="1" applyAlignment="1">
      <alignment horizontal="center" vertical="center"/>
    </xf>
    <xf numFmtId="185" fontId="0" fillId="10" borderId="5" xfId="0" applyNumberFormat="1" applyFill="1" applyBorder="1"/>
    <xf numFmtId="0" fontId="6" fillId="0" borderId="5" xfId="63" applyFont="1" applyFill="1" applyBorder="1" applyAlignment="1">
      <alignment horizontal="left" vertical="center"/>
    </xf>
    <xf numFmtId="0" fontId="0" fillId="0" borderId="5" xfId="0" applyFill="1" applyBorder="1"/>
    <xf numFmtId="188" fontId="0" fillId="0" borderId="5" xfId="0" applyNumberFormat="1" applyFill="1" applyBorder="1"/>
    <xf numFmtId="185" fontId="6" fillId="17" borderId="5" xfId="63" applyNumberFormat="1" applyFont="1" applyFill="1" applyBorder="1" applyAlignment="1">
      <alignment horizontal="left" vertical="center"/>
    </xf>
    <xf numFmtId="185" fontId="0" fillId="17" borderId="5" xfId="0" applyNumberFormat="1" applyFill="1" applyBorder="1"/>
    <xf numFmtId="185" fontId="102" fillId="10" borderId="5" xfId="0" applyNumberFormat="1" applyFont="1" applyFill="1" applyBorder="1"/>
    <xf numFmtId="188" fontId="6" fillId="0" borderId="42" xfId="63" applyNumberFormat="1" applyFont="1" applyFill="1" applyBorder="1" applyAlignment="1">
      <alignment horizontal="center" vertical="center"/>
    </xf>
    <xf numFmtId="200" fontId="6" fillId="0" borderId="42" xfId="63" applyNumberFormat="1" applyFont="1" applyFill="1" applyBorder="1" applyAlignment="1">
      <alignment horizontal="center" vertical="center"/>
    </xf>
    <xf numFmtId="0" fontId="0" fillId="11" borderId="0" xfId="0" applyFill="1"/>
    <xf numFmtId="0" fontId="0" fillId="19" borderId="0" xfId="0" applyFill="1"/>
    <xf numFmtId="185" fontId="103" fillId="0" borderId="5" xfId="0" applyNumberFormat="1" applyFont="1" applyBorder="1" applyAlignment="1">
      <alignment horizontal="center" vertical="center"/>
    </xf>
    <xf numFmtId="0" fontId="0" fillId="3" borderId="5" xfId="0" applyFont="1" applyFill="1" applyBorder="1"/>
    <xf numFmtId="0" fontId="0" fillId="3" borderId="5" xfId="0" applyFill="1" applyBorder="1"/>
    <xf numFmtId="185" fontId="0" fillId="3" borderId="5" xfId="0" applyNumberFormat="1" applyFill="1" applyBorder="1"/>
    <xf numFmtId="0" fontId="0" fillId="11" borderId="5" xfId="0" applyFont="1" applyFill="1" applyBorder="1"/>
    <xf numFmtId="0" fontId="0" fillId="11" borderId="5" xfId="0" applyFill="1" applyBorder="1"/>
    <xf numFmtId="185" fontId="103" fillId="11" borderId="5" xfId="0" applyNumberFormat="1" applyFont="1" applyFill="1" applyBorder="1" applyAlignment="1">
      <alignment horizontal="center" vertical="center"/>
    </xf>
    <xf numFmtId="0" fontId="0" fillId="19" borderId="5" xfId="0" applyFill="1" applyBorder="1"/>
    <xf numFmtId="185" fontId="0" fillId="19" borderId="5" xfId="0" applyNumberFormat="1" applyFill="1" applyBorder="1"/>
    <xf numFmtId="9" fontId="0" fillId="10" borderId="5" xfId="0" applyNumberFormat="1" applyFill="1" applyBorder="1"/>
    <xf numFmtId="0" fontId="0" fillId="3" borderId="0" xfId="0" applyFont="1" applyFill="1"/>
    <xf numFmtId="0" fontId="40" fillId="3" borderId="0" xfId="0" applyFont="1" applyFill="1"/>
    <xf numFmtId="0" fontId="40" fillId="0" borderId="0" xfId="0" applyFont="1" applyAlignment="1">
      <alignment horizontal="center" vertical="center"/>
    </xf>
    <xf numFmtId="0" fontId="40" fillId="0" borderId="0" xfId="0" applyFont="1"/>
    <xf numFmtId="0" fontId="104" fillId="0" borderId="0" xfId="0" applyFont="1" applyAlignment="1">
      <alignment horizontal="left" vertical="center"/>
    </xf>
    <xf numFmtId="0" fontId="40" fillId="0" borderId="5" xfId="0" applyFont="1" applyBorder="1" applyAlignment="1">
      <alignment horizontal="center" vertical="center"/>
    </xf>
    <xf numFmtId="0" fontId="105" fillId="2" borderId="5" xfId="0" applyFont="1" applyFill="1" applyBorder="1" applyAlignment="1">
      <alignment horizontal="center" vertical="center" wrapText="1"/>
    </xf>
    <xf numFmtId="4" fontId="105" fillId="2" borderId="5" xfId="0" applyNumberFormat="1" applyFont="1" applyFill="1" applyBorder="1" applyAlignment="1">
      <alignment horizontal="center" vertical="center" wrapText="1"/>
    </xf>
    <xf numFmtId="0" fontId="106" fillId="2" borderId="5" xfId="0" applyFont="1" applyFill="1" applyBorder="1" applyAlignment="1">
      <alignment horizontal="center" vertical="center" wrapText="1"/>
    </xf>
    <xf numFmtId="10" fontId="106" fillId="2" borderId="5" xfId="0" applyNumberFormat="1" applyFont="1" applyFill="1" applyBorder="1" applyAlignment="1">
      <alignment horizontal="center" vertical="center" wrapText="1"/>
    </xf>
    <xf numFmtId="0" fontId="106" fillId="3" borderId="5" xfId="0" applyFont="1" applyFill="1" applyBorder="1" applyAlignment="1">
      <alignment horizontal="center" vertical="center" wrapText="1"/>
    </xf>
    <xf numFmtId="0" fontId="40" fillId="3" borderId="15" xfId="0" applyFont="1" applyFill="1" applyBorder="1" applyAlignment="1">
      <alignment horizontal="center" vertical="center"/>
    </xf>
    <xf numFmtId="0" fontId="105" fillId="3" borderId="5" xfId="0" applyFont="1" applyFill="1" applyBorder="1" applyAlignment="1">
      <alignment horizontal="center" vertical="center" wrapText="1"/>
    </xf>
    <xf numFmtId="4" fontId="105" fillId="3" borderId="5" xfId="0" applyNumberFormat="1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center" vertical="center"/>
    </xf>
    <xf numFmtId="0" fontId="40" fillId="3" borderId="25" xfId="0" applyFont="1" applyFill="1" applyBorder="1" applyAlignment="1">
      <alignment horizontal="center" vertical="center"/>
    </xf>
    <xf numFmtId="4" fontId="107" fillId="3" borderId="5" xfId="0" applyNumberFormat="1" applyFont="1" applyFill="1" applyBorder="1" applyAlignment="1">
      <alignment horizontal="center" vertical="center" wrapText="1"/>
    </xf>
    <xf numFmtId="10" fontId="105" fillId="2" borderId="5" xfId="0" applyNumberFormat="1" applyFont="1" applyFill="1" applyBorder="1" applyAlignment="1">
      <alignment horizontal="center" vertical="center" wrapText="1"/>
    </xf>
    <xf numFmtId="185" fontId="40" fillId="0" borderId="0" xfId="0" applyNumberFormat="1" applyFont="1"/>
    <xf numFmtId="0" fontId="108" fillId="0" borderId="0" xfId="0" applyFont="1" applyAlignment="1">
      <alignment horizontal="center" vertical="top" wrapText="1"/>
    </xf>
    <xf numFmtId="0" fontId="109" fillId="0" borderId="0" xfId="0" applyFont="1" applyAlignment="1">
      <alignment horizontal="center" vertical="top" wrapText="1"/>
    </xf>
    <xf numFmtId="0" fontId="108" fillId="0" borderId="0" xfId="0" applyFont="1" applyAlignment="1">
      <alignment vertical="top" wrapText="1"/>
    </xf>
    <xf numFmtId="9" fontId="109" fillId="0" borderId="0" xfId="0" applyNumberFormat="1" applyFont="1" applyAlignment="1">
      <alignment horizontal="center" vertical="center" wrapText="1"/>
    </xf>
    <xf numFmtId="0" fontId="109" fillId="0" borderId="0" xfId="0" applyFont="1" applyAlignment="1">
      <alignment vertical="top" wrapText="1"/>
    </xf>
    <xf numFmtId="49" fontId="40" fillId="0" borderId="0" xfId="0" applyNumberFormat="1" applyFont="1" applyAlignment="1">
      <alignment horizontal="center" vertical="center"/>
    </xf>
    <xf numFmtId="0" fontId="40" fillId="0" borderId="5" xfId="0" applyFont="1" applyBorder="1"/>
    <xf numFmtId="10" fontId="40" fillId="0" borderId="5" xfId="0" applyNumberFormat="1" applyFont="1" applyBorder="1"/>
    <xf numFmtId="49" fontId="40" fillId="0" borderId="5" xfId="0" applyNumberFormat="1" applyFont="1" applyBorder="1" applyAlignment="1">
      <alignment horizontal="center" vertical="center"/>
    </xf>
    <xf numFmtId="9" fontId="0" fillId="0" borderId="0" xfId="0" applyNumberFormat="1"/>
    <xf numFmtId="0" fontId="109" fillId="0" borderId="38" xfId="0" applyFont="1" applyBorder="1" applyAlignment="1">
      <alignment horizontal="center" vertical="center" wrapText="1"/>
    </xf>
    <xf numFmtId="0" fontId="109" fillId="0" borderId="39" xfId="0" applyFont="1" applyBorder="1" applyAlignment="1">
      <alignment horizontal="center" vertical="center" wrapText="1"/>
    </xf>
    <xf numFmtId="0" fontId="109" fillId="0" borderId="40" xfId="0" applyFont="1" applyBorder="1" applyAlignment="1">
      <alignment horizontal="center" vertical="center" wrapText="1"/>
    </xf>
    <xf numFmtId="186" fontId="109" fillId="0" borderId="41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78" fillId="0" borderId="0" xfId="0" applyFont="1" applyAlignment="1">
      <alignment horizontal="center" vertical="top" wrapText="1"/>
    </xf>
    <xf numFmtId="0" fontId="78" fillId="0" borderId="0" xfId="0" applyFont="1" applyAlignment="1">
      <alignment horizontal="left" vertical="center" wrapText="1"/>
    </xf>
    <xf numFmtId="0" fontId="78" fillId="0" borderId="0" xfId="0" applyFont="1" applyAlignment="1">
      <alignment horizontal="left" vertical="center"/>
    </xf>
    <xf numFmtId="0" fontId="78" fillId="0" borderId="0" xfId="0" applyFont="1" applyAlignment="1">
      <alignment horizontal="left" wrapText="1"/>
    </xf>
    <xf numFmtId="0" fontId="80" fillId="3" borderId="5" xfId="0" applyFont="1" applyFill="1" applyBorder="1" applyAlignment="1">
      <alignment horizontal="center" vertical="center" wrapText="1"/>
    </xf>
    <xf numFmtId="0" fontId="80" fillId="3" borderId="5" xfId="0" applyFont="1" applyFill="1" applyBorder="1" applyAlignment="1">
      <alignment horizontal="left" vertical="center" wrapText="1"/>
    </xf>
    <xf numFmtId="0" fontId="84" fillId="3" borderId="5" xfId="0" applyFont="1" applyFill="1" applyBorder="1" applyAlignment="1">
      <alignment horizontal="center" vertical="center"/>
    </xf>
    <xf numFmtId="0" fontId="80" fillId="18" borderId="46" xfId="0" applyFont="1" applyFill="1" applyBorder="1" applyAlignment="1">
      <alignment horizontal="center" vertical="center" wrapText="1"/>
    </xf>
    <xf numFmtId="0" fontId="80" fillId="18" borderId="21" xfId="0" applyFont="1" applyFill="1" applyBorder="1" applyAlignment="1">
      <alignment horizontal="center" vertical="center" wrapText="1"/>
    </xf>
    <xf numFmtId="0" fontId="80" fillId="18" borderId="47" xfId="0" applyFont="1" applyFill="1" applyBorder="1" applyAlignment="1">
      <alignment horizontal="center" vertical="center" wrapText="1"/>
    </xf>
    <xf numFmtId="0" fontId="80" fillId="18" borderId="48" xfId="0" applyFont="1" applyFill="1" applyBorder="1" applyAlignment="1">
      <alignment horizontal="center" vertical="center" wrapText="1"/>
    </xf>
    <xf numFmtId="0" fontId="80" fillId="18" borderId="49" xfId="0" applyFont="1" applyFill="1" applyBorder="1" applyAlignment="1">
      <alignment horizontal="center" vertical="center" wrapText="1"/>
    </xf>
    <xf numFmtId="0" fontId="80" fillId="18" borderId="4" xfId="0" applyFont="1" applyFill="1" applyBorder="1" applyAlignment="1">
      <alignment horizontal="center" vertical="center" wrapText="1"/>
    </xf>
    <xf numFmtId="0" fontId="80" fillId="0" borderId="3" xfId="0" applyFont="1" applyBorder="1" applyAlignment="1">
      <alignment horizontal="justify" vertical="center" wrapText="1"/>
    </xf>
    <xf numFmtId="4" fontId="80" fillId="0" borderId="4" xfId="0" applyNumberFormat="1" applyFont="1" applyBorder="1" applyAlignment="1">
      <alignment horizontal="right" vertical="center" wrapText="1"/>
    </xf>
    <xf numFmtId="10" fontId="80" fillId="0" borderId="4" xfId="0" applyNumberFormat="1" applyFont="1" applyBorder="1" applyAlignment="1">
      <alignment horizontal="right" vertical="center" wrapText="1"/>
    </xf>
    <xf numFmtId="4" fontId="80" fillId="5" borderId="4" xfId="0" applyNumberFormat="1" applyFont="1" applyFill="1" applyBorder="1" applyAlignment="1">
      <alignment horizontal="right" vertical="center" wrapText="1"/>
    </xf>
    <xf numFmtId="0" fontId="80" fillId="0" borderId="3" xfId="0" applyFont="1" applyBorder="1" applyAlignment="1">
      <alignment horizontal="left" vertical="center" wrapText="1"/>
    </xf>
    <xf numFmtId="0" fontId="80" fillId="0" borderId="4" xfId="0" applyFont="1" applyBorder="1" applyAlignment="1">
      <alignment horizontal="right" vertical="center" wrapText="1"/>
    </xf>
    <xf numFmtId="0" fontId="80" fillId="0" borderId="3" xfId="0" applyFont="1" applyBorder="1" applyAlignment="1">
      <alignment horizontal="center" vertical="center" wrapText="1"/>
    </xf>
    <xf numFmtId="0" fontId="84" fillId="0" borderId="0" xfId="0" applyFont="1"/>
    <xf numFmtId="0" fontId="4" fillId="0" borderId="0" xfId="0" applyFont="1" applyFill="1" applyAlignment="1" applyProtection="1">
      <alignment vertical="center"/>
    </xf>
    <xf numFmtId="0" fontId="40" fillId="0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Font="1" applyFill="1" applyAlignment="1" applyProtection="1"/>
    <xf numFmtId="0" fontId="110" fillId="0" borderId="0" xfId="0" applyFont="1" applyFill="1" applyAlignment="1" applyProtection="1">
      <alignment horizontal="centerContinuous"/>
    </xf>
    <xf numFmtId="0" fontId="0" fillId="0" borderId="0" xfId="0" applyFont="1" applyFill="1" applyAlignment="1" applyProtection="1">
      <alignment horizontal="centerContinuous"/>
    </xf>
    <xf numFmtId="0" fontId="84" fillId="0" borderId="0" xfId="0" applyFont="1" applyFill="1" applyAlignment="1" applyProtection="1"/>
    <xf numFmtId="0" fontId="111" fillId="0" borderId="0" xfId="0" applyFont="1" applyFill="1" applyBorder="1" applyAlignment="1" applyProtection="1"/>
    <xf numFmtId="0" fontId="84" fillId="0" borderId="0" xfId="0" applyFont="1" applyFill="1" applyAlignment="1" applyProtection="1">
      <alignment horizontal="right"/>
    </xf>
    <xf numFmtId="201" fontId="104" fillId="0" borderId="0" xfId="0" applyNumberFormat="1" applyFont="1" applyFill="1" applyAlignment="1" applyProtection="1"/>
    <xf numFmtId="0" fontId="4" fillId="20" borderId="50" xfId="0" applyFont="1" applyFill="1" applyBorder="1" applyAlignment="1" applyProtection="1">
      <alignment horizontal="center" vertical="center"/>
    </xf>
    <xf numFmtId="0" fontId="4" fillId="20" borderId="51" xfId="0" applyFont="1" applyFill="1" applyBorder="1" applyAlignment="1" applyProtection="1">
      <alignment horizontal="center" vertical="center"/>
    </xf>
    <xf numFmtId="0" fontId="4" fillId="20" borderId="51" xfId="89" applyNumberFormat="1" applyFont="1" applyFill="1" applyBorder="1" applyAlignment="1" applyProtection="1">
      <alignment horizontal="center" vertical="center"/>
    </xf>
    <xf numFmtId="202" fontId="4" fillId="20" borderId="51" xfId="89" applyNumberFormat="1" applyFont="1" applyFill="1" applyBorder="1" applyAlignment="1" applyProtection="1">
      <alignment horizontal="center" vertical="center"/>
    </xf>
    <xf numFmtId="202" fontId="4" fillId="20" borderId="52" xfId="89" applyNumberFormat="1" applyFont="1" applyFill="1" applyBorder="1" applyAlignment="1" applyProtection="1">
      <alignment horizontal="center" vertical="center"/>
    </xf>
    <xf numFmtId="0" fontId="4" fillId="20" borderId="29" xfId="0" applyFont="1" applyFill="1" applyBorder="1" applyAlignment="1" applyProtection="1">
      <alignment horizontal="center" vertical="center"/>
    </xf>
    <xf numFmtId="0" fontId="4" fillId="20" borderId="30" xfId="0" applyFont="1" applyFill="1" applyBorder="1" applyAlignment="1" applyProtection="1">
      <alignment horizontal="center" vertical="center"/>
    </xf>
    <xf numFmtId="0" fontId="4" fillId="20" borderId="30" xfId="89" applyNumberFormat="1" applyFont="1" applyFill="1" applyBorder="1" applyAlignment="1" applyProtection="1">
      <alignment horizontal="center" vertical="center"/>
    </xf>
    <xf numFmtId="0" fontId="4" fillId="20" borderId="53" xfId="89" applyNumberFormat="1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43" fontId="4" fillId="0" borderId="30" xfId="89" applyFont="1" applyFill="1" applyBorder="1" applyAlignment="1" applyProtection="1">
      <alignment horizontal="center" vertical="center"/>
    </xf>
    <xf numFmtId="10" fontId="4" fillId="0" borderId="30" xfId="89" applyNumberFormat="1" applyFont="1" applyFill="1" applyBorder="1" applyAlignment="1" applyProtection="1">
      <alignment horizontal="right" vertical="center"/>
    </xf>
    <xf numFmtId="10" fontId="4" fillId="0" borderId="53" xfId="89" applyNumberFormat="1" applyFont="1" applyFill="1" applyBorder="1" applyAlignment="1" applyProtection="1">
      <alignment horizontal="right" vertical="center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32" xfId="0" applyFont="1" applyFill="1" applyBorder="1" applyAlignment="1" applyProtection="1">
      <alignment horizontal="center" vertical="center"/>
    </xf>
    <xf numFmtId="43" fontId="4" fillId="0" borderId="32" xfId="89" applyFont="1" applyFill="1" applyBorder="1" applyAlignment="1" applyProtection="1">
      <alignment horizontal="center" vertical="center"/>
    </xf>
    <xf numFmtId="10" fontId="4" fillId="0" borderId="32" xfId="89" applyNumberFormat="1" applyFont="1" applyFill="1" applyBorder="1" applyAlignment="1" applyProtection="1">
      <alignment horizontal="right" vertical="center"/>
    </xf>
    <xf numFmtId="10" fontId="4" fillId="0" borderId="54" xfId="89" applyNumberFormat="1" applyFont="1" applyFill="1" applyBorder="1" applyAlignment="1" applyProtection="1">
      <alignment horizontal="right" vertical="center"/>
    </xf>
    <xf numFmtId="0" fontId="104" fillId="0" borderId="0" xfId="0" applyFont="1" applyFill="1" applyBorder="1" applyAlignment="1" applyProtection="1">
      <alignment horizontal="center" vertical="center"/>
    </xf>
    <xf numFmtId="43" fontId="40" fillId="0" borderId="0" xfId="89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left" vertical="center" shrinkToFit="1"/>
    </xf>
    <xf numFmtId="185" fontId="4" fillId="0" borderId="30" xfId="89" applyNumberFormat="1" applyFont="1" applyFill="1" applyBorder="1" applyAlignment="1" applyProtection="1">
      <alignment horizontal="right" vertical="center"/>
    </xf>
    <xf numFmtId="185" fontId="4" fillId="0" borderId="32" xfId="89" applyNumberFormat="1" applyFont="1" applyFill="1" applyBorder="1" applyAlignment="1" applyProtection="1">
      <alignment horizontal="right" vertical="center"/>
    </xf>
    <xf numFmtId="0" fontId="4" fillId="20" borderId="52" xfId="89" applyNumberFormat="1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  <protection locked="0"/>
    </xf>
    <xf numFmtId="185" fontId="4" fillId="21" borderId="30" xfId="89" applyNumberFormat="1" applyFont="1" applyFill="1" applyBorder="1" applyAlignment="1" applyProtection="1">
      <alignment horizontal="center" vertical="center" shrinkToFit="1"/>
      <protection locked="0"/>
    </xf>
    <xf numFmtId="185" fontId="4" fillId="21" borderId="30" xfId="89" applyNumberFormat="1" applyFont="1" applyFill="1" applyBorder="1" applyAlignment="1" applyProtection="1">
      <alignment horizontal="right" vertical="center" shrinkToFit="1"/>
      <protection locked="0"/>
    </xf>
    <xf numFmtId="199" fontId="4" fillId="0" borderId="30" xfId="13" applyNumberFormat="1" applyFont="1" applyFill="1" applyBorder="1" applyAlignment="1" applyProtection="1">
      <alignment horizontal="right" vertical="center"/>
    </xf>
    <xf numFmtId="185" fontId="4" fillId="21" borderId="53" xfId="89" applyNumberFormat="1" applyFont="1" applyFill="1" applyBorder="1" applyAlignment="1" applyProtection="1">
      <alignment horizontal="right" vertical="center" shrinkToFit="1"/>
      <protection locked="0"/>
    </xf>
    <xf numFmtId="43" fontId="4" fillId="0" borderId="0" xfId="89" applyFont="1" applyFill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  <protection locked="0"/>
    </xf>
    <xf numFmtId="185" fontId="4" fillId="0" borderId="54" xfId="89" applyNumberFormat="1" applyFont="1" applyFill="1" applyBorder="1" applyAlignment="1" applyProtection="1">
      <alignment horizontal="right" vertical="center"/>
    </xf>
    <xf numFmtId="0" fontId="40" fillId="0" borderId="0" xfId="0" applyFont="1" applyFill="1" applyBorder="1" applyAlignment="1" applyProtection="1">
      <alignment horizontal="center" vertical="center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85" fontId="4" fillId="21" borderId="56" xfId="89" applyNumberFormat="1" applyFont="1" applyFill="1" applyBorder="1" applyAlignment="1" applyProtection="1">
      <alignment horizontal="center" vertical="center" shrinkToFit="1"/>
      <protection locked="0"/>
    </xf>
    <xf numFmtId="185" fontId="4" fillId="21" borderId="56" xfId="89" applyNumberFormat="1" applyFont="1" applyFill="1" applyBorder="1" applyAlignment="1" applyProtection="1">
      <alignment horizontal="right" vertical="center" shrinkToFit="1"/>
      <protection locked="0"/>
    </xf>
    <xf numFmtId="10" fontId="4" fillId="0" borderId="56" xfId="89" applyNumberFormat="1" applyFont="1" applyFill="1" applyBorder="1" applyAlignment="1" applyProtection="1">
      <alignment horizontal="right" vertical="center"/>
    </xf>
    <xf numFmtId="199" fontId="4" fillId="0" borderId="56" xfId="13" applyNumberFormat="1" applyFont="1" applyFill="1" applyBorder="1" applyAlignment="1" applyProtection="1">
      <alignment horizontal="right" vertical="center"/>
    </xf>
    <xf numFmtId="185" fontId="4" fillId="21" borderId="57" xfId="89" applyNumberFormat="1" applyFont="1" applyFill="1" applyBorder="1" applyAlignment="1" applyProtection="1">
      <alignment horizontal="right" vertical="center" shrinkToFit="1"/>
      <protection locked="0"/>
    </xf>
    <xf numFmtId="0" fontId="70" fillId="0" borderId="30" xfId="0" applyFont="1" applyFill="1" applyBorder="1" applyAlignment="1" applyProtection="1">
      <alignment horizontal="center" vertical="center"/>
    </xf>
    <xf numFmtId="185" fontId="70" fillId="0" borderId="30" xfId="89" applyNumberFormat="1" applyFont="1" applyFill="1" applyBorder="1" applyAlignment="1" applyProtection="1">
      <alignment horizontal="right" vertical="center"/>
    </xf>
    <xf numFmtId="0" fontId="4" fillId="0" borderId="30" xfId="0" applyFont="1" applyFill="1" applyBorder="1" applyAlignment="1" applyProtection="1">
      <alignment horizontal="left" vertical="center"/>
    </xf>
    <xf numFmtId="10" fontId="70" fillId="0" borderId="30" xfId="89" applyNumberFormat="1" applyFont="1" applyFill="1" applyBorder="1" applyAlignment="1" applyProtection="1">
      <alignment horizontal="right" vertical="center"/>
    </xf>
    <xf numFmtId="10" fontId="70" fillId="0" borderId="53" xfId="89" applyNumberFormat="1" applyFont="1" applyFill="1" applyBorder="1" applyAlignment="1" applyProtection="1">
      <alignment horizontal="right" vertical="center"/>
    </xf>
    <xf numFmtId="0" fontId="4" fillId="0" borderId="32" xfId="0" applyFont="1" applyFill="1" applyBorder="1" applyAlignment="1" applyProtection="1">
      <alignment horizontal="left" vertical="center"/>
    </xf>
    <xf numFmtId="0" fontId="112" fillId="0" borderId="0" xfId="0" applyFont="1" applyFill="1" applyBorder="1" applyAlignment="1" applyProtection="1">
      <alignment horizontal="center" vertical="center"/>
    </xf>
    <xf numFmtId="43" fontId="113" fillId="0" borderId="0" xfId="89" applyFont="1" applyFill="1" applyBorder="1" applyAlignment="1" applyProtection="1">
      <alignment horizontal="center" vertical="center"/>
    </xf>
    <xf numFmtId="0" fontId="104" fillId="0" borderId="0" xfId="0" applyFont="1" applyFill="1" applyBorder="1" applyAlignment="1" applyProtection="1">
      <alignment horizontal="left" vertical="center"/>
    </xf>
    <xf numFmtId="185" fontId="4" fillId="0" borderId="30" xfId="89" applyNumberFormat="1" applyFont="1" applyFill="1" applyBorder="1" applyAlignment="1" applyProtection="1">
      <alignment horizontal="right" vertical="center" shrinkToFit="1"/>
    </xf>
    <xf numFmtId="185" fontId="4" fillId="21" borderId="30" xfId="89" applyNumberFormat="1" applyFont="1" applyFill="1" applyBorder="1" applyAlignment="1" applyProtection="1">
      <alignment horizontal="left" vertical="center" shrinkToFit="1"/>
      <protection locked="0"/>
    </xf>
    <xf numFmtId="0" fontId="70" fillId="0" borderId="32" xfId="0" applyFont="1" applyFill="1" applyBorder="1" applyAlignment="1" applyProtection="1">
      <alignment horizontal="center" vertical="center"/>
    </xf>
    <xf numFmtId="185" fontId="70" fillId="0" borderId="32" xfId="89" applyNumberFormat="1" applyFont="1" applyFill="1" applyBorder="1" applyAlignment="1" applyProtection="1">
      <alignment horizontal="right" vertical="center"/>
    </xf>
    <xf numFmtId="0" fontId="4" fillId="20" borderId="50" xfId="89" applyNumberFormat="1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 shrinkToFit="1"/>
    </xf>
    <xf numFmtId="2" fontId="4" fillId="0" borderId="30" xfId="0" applyNumberFormat="1" applyFont="1" applyFill="1" applyBorder="1" applyAlignment="1" applyProtection="1">
      <alignment horizontal="center" vertical="center" shrinkToFit="1"/>
    </xf>
    <xf numFmtId="2" fontId="4" fillId="0" borderId="53" xfId="0" applyNumberFormat="1" applyFont="1" applyFill="1" applyBorder="1" applyAlignment="1" applyProtection="1">
      <alignment horizontal="center" vertical="center" shrinkToFit="1"/>
    </xf>
    <xf numFmtId="2" fontId="4" fillId="0" borderId="0" xfId="0" applyNumberFormat="1" applyFont="1" applyFill="1" applyBorder="1" applyAlignment="1" applyProtection="1">
      <alignment horizontal="right" vertical="center" shrinkToFit="1"/>
    </xf>
    <xf numFmtId="188" fontId="4" fillId="0" borderId="0" xfId="0" applyNumberFormat="1" applyFont="1" applyFill="1" applyBorder="1" applyAlignment="1" applyProtection="1">
      <alignment horizontal="right" vertical="center" shrinkToFit="1"/>
    </xf>
    <xf numFmtId="0" fontId="4" fillId="0" borderId="31" xfId="0" applyFont="1" applyFill="1" applyBorder="1" applyAlignment="1" applyProtection="1">
      <alignment horizontal="center" vertical="center" shrinkToFit="1"/>
    </xf>
    <xf numFmtId="0" fontId="4" fillId="0" borderId="32" xfId="0" applyFont="1" applyFill="1" applyBorder="1" applyAlignment="1" applyProtection="1">
      <alignment horizontal="left" vertical="center" shrinkToFit="1"/>
    </xf>
    <xf numFmtId="2" fontId="4" fillId="0" borderId="32" xfId="0" applyNumberFormat="1" applyFont="1" applyFill="1" applyBorder="1" applyAlignment="1" applyProtection="1">
      <alignment horizontal="center" vertical="center" shrinkToFit="1"/>
    </xf>
    <xf numFmtId="2" fontId="4" fillId="0" borderId="54" xfId="0" applyNumberFormat="1" applyFont="1" applyFill="1" applyBorder="1" applyAlignment="1" applyProtection="1">
      <alignment horizontal="center" vertical="center" shrinkToFit="1"/>
    </xf>
    <xf numFmtId="0" fontId="40" fillId="0" borderId="0" xfId="0" applyFont="1" applyFill="1" applyBorder="1" applyAlignment="1" applyProtection="1">
      <alignment horizontal="left" vertical="center" shrinkToFit="1"/>
    </xf>
    <xf numFmtId="188" fontId="40" fillId="0" borderId="0" xfId="0" applyNumberFormat="1" applyFont="1" applyFill="1" applyBorder="1" applyAlignment="1" applyProtection="1">
      <alignment horizontal="right" vertical="center" shrinkToFit="1"/>
    </xf>
    <xf numFmtId="0" fontId="4" fillId="0" borderId="30" xfId="0" applyFont="1" applyFill="1" applyBorder="1" applyAlignment="1" applyProtection="1">
      <alignment horizontal="center" vertical="center" shrinkToFit="1"/>
    </xf>
    <xf numFmtId="0" fontId="4" fillId="0" borderId="32" xfId="0" applyFont="1" applyFill="1" applyBorder="1" applyAlignment="1" applyProtection="1">
      <alignment horizontal="center" vertical="center" shrinkToFit="1"/>
    </xf>
    <xf numFmtId="0" fontId="114" fillId="0" borderId="0" xfId="0" applyFont="1" applyFill="1" applyBorder="1" applyAlignment="1" applyProtection="1">
      <alignment vertical="center"/>
    </xf>
    <xf numFmtId="199" fontId="40" fillId="0" borderId="0" xfId="0" applyNumberFormat="1" applyFont="1" applyFill="1" applyBorder="1" applyAlignment="1" applyProtection="1">
      <alignment vertical="center" shrinkToFit="1"/>
    </xf>
    <xf numFmtId="199" fontId="4" fillId="0" borderId="0" xfId="0" applyNumberFormat="1" applyFont="1" applyFill="1" applyBorder="1" applyAlignment="1" applyProtection="1">
      <alignment vertical="center" shrinkToFit="1"/>
    </xf>
    <xf numFmtId="188" fontId="4" fillId="0" borderId="0" xfId="0" applyNumberFormat="1" applyFont="1" applyFill="1" applyBorder="1" applyAlignment="1" applyProtection="1">
      <alignment vertical="center" shrinkToFit="1"/>
    </xf>
    <xf numFmtId="185" fontId="4" fillId="0" borderId="30" xfId="89" applyNumberFormat="1" applyFont="1" applyFill="1" applyBorder="1" applyAlignment="1" applyProtection="1">
      <alignment horizontal="left" vertical="center" shrinkToFit="1"/>
    </xf>
    <xf numFmtId="0" fontId="4" fillId="0" borderId="58" xfId="0" applyFont="1" applyFill="1" applyBorder="1" applyAlignment="1" applyProtection="1">
      <alignment horizontal="center" vertical="center"/>
      <protection locked="0"/>
    </xf>
    <xf numFmtId="0" fontId="70" fillId="0" borderId="59" xfId="0" applyFont="1" applyFill="1" applyBorder="1" applyAlignment="1" applyProtection="1">
      <alignment horizontal="center" vertical="center"/>
    </xf>
    <xf numFmtId="185" fontId="70" fillId="0" borderId="59" xfId="89" applyNumberFormat="1" applyFont="1" applyFill="1" applyBorder="1" applyAlignment="1" applyProtection="1">
      <alignment horizontal="right" vertical="center"/>
    </xf>
    <xf numFmtId="10" fontId="4" fillId="0" borderId="59" xfId="89" applyNumberFormat="1" applyFont="1" applyFill="1" applyBorder="1" applyAlignment="1" applyProtection="1">
      <alignment horizontal="right" vertical="center"/>
    </xf>
    <xf numFmtId="185" fontId="70" fillId="0" borderId="60" xfId="89" applyNumberFormat="1" applyFont="1" applyFill="1" applyBorder="1" applyAlignment="1" applyProtection="1">
      <alignment horizontal="right" vertical="center"/>
    </xf>
    <xf numFmtId="10" fontId="4" fillId="0" borderId="0" xfId="89" applyNumberFormat="1" applyFont="1" applyFill="1" applyBorder="1" applyAlignment="1" applyProtection="1">
      <alignment horizontal="right" vertical="center"/>
    </xf>
    <xf numFmtId="185" fontId="4" fillId="0" borderId="30" xfId="89" applyNumberFormat="1" applyFont="1" applyFill="1" applyBorder="1" applyAlignment="1" applyProtection="1">
      <alignment vertical="center" shrinkToFit="1"/>
    </xf>
    <xf numFmtId="0" fontId="4" fillId="0" borderId="61" xfId="0" applyFont="1" applyFill="1" applyBorder="1" applyAlignment="1" applyProtection="1">
      <alignment horizontal="center" vertical="center"/>
      <protection locked="0"/>
    </xf>
    <xf numFmtId="0" fontId="70" fillId="0" borderId="61" xfId="0" applyFont="1" applyFill="1" applyBorder="1" applyAlignment="1" applyProtection="1">
      <alignment horizontal="center" vertical="center"/>
    </xf>
    <xf numFmtId="185" fontId="70" fillId="0" borderId="61" xfId="89" applyNumberFormat="1" applyFont="1" applyFill="1" applyBorder="1" applyAlignment="1" applyProtection="1">
      <alignment horizontal="right" vertical="center"/>
    </xf>
    <xf numFmtId="10" fontId="4" fillId="0" borderId="61" xfId="89" applyNumberFormat="1" applyFont="1" applyFill="1" applyBorder="1" applyAlignment="1" applyProtection="1">
      <alignment horizontal="right" vertical="center"/>
    </xf>
    <xf numFmtId="0" fontId="4" fillId="0" borderId="50" xfId="0" applyFont="1" applyFill="1" applyBorder="1" applyAlignment="1" applyProtection="1">
      <alignment horizontal="left" vertical="center"/>
    </xf>
    <xf numFmtId="0" fontId="4" fillId="0" borderId="51" xfId="0" applyFont="1" applyFill="1" applyBorder="1" applyAlignment="1" applyProtection="1">
      <alignment horizontal="center" vertical="center"/>
    </xf>
    <xf numFmtId="0" fontId="4" fillId="0" borderId="51" xfId="89" applyNumberFormat="1" applyFont="1" applyFill="1" applyBorder="1" applyAlignment="1" applyProtection="1">
      <alignment horizontal="center" vertical="center"/>
    </xf>
    <xf numFmtId="0" fontId="4" fillId="0" borderId="52" xfId="89" applyNumberFormat="1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right" vertical="center" shrinkToFit="1"/>
    </xf>
    <xf numFmtId="2" fontId="4" fillId="0" borderId="30" xfId="0" applyNumberFormat="1" applyFont="1" applyFill="1" applyBorder="1" applyAlignment="1" applyProtection="1">
      <alignment horizontal="right" vertical="center" shrinkToFit="1"/>
    </xf>
    <xf numFmtId="2" fontId="4" fillId="0" borderId="53" xfId="0" applyNumberFormat="1" applyFont="1" applyFill="1" applyBorder="1" applyAlignment="1" applyProtection="1">
      <alignment horizontal="right" vertical="center" shrinkToFit="1"/>
    </xf>
    <xf numFmtId="10" fontId="4" fillId="0" borderId="30" xfId="0" applyNumberFormat="1" applyFont="1" applyFill="1" applyBorder="1" applyAlignment="1" applyProtection="1">
      <alignment horizontal="right" vertical="center" shrinkToFit="1"/>
    </xf>
    <xf numFmtId="0" fontId="4" fillId="0" borderId="32" xfId="0" applyFont="1" applyFill="1" applyBorder="1" applyAlignment="1" applyProtection="1">
      <alignment horizontal="right" vertical="center" shrinkToFit="1"/>
    </xf>
    <xf numFmtId="2" fontId="4" fillId="0" borderId="32" xfId="0" applyNumberFormat="1" applyFont="1" applyFill="1" applyBorder="1" applyAlignment="1" applyProtection="1">
      <alignment horizontal="right" vertical="center" shrinkToFit="1"/>
    </xf>
    <xf numFmtId="2" fontId="4" fillId="0" borderId="54" xfId="0" applyNumberFormat="1" applyFont="1" applyFill="1" applyBorder="1" applyAlignment="1" applyProtection="1">
      <alignment horizontal="right" vertical="center" shrinkToFit="1"/>
    </xf>
    <xf numFmtId="0" fontId="115" fillId="0" borderId="0" xfId="0" applyFont="1" applyFill="1" applyAlignment="1" applyProtection="1"/>
    <xf numFmtId="0" fontId="40" fillId="0" borderId="0" xfId="0" applyFont="1" applyFill="1" applyAlignment="1" applyProtection="1">
      <alignment vertical="center"/>
      <protection locked="0"/>
    </xf>
    <xf numFmtId="0" fontId="0" fillId="0" borderId="0" xfId="0" applyFont="1" applyFill="1" applyAlignment="1" applyProtection="1">
      <alignment vertical="center"/>
      <protection hidden="1"/>
    </xf>
    <xf numFmtId="0" fontId="0" fillId="3" borderId="0" xfId="0" applyFont="1" applyFill="1" applyAlignment="1" applyProtection="1">
      <alignment vertical="center"/>
      <protection hidden="1"/>
    </xf>
    <xf numFmtId="0" fontId="0" fillId="0" borderId="0" xfId="0" applyFont="1" applyFill="1" applyAlignment="1" applyProtection="1">
      <protection hidden="1"/>
    </xf>
    <xf numFmtId="0" fontId="110" fillId="0" borderId="0" xfId="0" applyFont="1" applyFill="1" applyAlignment="1" applyProtection="1">
      <alignment horizontal="centerContinuous"/>
      <protection hidden="1"/>
    </xf>
    <xf numFmtId="0" fontId="0" fillId="0" borderId="0" xfId="0" applyFont="1" applyFill="1" applyAlignment="1" applyProtection="1">
      <alignment horizontal="centerContinuous"/>
      <protection hidden="1"/>
    </xf>
    <xf numFmtId="0" fontId="84" fillId="0" borderId="0" xfId="0" applyFont="1" applyFill="1" applyAlignment="1" applyProtection="1">
      <protection hidden="1"/>
    </xf>
    <xf numFmtId="0" fontId="84" fillId="0" borderId="0" xfId="0" applyFont="1" applyFill="1" applyAlignment="1" applyProtection="1">
      <alignment horizontal="center"/>
      <protection hidden="1"/>
    </xf>
    <xf numFmtId="0" fontId="84" fillId="0" borderId="0" xfId="0" applyFont="1" applyFill="1" applyBorder="1" applyAlignment="1" applyProtection="1">
      <protection hidden="1"/>
    </xf>
    <xf numFmtId="0" fontId="111" fillId="0" borderId="0" xfId="0" applyFont="1" applyFill="1" applyBorder="1" applyAlignment="1" applyProtection="1">
      <protection hidden="1"/>
    </xf>
    <xf numFmtId="201" fontId="104" fillId="0" borderId="0" xfId="0" applyNumberFormat="1" applyFont="1" applyFill="1" applyAlignment="1" applyProtection="1">
      <protection hidden="1"/>
    </xf>
    <xf numFmtId="0" fontId="104" fillId="20" borderId="26" xfId="0" applyFont="1" applyFill="1" applyBorder="1" applyAlignment="1" applyProtection="1">
      <alignment horizontal="center" vertical="center"/>
      <protection hidden="1"/>
    </xf>
    <xf numFmtId="0" fontId="104" fillId="20" borderId="62" xfId="0" applyFont="1" applyFill="1" applyBorder="1" applyAlignment="1" applyProtection="1">
      <alignment horizontal="center" vertical="center"/>
      <protection hidden="1"/>
    </xf>
    <xf numFmtId="0" fontId="104" fillId="20" borderId="26" xfId="89" applyNumberFormat="1" applyFont="1" applyFill="1" applyBorder="1" applyAlignment="1" applyProtection="1">
      <alignment horizontal="center" vertical="center"/>
      <protection hidden="1"/>
    </xf>
    <xf numFmtId="0" fontId="104" fillId="20" borderId="63" xfId="89" applyNumberFormat="1" applyFont="1" applyFill="1" applyBorder="1" applyAlignment="1" applyProtection="1">
      <alignment horizontal="center" vertical="center"/>
      <protection hidden="1"/>
    </xf>
    <xf numFmtId="0" fontId="104" fillId="20" borderId="62" xfId="89" applyNumberFormat="1" applyFont="1" applyFill="1" applyBorder="1" applyAlignment="1" applyProtection="1">
      <alignment horizontal="center" vertical="center"/>
      <protection hidden="1"/>
    </xf>
    <xf numFmtId="0" fontId="116" fillId="0" borderId="0" xfId="0" applyFont="1" applyFill="1" applyBorder="1" applyAlignment="1" applyProtection="1">
      <alignment horizontal="center" vertical="center"/>
      <protection hidden="1"/>
    </xf>
    <xf numFmtId="0" fontId="116" fillId="0" borderId="0" xfId="0" applyFont="1" applyFill="1" applyBorder="1" applyAlignment="1" applyProtection="1">
      <alignment vertical="center"/>
    </xf>
    <xf numFmtId="0" fontId="0" fillId="0" borderId="0" xfId="0" applyFont="1" applyFill="1" applyBorder="1" applyAlignment="1" applyProtection="1">
      <alignment horizontal="center" vertical="center"/>
      <protection hidden="1"/>
    </xf>
    <xf numFmtId="43" fontId="40" fillId="0" borderId="0" xfId="89" applyFont="1" applyFill="1" applyBorder="1" applyAlignment="1" applyProtection="1">
      <alignment horizontal="center" vertical="center" shrinkToFit="1"/>
      <protection locked="0"/>
    </xf>
    <xf numFmtId="43" fontId="40" fillId="0" borderId="0" xfId="89" applyFont="1" applyFill="1" applyBorder="1" applyAlignment="1" applyProtection="1">
      <alignment vertical="center" shrinkToFit="1"/>
    </xf>
    <xf numFmtId="10" fontId="40" fillId="0" borderId="0" xfId="0" applyNumberFormat="1" applyFont="1" applyFill="1" applyBorder="1" applyAlignment="1" applyProtection="1">
      <alignment vertical="center" shrinkToFit="1"/>
      <protection locked="0"/>
    </xf>
    <xf numFmtId="43" fontId="40" fillId="0" borderId="0" xfId="89" applyFont="1" applyFill="1" applyBorder="1" applyAlignment="1" applyProtection="1">
      <alignment vertical="center" shrinkToFit="1"/>
      <protection locked="0"/>
    </xf>
    <xf numFmtId="0" fontId="40" fillId="0" borderId="0" xfId="89" applyNumberFormat="1" applyFont="1" applyFill="1" applyBorder="1" applyAlignment="1" applyProtection="1">
      <alignment horizontal="center" vertical="center" shrinkToFit="1"/>
    </xf>
    <xf numFmtId="43" fontId="40" fillId="0" borderId="0" xfId="89" applyNumberFormat="1" applyFont="1" applyFill="1" applyBorder="1" applyAlignment="1" applyProtection="1">
      <alignment vertical="center" shrinkToFit="1"/>
    </xf>
    <xf numFmtId="43" fontId="40" fillId="0" borderId="8" xfId="89" applyFont="1" applyFill="1" applyBorder="1" applyAlignment="1" applyProtection="1">
      <alignment vertical="center" shrinkToFit="1"/>
    </xf>
    <xf numFmtId="43" fontId="40" fillId="0" borderId="8" xfId="89" applyFont="1" applyFill="1" applyBorder="1" applyAlignment="1" applyProtection="1">
      <alignment vertical="center" shrinkToFit="1"/>
      <protection locked="0"/>
    </xf>
    <xf numFmtId="0" fontId="114" fillId="0" borderId="61" xfId="0" applyFont="1" applyFill="1" applyBorder="1" applyAlignment="1" applyProtection="1">
      <alignment horizontal="center" vertical="center"/>
      <protection hidden="1"/>
    </xf>
    <xf numFmtId="0" fontId="114" fillId="0" borderId="61" xfId="0" applyFont="1" applyFill="1" applyBorder="1" applyAlignment="1" applyProtection="1">
      <alignment vertical="center"/>
    </xf>
    <xf numFmtId="0" fontId="0" fillId="0" borderId="61" xfId="0" applyFont="1" applyFill="1" applyBorder="1" applyAlignment="1" applyProtection="1">
      <alignment horizontal="center" vertical="center"/>
      <protection hidden="1"/>
    </xf>
    <xf numFmtId="2" fontId="40" fillId="0" borderId="61" xfId="0" applyNumberFormat="1" applyFont="1" applyFill="1" applyBorder="1" applyAlignment="1" applyProtection="1">
      <alignment vertical="center" shrinkToFit="1"/>
      <protection hidden="1"/>
    </xf>
    <xf numFmtId="0" fontId="40" fillId="0" borderId="61" xfId="0" applyFont="1" applyFill="1" applyBorder="1" applyAlignment="1" applyProtection="1">
      <alignment vertical="center" shrinkToFit="1"/>
      <protection hidden="1"/>
    </xf>
    <xf numFmtId="0" fontId="40" fillId="0" borderId="0" xfId="0" applyFont="1" applyFill="1" applyBorder="1" applyAlignment="1" applyProtection="1">
      <alignment vertical="center" shrinkToFit="1"/>
      <protection hidden="1"/>
    </xf>
    <xf numFmtId="10" fontId="104" fillId="0" borderId="0" xfId="0" applyNumberFormat="1" applyFont="1" applyFill="1" applyBorder="1" applyAlignment="1" applyProtection="1">
      <alignment horizontal="center" vertical="center" shrinkToFit="1"/>
      <protection locked="0"/>
    </xf>
    <xf numFmtId="2" fontId="40" fillId="0" borderId="0" xfId="0" applyNumberFormat="1" applyFont="1" applyFill="1" applyBorder="1" applyAlignment="1" applyProtection="1">
      <alignment horizontal="right" vertical="center" shrinkToFit="1"/>
    </xf>
    <xf numFmtId="43" fontId="117" fillId="22" borderId="0" xfId="89" applyFont="1" applyFill="1" applyBorder="1" applyAlignment="1" applyProtection="1">
      <alignment vertical="center" shrinkToFit="1"/>
    </xf>
    <xf numFmtId="2" fontId="40" fillId="0" borderId="0" xfId="0" applyNumberFormat="1" applyFont="1" applyFill="1" applyBorder="1" applyAlignment="1" applyProtection="1">
      <alignment horizontal="left" vertical="center" shrinkToFit="1"/>
      <protection locked="0" hidden="1"/>
    </xf>
    <xf numFmtId="0" fontId="116" fillId="3" borderId="0" xfId="0" applyFont="1" applyFill="1" applyBorder="1" applyAlignment="1" applyProtection="1">
      <alignment horizontal="center" vertical="center"/>
      <protection hidden="1"/>
    </xf>
    <xf numFmtId="0" fontId="116" fillId="3" borderId="0" xfId="0" applyFont="1" applyFill="1" applyBorder="1" applyAlignment="1" applyProtection="1">
      <alignment vertical="center"/>
    </xf>
    <xf numFmtId="0" fontId="0" fillId="3" borderId="0" xfId="0" applyFont="1" applyFill="1" applyBorder="1" applyAlignment="1" applyProtection="1">
      <alignment horizontal="center" vertical="center"/>
      <protection hidden="1"/>
    </xf>
    <xf numFmtId="2" fontId="40" fillId="3" borderId="0" xfId="0" applyNumberFormat="1" applyFont="1" applyFill="1" applyBorder="1" applyAlignment="1" applyProtection="1">
      <alignment horizontal="right" vertical="center" shrinkToFit="1"/>
    </xf>
    <xf numFmtId="2" fontId="40" fillId="3" borderId="0" xfId="0" applyNumberFormat="1" applyFont="1" applyFill="1" applyBorder="1" applyAlignment="1" applyProtection="1">
      <alignment horizontal="left" vertical="center" shrinkToFit="1"/>
      <protection locked="0" hidden="1"/>
    </xf>
    <xf numFmtId="2" fontId="40" fillId="0" borderId="0" xfId="0" applyNumberFormat="1" applyFont="1" applyFill="1" applyBorder="1" applyAlignment="1" applyProtection="1">
      <alignment horizontal="right" vertical="center" shrinkToFit="1"/>
      <protection locked="0" hidden="1"/>
    </xf>
    <xf numFmtId="0" fontId="114" fillId="0" borderId="0" xfId="0" applyFont="1" applyFill="1" applyBorder="1" applyAlignment="1" applyProtection="1">
      <alignment horizontal="center" vertical="center"/>
      <protection hidden="1"/>
    </xf>
    <xf numFmtId="188" fontId="40" fillId="0" borderId="0" xfId="0" applyNumberFormat="1" applyFont="1" applyFill="1" applyBorder="1" applyAlignment="1" applyProtection="1">
      <alignment vertical="center" shrinkToFit="1"/>
    </xf>
    <xf numFmtId="0" fontId="116" fillId="0" borderId="8" xfId="0" applyFont="1" applyFill="1" applyBorder="1" applyAlignment="1" applyProtection="1">
      <alignment horizontal="center" vertical="center"/>
      <protection hidden="1"/>
    </xf>
    <xf numFmtId="0" fontId="116" fillId="0" borderId="8" xfId="0" applyFont="1" applyFill="1" applyBorder="1" applyAlignment="1" applyProtection="1">
      <alignment vertical="center"/>
    </xf>
    <xf numFmtId="0" fontId="0" fillId="0" borderId="8" xfId="0" applyFont="1" applyFill="1" applyBorder="1" applyAlignment="1" applyProtection="1">
      <alignment horizontal="center" vertical="center"/>
      <protection hidden="1"/>
    </xf>
    <xf numFmtId="188" fontId="40" fillId="0" borderId="8" xfId="0" applyNumberFormat="1" applyFont="1" applyFill="1" applyBorder="1" applyAlignment="1" applyProtection="1">
      <alignment vertical="center" shrinkToFit="1"/>
    </xf>
    <xf numFmtId="2" fontId="40" fillId="0" borderId="8" xfId="0" applyNumberFormat="1" applyFont="1" applyFill="1" applyBorder="1" applyAlignment="1" applyProtection="1">
      <alignment horizontal="right" vertical="center" shrinkToFit="1"/>
      <protection locked="0" hidden="1"/>
    </xf>
    <xf numFmtId="0" fontId="115" fillId="0" borderId="0" xfId="0" applyFont="1" applyFill="1" applyAlignment="1" applyProtection="1">
      <protection hidden="1"/>
    </xf>
    <xf numFmtId="0" fontId="0" fillId="0" borderId="0" xfId="0" applyFont="1" applyFill="1" applyBorder="1" applyAlignment="1" applyProtection="1">
      <alignment vertical="center"/>
    </xf>
    <xf numFmtId="0" fontId="0" fillId="0" borderId="0" xfId="0" applyFont="1" applyFill="1" applyAlignment="1" applyProtection="1">
      <alignment vertical="center"/>
      <protection locked="0"/>
    </xf>
    <xf numFmtId="0" fontId="59" fillId="0" borderId="0" xfId="0" applyFont="1" applyFill="1" applyAlignment="1" applyProtection="1">
      <alignment vertical="center"/>
      <protection locked="0"/>
    </xf>
    <xf numFmtId="0" fontId="110" fillId="0" borderId="0" xfId="0" applyFont="1" applyFill="1" applyAlignment="1" applyProtection="1">
      <alignment horizontal="centerContinuous" vertical="center"/>
    </xf>
    <xf numFmtId="0" fontId="0" fillId="0" borderId="0" xfId="0" applyFont="1" applyFill="1" applyAlignment="1" applyProtection="1">
      <alignment horizontal="centerContinuous" vertical="center"/>
      <protection locked="0"/>
    </xf>
    <xf numFmtId="43" fontId="84" fillId="0" borderId="64" xfId="0" applyNumberFormat="1" applyFont="1" applyFill="1" applyBorder="1" applyAlignment="1" applyProtection="1">
      <alignment vertical="center"/>
    </xf>
    <xf numFmtId="0" fontId="84" fillId="0" borderId="64" xfId="0" applyFont="1" applyFill="1" applyBorder="1" applyAlignment="1" applyProtection="1">
      <alignment vertical="center"/>
    </xf>
    <xf numFmtId="0" fontId="84" fillId="0" borderId="51" xfId="0" applyFont="1" applyFill="1" applyBorder="1" applyAlignment="1" applyProtection="1">
      <alignment vertical="center"/>
    </xf>
    <xf numFmtId="201" fontId="84" fillId="0" borderId="52" xfId="0" applyNumberFormat="1" applyFont="1" applyFill="1" applyBorder="1" applyAlignment="1" applyProtection="1">
      <alignment horizontal="center" vertical="center"/>
    </xf>
    <xf numFmtId="43" fontId="84" fillId="0" borderId="0" xfId="0" applyNumberFormat="1" applyFont="1" applyFill="1" applyBorder="1" applyAlignment="1" applyProtection="1">
      <alignment vertical="center"/>
    </xf>
    <xf numFmtId="0" fontId="84" fillId="0" borderId="0" xfId="0" applyFont="1" applyFill="1" applyBorder="1" applyAlignment="1" applyProtection="1">
      <alignment vertical="center"/>
    </xf>
    <xf numFmtId="201" fontId="84" fillId="0" borderId="0" xfId="0" applyNumberFormat="1" applyFont="1" applyFill="1" applyBorder="1" applyAlignment="1" applyProtection="1">
      <alignment horizontal="center" vertical="center"/>
    </xf>
    <xf numFmtId="0" fontId="69" fillId="0" borderId="0" xfId="0" applyFont="1" applyFill="1" applyAlignment="1" applyProtection="1">
      <alignment vertical="center"/>
      <protection hidden="1"/>
    </xf>
    <xf numFmtId="0" fontId="40" fillId="0" borderId="0" xfId="0" applyFont="1" applyFill="1" applyBorder="1" applyAlignment="1" applyProtection="1">
      <alignment vertical="center"/>
      <protection hidden="1"/>
    </xf>
    <xf numFmtId="0" fontId="104" fillId="20" borderId="63" xfId="0" applyFont="1" applyFill="1" applyBorder="1" applyAlignment="1" applyProtection="1">
      <alignment horizontal="center" vertical="center"/>
      <protection hidden="1"/>
    </xf>
    <xf numFmtId="0" fontId="118" fillId="0" borderId="65" xfId="0" applyFont="1" applyFill="1" applyBorder="1" applyAlignment="1" applyProtection="1">
      <alignment vertical="center"/>
      <protection locked="0"/>
    </xf>
    <xf numFmtId="43" fontId="119" fillId="0" borderId="65" xfId="89" applyFont="1" applyFill="1" applyBorder="1" applyAlignment="1" applyProtection="1">
      <alignment vertical="center" shrinkToFit="1"/>
      <protection locked="0"/>
    </xf>
    <xf numFmtId="43" fontId="119" fillId="3" borderId="65" xfId="89" applyFont="1" applyFill="1" applyBorder="1" applyAlignment="1" applyProtection="1">
      <alignment vertical="center" shrinkToFit="1"/>
      <protection locked="0"/>
    </xf>
    <xf numFmtId="0" fontId="120" fillId="0" borderId="65" xfId="89" applyNumberFormat="1" applyFont="1" applyFill="1" applyBorder="1" applyAlignment="1" applyProtection="1">
      <alignment vertical="center" shrinkToFit="1"/>
      <protection locked="0"/>
    </xf>
    <xf numFmtId="0" fontId="116" fillId="0" borderId="30" xfId="0" applyFont="1" applyFill="1" applyBorder="1" applyAlignment="1" applyProtection="1">
      <alignment horizontal="right" vertical="center"/>
      <protection locked="0"/>
    </xf>
    <xf numFmtId="43" fontId="40" fillId="0" borderId="30" xfId="89" applyFont="1" applyFill="1" applyBorder="1" applyAlignment="1" applyProtection="1">
      <alignment vertical="center" shrinkToFit="1"/>
      <protection locked="0"/>
    </xf>
    <xf numFmtId="43" fontId="40" fillId="3" borderId="30" xfId="89" applyFont="1" applyFill="1" applyBorder="1" applyAlignment="1" applyProtection="1">
      <alignment vertical="center" shrinkToFit="1"/>
      <protection locked="0"/>
    </xf>
    <xf numFmtId="0" fontId="4" fillId="0" borderId="30" xfId="89" applyNumberFormat="1" applyFont="1" applyFill="1" applyBorder="1" applyAlignment="1" applyProtection="1">
      <alignment vertical="center" shrinkToFit="1"/>
      <protection locked="0"/>
    </xf>
    <xf numFmtId="0" fontId="121" fillId="0" borderId="30" xfId="0" applyFont="1" applyFill="1" applyBorder="1" applyAlignment="1" applyProtection="1">
      <alignment horizontal="right" vertical="center"/>
      <protection locked="0"/>
    </xf>
    <xf numFmtId="0" fontId="118" fillId="0" borderId="30" xfId="0" applyFont="1" applyFill="1" applyBorder="1" applyAlignment="1" applyProtection="1">
      <alignment horizontal="left" vertical="center"/>
      <protection locked="0"/>
    </xf>
    <xf numFmtId="43" fontId="119" fillId="0" borderId="30" xfId="89" applyFont="1" applyFill="1" applyBorder="1" applyAlignment="1" applyProtection="1">
      <alignment vertical="center" shrinkToFit="1"/>
      <protection locked="0"/>
    </xf>
    <xf numFmtId="0" fontId="120" fillId="0" borderId="30" xfId="89" applyNumberFormat="1" applyFont="1" applyFill="1" applyBorder="1" applyAlignment="1" applyProtection="1">
      <alignment vertical="center" shrinkToFit="1"/>
      <protection locked="0"/>
    </xf>
    <xf numFmtId="0" fontId="122" fillId="0" borderId="30" xfId="0" applyFont="1" applyFill="1" applyBorder="1" applyAlignment="1" applyProtection="1">
      <alignment vertical="center"/>
      <protection locked="0"/>
    </xf>
    <xf numFmtId="0" fontId="123" fillId="0" borderId="30" xfId="0" applyFont="1" applyFill="1" applyBorder="1" applyAlignment="1" applyProtection="1">
      <alignment horizontal="left" vertical="center"/>
      <protection locked="0"/>
    </xf>
    <xf numFmtId="0" fontId="122" fillId="0" borderId="30" xfId="0" applyFont="1" applyFill="1" applyBorder="1" applyAlignment="1" applyProtection="1">
      <alignment horizontal="left" vertical="center"/>
      <protection locked="0"/>
    </xf>
    <xf numFmtId="0" fontId="124" fillId="0" borderId="30" xfId="0" applyFont="1" applyFill="1" applyBorder="1" applyAlignment="1" applyProtection="1">
      <alignment vertical="center"/>
      <protection locked="0"/>
    </xf>
    <xf numFmtId="0" fontId="118" fillId="0" borderId="30" xfId="0" applyFont="1" applyFill="1" applyBorder="1" applyAlignment="1" applyProtection="1">
      <alignment vertical="center"/>
      <protection locked="0"/>
    </xf>
    <xf numFmtId="43" fontId="119" fillId="0" borderId="30" xfId="89" applyFont="1" applyFill="1" applyBorder="1" applyAlignment="1" applyProtection="1">
      <alignment vertical="center" shrinkToFit="1"/>
    </xf>
    <xf numFmtId="0" fontId="118" fillId="0" borderId="56" xfId="0" applyFont="1" applyFill="1" applyBorder="1" applyAlignment="1" applyProtection="1">
      <alignment vertical="center"/>
      <protection locked="0"/>
    </xf>
    <xf numFmtId="43" fontId="119" fillId="0" borderId="56" xfId="89" applyFont="1" applyFill="1" applyBorder="1" applyAlignment="1" applyProtection="1">
      <alignment vertical="center" shrinkToFit="1"/>
    </xf>
    <xf numFmtId="0" fontId="115" fillId="0" borderId="32" xfId="0" applyFont="1" applyFill="1" applyBorder="1" applyAlignment="1" applyProtection="1">
      <alignment horizontal="center" vertical="center"/>
      <protection locked="0"/>
    </xf>
    <xf numFmtId="10" fontId="125" fillId="0" borderId="32" xfId="89" applyNumberFormat="1" applyFont="1" applyFill="1" applyBorder="1" applyAlignment="1" applyProtection="1">
      <alignment horizontal="right" vertical="center" shrinkToFit="1"/>
    </xf>
    <xf numFmtId="0" fontId="4" fillId="0" borderId="32" xfId="0" applyNumberFormat="1" applyFont="1" applyFill="1" applyBorder="1" applyAlignment="1" applyProtection="1">
      <alignment vertical="center"/>
      <protection locked="0"/>
    </xf>
    <xf numFmtId="177" fontId="119" fillId="0" borderId="51" xfId="89" applyNumberFormat="1" applyFont="1" applyFill="1" applyBorder="1" applyAlignment="1" applyProtection="1">
      <alignment vertical="center" shrinkToFit="1"/>
      <protection locked="0"/>
    </xf>
    <xf numFmtId="0" fontId="4" fillId="0" borderId="28" xfId="89" applyNumberFormat="1" applyFont="1" applyFill="1" applyBorder="1" applyAlignment="1" applyProtection="1">
      <alignment vertical="center" shrinkToFit="1"/>
      <protection locked="0"/>
    </xf>
    <xf numFmtId="0" fontId="115" fillId="0" borderId="56" xfId="0" applyFont="1" applyFill="1" applyBorder="1" applyAlignment="1" applyProtection="1">
      <alignment horizontal="center" vertical="center"/>
      <protection locked="0"/>
    </xf>
    <xf numFmtId="10" fontId="125" fillId="0" borderId="30" xfId="89" applyNumberFormat="1" applyFont="1" applyFill="1" applyBorder="1" applyAlignment="1" applyProtection="1">
      <alignment horizontal="right" vertical="center" shrinkToFit="1"/>
    </xf>
    <xf numFmtId="0" fontId="115" fillId="0" borderId="56" xfId="89" applyNumberFormat="1" applyFont="1" applyFill="1" applyBorder="1" applyAlignment="1" applyProtection="1">
      <alignment horizontal="right" vertical="center" shrinkToFit="1"/>
      <protection locked="0"/>
    </xf>
    <xf numFmtId="0" fontId="118" fillId="0" borderId="32" xfId="0" applyFont="1" applyFill="1" applyBorder="1" applyAlignment="1" applyProtection="1">
      <alignment vertical="center"/>
      <protection locked="0"/>
    </xf>
    <xf numFmtId="177" fontId="119" fillId="0" borderId="32" xfId="89" applyNumberFormat="1" applyFont="1" applyFill="1" applyBorder="1" applyAlignment="1" applyProtection="1">
      <alignment vertical="center" shrinkToFit="1"/>
    </xf>
    <xf numFmtId="0" fontId="120" fillId="0" borderId="32" xfId="89" applyNumberFormat="1" applyFont="1" applyFill="1" applyBorder="1" applyAlignment="1" applyProtection="1">
      <alignment vertical="center" shrinkToFit="1"/>
      <protection locked="0"/>
    </xf>
    <xf numFmtId="185" fontId="0" fillId="0" borderId="0" xfId="89" applyNumberFormat="1" applyFont="1" applyFill="1" applyAlignment="1" applyProtection="1">
      <alignment vertical="center"/>
    </xf>
    <xf numFmtId="0" fontId="84" fillId="0" borderId="0" xfId="0" applyFont="1" applyFill="1" applyAlignment="1"/>
    <xf numFmtId="0" fontId="84" fillId="0" borderId="0" xfId="0" applyFont="1" applyFill="1" applyAlignment="1" applyProtection="1">
      <protection locked="0"/>
    </xf>
    <xf numFmtId="0" fontId="0" fillId="0" borderId="0" xfId="0" applyFont="1" applyFill="1" applyAlignment="1" applyProtection="1">
      <protection locked="0"/>
    </xf>
    <xf numFmtId="0" fontId="0" fillId="0" borderId="0" xfId="0" applyFont="1" applyFill="1" applyAlignment="1"/>
    <xf numFmtId="0" fontId="110" fillId="0" borderId="0" xfId="0" applyFont="1" applyFill="1" applyAlignment="1" applyProtection="1">
      <alignment horizontal="center"/>
      <protection hidden="1"/>
    </xf>
    <xf numFmtId="0" fontId="0" fillId="0" borderId="0" xfId="0" applyFont="1" applyFill="1" applyAlignment="1" applyProtection="1">
      <protection locked="0" hidden="1"/>
    </xf>
    <xf numFmtId="0" fontId="84" fillId="0" borderId="0" xfId="0" applyFont="1" applyFill="1" applyAlignment="1" applyProtection="1">
      <alignment horizontal="right"/>
      <protection hidden="1"/>
    </xf>
    <xf numFmtId="201" fontId="104" fillId="0" borderId="0" xfId="0" applyNumberFormat="1" applyFont="1" applyFill="1" applyAlignment="1" applyProtection="1">
      <alignment horizontal="left"/>
      <protection hidden="1"/>
    </xf>
    <xf numFmtId="0" fontId="69" fillId="0" borderId="0" xfId="0" applyFont="1" applyFill="1" applyAlignment="1" applyProtection="1">
      <protection hidden="1"/>
    </xf>
    <xf numFmtId="0" fontId="70" fillId="23" borderId="66" xfId="0" applyFont="1" applyFill="1" applyBorder="1" applyAlignment="1" applyProtection="1">
      <alignment horizontal="center" vertical="center"/>
      <protection hidden="1"/>
    </xf>
    <xf numFmtId="0" fontId="70" fillId="23" borderId="67" xfId="0" applyFont="1" applyFill="1" applyBorder="1" applyAlignment="1" applyProtection="1">
      <alignment horizontal="center" vertical="center"/>
      <protection hidden="1"/>
    </xf>
    <xf numFmtId="0" fontId="70" fillId="23" borderId="68" xfId="0" applyFont="1" applyFill="1" applyBorder="1" applyAlignment="1" applyProtection="1">
      <alignment horizontal="center" vertical="center"/>
      <protection hidden="1"/>
    </xf>
    <xf numFmtId="0" fontId="70" fillId="23" borderId="69" xfId="0" applyFont="1" applyFill="1" applyBorder="1" applyAlignment="1" applyProtection="1">
      <alignment horizontal="center" vertical="center"/>
      <protection hidden="1"/>
    </xf>
    <xf numFmtId="0" fontId="70" fillId="23" borderId="70" xfId="0" applyFont="1" applyFill="1" applyBorder="1" applyAlignment="1" applyProtection="1">
      <alignment horizontal="center" vertical="center"/>
      <protection hidden="1"/>
    </xf>
    <xf numFmtId="0" fontId="70" fillId="23" borderId="25" xfId="0" applyFont="1" applyFill="1" applyBorder="1" applyAlignment="1" applyProtection="1">
      <alignment horizontal="center" vertical="center"/>
      <protection hidden="1"/>
    </xf>
    <xf numFmtId="0" fontId="70" fillId="23" borderId="23" xfId="0" applyFont="1" applyFill="1" applyBorder="1" applyAlignment="1" applyProtection="1">
      <alignment horizontal="center" vertical="center"/>
      <protection hidden="1"/>
    </xf>
    <xf numFmtId="0" fontId="4" fillId="23" borderId="71" xfId="0" applyFont="1" applyFill="1" applyBorder="1" applyAlignment="1" applyProtection="1">
      <alignment horizontal="center" vertical="center" wrapText="1"/>
      <protection hidden="1"/>
    </xf>
    <xf numFmtId="0" fontId="4" fillId="23" borderId="72" xfId="0" applyFont="1" applyFill="1" applyBorder="1" applyAlignment="1" applyProtection="1">
      <alignment horizontal="center" vertical="center" wrapText="1"/>
      <protection hidden="1"/>
    </xf>
    <xf numFmtId="0" fontId="4" fillId="23" borderId="73" xfId="0" applyFont="1" applyFill="1" applyBorder="1" applyAlignment="1" applyProtection="1">
      <alignment horizontal="center" vertical="center" wrapText="1"/>
      <protection hidden="1"/>
    </xf>
    <xf numFmtId="0" fontId="118" fillId="0" borderId="74" xfId="0" applyFont="1" applyFill="1" applyBorder="1" applyAlignment="1" applyProtection="1">
      <alignment horizontal="center" vertical="center"/>
      <protection hidden="1"/>
    </xf>
    <xf numFmtId="0" fontId="118" fillId="0" borderId="75" xfId="0" applyFont="1" applyFill="1" applyBorder="1" applyAlignment="1" applyProtection="1">
      <alignment horizontal="center" vertical="center"/>
      <protection hidden="1"/>
    </xf>
    <xf numFmtId="43" fontId="118" fillId="24" borderId="76" xfId="89" applyFont="1" applyFill="1" applyBorder="1" applyAlignment="1" applyProtection="1">
      <alignment horizontal="right" vertical="center" shrinkToFit="1"/>
    </xf>
    <xf numFmtId="43" fontId="118" fillId="24" borderId="29" xfId="89" applyFont="1" applyFill="1" applyBorder="1" applyAlignment="1" applyProtection="1">
      <alignment horizontal="right" vertical="center" shrinkToFit="1"/>
    </xf>
    <xf numFmtId="43" fontId="118" fillId="24" borderId="77" xfId="89" applyFont="1" applyFill="1" applyBorder="1" applyAlignment="1" applyProtection="1">
      <alignment horizontal="right" vertical="center" shrinkToFit="1"/>
    </xf>
    <xf numFmtId="0" fontId="122" fillId="0" borderId="78" xfId="0" applyFont="1" applyFill="1" applyBorder="1" applyAlignment="1" applyProtection="1">
      <alignment horizontal="center" vertical="center"/>
      <protection hidden="1"/>
    </xf>
    <xf numFmtId="0" fontId="122" fillId="0" borderId="77" xfId="0" applyFont="1" applyFill="1" applyBorder="1" applyAlignment="1" applyProtection="1">
      <alignment vertical="center"/>
      <protection hidden="1"/>
    </xf>
    <xf numFmtId="43" fontId="4" fillId="0" borderId="79" xfId="89" applyFont="1" applyFill="1" applyBorder="1" applyAlignment="1" applyProtection="1">
      <alignment horizontal="right" vertical="center" shrinkToFit="1"/>
      <protection locked="0"/>
    </xf>
    <xf numFmtId="43" fontId="4" fillId="0" borderId="30" xfId="89" applyFont="1" applyFill="1" applyBorder="1" applyAlignment="1" applyProtection="1">
      <alignment horizontal="right" vertical="center" shrinkToFit="1"/>
      <protection locked="0"/>
    </xf>
    <xf numFmtId="43" fontId="4" fillId="24" borderId="77" xfId="89" applyFont="1" applyFill="1" applyBorder="1" applyAlignment="1" applyProtection="1">
      <alignment horizontal="right" vertical="center" shrinkToFit="1"/>
    </xf>
    <xf numFmtId="0" fontId="122" fillId="0" borderId="77" xfId="0" applyFont="1" applyFill="1" applyBorder="1" applyAlignment="1" applyProtection="1">
      <alignment horizontal="left" vertical="center"/>
      <protection hidden="1"/>
    </xf>
    <xf numFmtId="43" fontId="4" fillId="0" borderId="28" xfId="89" applyFont="1" applyFill="1" applyBorder="1" applyAlignment="1" applyProtection="1">
      <alignment horizontal="right" vertical="center" shrinkToFit="1"/>
      <protection locked="0"/>
    </xf>
    <xf numFmtId="43" fontId="4" fillId="24" borderId="80" xfId="89" applyFont="1" applyFill="1" applyBorder="1" applyAlignment="1" applyProtection="1">
      <alignment horizontal="right" vertical="center" shrinkToFit="1"/>
    </xf>
    <xf numFmtId="43" fontId="126" fillId="5" borderId="28" xfId="89" applyFont="1" applyFill="1" applyBorder="1" applyAlignment="1" applyProtection="1">
      <alignment horizontal="right" vertical="center" shrinkToFit="1"/>
      <protection locked="0"/>
    </xf>
    <xf numFmtId="0" fontId="123" fillId="0" borderId="77" xfId="0" applyFont="1" applyFill="1" applyBorder="1" applyAlignment="1" applyProtection="1">
      <alignment vertical="center"/>
      <protection hidden="1"/>
    </xf>
    <xf numFmtId="0" fontId="118" fillId="0" borderId="77" xfId="0" applyFont="1" applyFill="1" applyBorder="1" applyAlignment="1" applyProtection="1">
      <alignment horizontal="center" vertical="center"/>
      <protection hidden="1"/>
    </xf>
    <xf numFmtId="43" fontId="4" fillId="5" borderId="30" xfId="89" applyFont="1" applyFill="1" applyBorder="1" applyAlignment="1" applyProtection="1">
      <alignment horizontal="right" vertical="center" shrinkToFit="1"/>
      <protection locked="0"/>
    </xf>
    <xf numFmtId="43" fontId="4" fillId="3" borderId="79" xfId="89" applyFont="1" applyFill="1" applyBorder="1" applyAlignment="1" applyProtection="1">
      <alignment horizontal="right" vertical="center" shrinkToFit="1"/>
      <protection locked="0"/>
    </xf>
    <xf numFmtId="43" fontId="4" fillId="3" borderId="79" xfId="89" applyFont="1" applyFill="1" applyBorder="1" applyAlignment="1" applyProtection="1">
      <alignment horizontal="right" vertical="center" shrinkToFit="1"/>
    </xf>
    <xf numFmtId="0" fontId="116" fillId="0" borderId="77" xfId="0" applyFont="1" applyFill="1" applyBorder="1" applyAlignment="1" applyProtection="1">
      <alignment horizontal="center" vertical="center"/>
      <protection hidden="1"/>
    </xf>
    <xf numFmtId="43" fontId="70" fillId="0" borderId="30" xfId="89" applyFont="1" applyFill="1" applyBorder="1" applyAlignment="1" applyProtection="1">
      <alignment horizontal="right" vertical="center" shrinkToFit="1"/>
      <protection locked="0"/>
    </xf>
    <xf numFmtId="43" fontId="4" fillId="0" borderId="30" xfId="89" applyFont="1" applyFill="1" applyBorder="1" applyAlignment="1" applyProtection="1">
      <alignment horizontal="right" vertical="center" shrinkToFit="1"/>
    </xf>
    <xf numFmtId="0" fontId="118" fillId="0" borderId="81" xfId="0" applyFont="1" applyFill="1" applyBorder="1" applyAlignment="1" applyProtection="1">
      <alignment horizontal="center" vertical="center"/>
      <protection hidden="1"/>
    </xf>
    <xf numFmtId="0" fontId="118" fillId="0" borderId="82" xfId="0" applyFont="1" applyFill="1" applyBorder="1" applyAlignment="1" applyProtection="1">
      <alignment horizontal="center" vertical="center"/>
      <protection hidden="1"/>
    </xf>
    <xf numFmtId="43" fontId="118" fillId="24" borderId="83" xfId="89" applyFont="1" applyFill="1" applyBorder="1" applyAlignment="1" applyProtection="1">
      <alignment horizontal="right" vertical="center" shrinkToFit="1"/>
    </xf>
    <xf numFmtId="43" fontId="118" fillId="24" borderId="32" xfId="89" applyFont="1" applyFill="1" applyBorder="1" applyAlignment="1" applyProtection="1">
      <alignment horizontal="right" vertical="center" shrinkToFit="1"/>
    </xf>
    <xf numFmtId="43" fontId="118" fillId="24" borderId="82" xfId="89" applyFont="1" applyFill="1" applyBorder="1" applyAlignment="1" applyProtection="1">
      <alignment horizontal="right" vertical="center" shrinkToFit="1"/>
    </xf>
    <xf numFmtId="0" fontId="118" fillId="0" borderId="84" xfId="0" applyFont="1" applyFill="1" applyBorder="1" applyAlignment="1" applyProtection="1">
      <alignment horizontal="center" vertical="center"/>
      <protection hidden="1"/>
    </xf>
    <xf numFmtId="0" fontId="118" fillId="0" borderId="85" xfId="0" applyFont="1" applyFill="1" applyBorder="1" applyAlignment="1" applyProtection="1">
      <alignment horizontal="center" vertical="center"/>
      <protection hidden="1"/>
    </xf>
    <xf numFmtId="43" fontId="118" fillId="24" borderId="86" xfId="89" applyFont="1" applyFill="1" applyBorder="1" applyAlignment="1" applyProtection="1">
      <alignment horizontal="right" vertical="center" shrinkToFit="1"/>
    </xf>
    <xf numFmtId="43" fontId="118" fillId="24" borderId="51" xfId="89" applyFont="1" applyFill="1" applyBorder="1" applyAlignment="1" applyProtection="1">
      <alignment horizontal="right" vertical="center" shrinkToFit="1"/>
    </xf>
    <xf numFmtId="43" fontId="118" fillId="24" borderId="85" xfId="89" applyFont="1" applyFill="1" applyBorder="1" applyAlignment="1" applyProtection="1">
      <alignment horizontal="right" vertical="center" shrinkToFit="1"/>
    </xf>
    <xf numFmtId="0" fontId="118" fillId="0" borderId="77" xfId="0" applyFont="1" applyFill="1" applyBorder="1" applyAlignment="1" applyProtection="1">
      <alignment vertical="center"/>
      <protection hidden="1"/>
    </xf>
    <xf numFmtId="43" fontId="118" fillId="24" borderId="79" xfId="89" applyFont="1" applyFill="1" applyBorder="1" applyAlignment="1" applyProtection="1">
      <alignment horizontal="right" vertical="center" shrinkToFit="1"/>
    </xf>
    <xf numFmtId="43" fontId="118" fillId="24" borderId="30" xfId="89" applyFont="1" applyFill="1" applyBorder="1" applyAlignment="1" applyProtection="1">
      <alignment horizontal="right" vertical="center" shrinkToFit="1"/>
    </xf>
    <xf numFmtId="185" fontId="0" fillId="0" borderId="0" xfId="0" applyNumberFormat="1" applyFont="1" applyFill="1" applyAlignment="1" applyProtection="1">
      <protection locked="0"/>
    </xf>
    <xf numFmtId="43" fontId="127" fillId="24" borderId="86" xfId="89" applyFont="1" applyFill="1" applyBorder="1" applyAlignment="1" applyProtection="1">
      <alignment horizontal="right" vertical="center" shrinkToFit="1"/>
    </xf>
    <xf numFmtId="43" fontId="127" fillId="24" borderId="51" xfId="89" applyFont="1" applyFill="1" applyBorder="1" applyAlignment="1" applyProtection="1">
      <alignment horizontal="right" vertical="center" shrinkToFit="1"/>
    </xf>
    <xf numFmtId="43" fontId="127" fillId="24" borderId="85" xfId="89" applyFont="1" applyFill="1" applyBorder="1" applyAlignment="1" applyProtection="1">
      <alignment horizontal="right" vertical="center" shrinkToFit="1"/>
    </xf>
    <xf numFmtId="0" fontId="122" fillId="0" borderId="77" xfId="0" applyFont="1" applyFill="1" applyBorder="1" applyAlignment="1" applyProtection="1">
      <alignment horizontal="right" vertical="center"/>
      <protection hidden="1"/>
    </xf>
    <xf numFmtId="43" fontId="87" fillId="0" borderId="79" xfId="89" applyFont="1" applyFill="1" applyBorder="1" applyAlignment="1" applyProtection="1">
      <alignment horizontal="right" vertical="center" shrinkToFit="1"/>
      <protection locked="0"/>
    </xf>
    <xf numFmtId="43" fontId="127" fillId="24" borderId="30" xfId="89" applyFont="1" applyFill="1" applyBorder="1" applyAlignment="1" applyProtection="1">
      <alignment horizontal="right" vertical="center" shrinkToFit="1"/>
    </xf>
    <xf numFmtId="43" fontId="127" fillId="24" borderId="77" xfId="89" applyFont="1" applyFill="1" applyBorder="1" applyAlignment="1" applyProtection="1">
      <alignment horizontal="right" vertical="center" shrinkToFit="1"/>
    </xf>
    <xf numFmtId="43" fontId="127" fillId="0" borderId="83" xfId="89" applyFont="1" applyFill="1" applyBorder="1" applyAlignment="1" applyProtection="1">
      <alignment horizontal="right" vertical="center" shrinkToFit="1"/>
      <protection locked="0"/>
    </xf>
    <xf numFmtId="43" fontId="127" fillId="24" borderId="82" xfId="89" applyFont="1" applyFill="1" applyBorder="1" applyAlignment="1" applyProtection="1">
      <alignment horizontal="right" vertical="center" shrinkToFit="1"/>
    </xf>
    <xf numFmtId="0" fontId="62" fillId="0" borderId="0" xfId="0" applyFont="1" applyFill="1" applyBorder="1" applyAlignment="1">
      <alignment horizontal="center" vertical="center"/>
    </xf>
    <xf numFmtId="0" fontId="62" fillId="0" borderId="0" xfId="0" applyFont="1" applyBorder="1" applyAlignment="1">
      <alignment horizontal="center" vertical="center"/>
    </xf>
    <xf numFmtId="0" fontId="76" fillId="0" borderId="87" xfId="84" applyFont="1" applyFill="1" applyBorder="1" applyAlignment="1">
      <alignment horizontal="center" vertical="center"/>
    </xf>
    <xf numFmtId="0" fontId="76" fillId="0" borderId="70" xfId="84" applyFont="1" applyFill="1" applyBorder="1" applyAlignment="1">
      <alignment horizontal="center" vertical="center"/>
    </xf>
    <xf numFmtId="0" fontId="76" fillId="0" borderId="88" xfId="84" applyFont="1" applyFill="1" applyBorder="1" applyAlignment="1">
      <alignment horizontal="center" vertical="center"/>
    </xf>
    <xf numFmtId="0" fontId="62" fillId="0" borderId="0" xfId="84" applyFont="1" applyFill="1" applyBorder="1" applyAlignment="1">
      <alignment horizontal="center" vertical="center"/>
    </xf>
    <xf numFmtId="0" fontId="128" fillId="0" borderId="11" xfId="0" applyFont="1" applyFill="1" applyBorder="1" applyAlignment="1">
      <alignment horizontal="center" vertical="center"/>
    </xf>
    <xf numFmtId="0" fontId="14" fillId="0" borderId="6" xfId="84" applyFont="1" applyFill="1" applyBorder="1" applyAlignment="1">
      <alignment horizontal="left" vertical="center"/>
    </xf>
    <xf numFmtId="0" fontId="14" fillId="0" borderId="89" xfId="84" applyFont="1" applyFill="1" applyBorder="1" applyAlignment="1">
      <alignment horizontal="left" vertical="center"/>
    </xf>
    <xf numFmtId="0" fontId="14" fillId="0" borderId="5" xfId="84" applyFont="1" applyFill="1" applyBorder="1" applyAlignment="1">
      <alignment horizontal="center" vertical="center"/>
    </xf>
    <xf numFmtId="49" fontId="128" fillId="0" borderId="35" xfId="84" applyNumberFormat="1" applyFont="1" applyFill="1" applyBorder="1" applyAlignment="1">
      <alignment horizontal="center" vertical="center"/>
    </xf>
    <xf numFmtId="0" fontId="8" fillId="0" borderId="35" xfId="84" applyFont="1" applyFill="1" applyBorder="1" applyAlignment="1">
      <alignment horizontal="center" vertical="center"/>
    </xf>
    <xf numFmtId="0" fontId="14" fillId="0" borderId="44" xfId="84" applyFont="1" applyFill="1" applyBorder="1" applyAlignment="1">
      <alignment horizontal="center" vertical="center"/>
    </xf>
    <xf numFmtId="31" fontId="128" fillId="0" borderId="89" xfId="84" applyNumberFormat="1" applyFont="1" applyFill="1" applyBorder="1" applyAlignment="1">
      <alignment horizontal="center" vertical="center"/>
    </xf>
    <xf numFmtId="0" fontId="128" fillId="0" borderId="90" xfId="0" applyFont="1" applyBorder="1" applyAlignment="1">
      <alignment horizontal="center" vertical="center"/>
    </xf>
    <xf numFmtId="0" fontId="128" fillId="0" borderId="44" xfId="0" applyFont="1" applyBorder="1" applyAlignment="1">
      <alignment horizontal="center" vertical="center"/>
    </xf>
    <xf numFmtId="0" fontId="128" fillId="0" borderId="89" xfId="0" applyFont="1" applyBorder="1" applyAlignment="1">
      <alignment horizontal="center" vertical="center"/>
    </xf>
    <xf numFmtId="0" fontId="14" fillId="0" borderId="18" xfId="84" applyFont="1" applyFill="1" applyBorder="1" applyAlignment="1">
      <alignment horizontal="center" vertical="center"/>
    </xf>
    <xf numFmtId="0" fontId="8" fillId="0" borderId="33" xfId="84" applyFont="1" applyFill="1" applyBorder="1" applyAlignment="1">
      <alignment horizontal="center" vertical="center"/>
    </xf>
    <xf numFmtId="0" fontId="62" fillId="0" borderId="5" xfId="0" applyFont="1" applyFill="1" applyBorder="1" applyAlignment="1">
      <alignment horizontal="center" vertical="center"/>
    </xf>
    <xf numFmtId="0" fontId="70" fillId="0" borderId="5" xfId="0" applyFont="1" applyFill="1" applyBorder="1" applyAlignment="1">
      <alignment horizontal="center" vertical="center"/>
    </xf>
    <xf numFmtId="0" fontId="62" fillId="0" borderId="5" xfId="84" applyFont="1" applyFill="1" applyBorder="1" applyAlignment="1">
      <alignment horizontal="center" vertical="center"/>
    </xf>
    <xf numFmtId="0" fontId="4" fillId="0" borderId="5" xfId="84" applyFont="1" applyFill="1" applyBorder="1" applyAlignment="1">
      <alignment vertical="center"/>
    </xf>
    <xf numFmtId="0" fontId="128" fillId="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62" fillId="0" borderId="5" xfId="0" applyFont="1" applyBorder="1" applyAlignment="1">
      <alignment horizontal="center" vertical="center"/>
    </xf>
    <xf numFmtId="0" fontId="62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62" fillId="0" borderId="42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</cellXfs>
  <cellStyles count="9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常规 6" xfId="14"/>
    <cellStyle name="注释" xfId="15" builtinId="10"/>
    <cellStyle name="60% - 强调文字颜色 2" xfId="16" builtinId="36"/>
    <cellStyle name="标题 4" xfId="17" builtinId="19"/>
    <cellStyle name="警告文本" xfId="18" builtinId="11"/>
    <cellStyle name="千位分隔 3 2" xfId="19"/>
    <cellStyle name="_ET_STYLE_NoName_00_" xfId="20"/>
    <cellStyle name="标题" xfId="21" builtinId="15"/>
    <cellStyle name="常规 12" xfId="22"/>
    <cellStyle name="s]_x000d__x000a_load=_x000d__x000a_run=_x000d__x000a_NullPort=None_x000d__x000a_device=HP LaserJet 4 Plus,HPPCL5MS,LPT1:_x000d__x000a__x000d__x000a_[Desktop]_x000d__x000a_Wallpaper=(无)_x000d__x000a_TileWallpaper=0_x000d_" xfId="23"/>
    <cellStyle name="解释性文本" xfId="24" builtinId="53"/>
    <cellStyle name="标题 1" xfId="25" builtinId="16"/>
    <cellStyle name="标题 2" xfId="26" builtinId="17"/>
    <cellStyle name="60% - 强调文字颜色 1" xfId="27" builtinId="32"/>
    <cellStyle name="标题 3" xfId="28" builtinId="18"/>
    <cellStyle name="60% - 强调文字颜色 4" xfId="29" builtinId="44"/>
    <cellStyle name="输出" xfId="30" builtinId="21"/>
    <cellStyle name="计算" xfId="31" builtinId="22"/>
    <cellStyle name="常规 2 29" xfId="32"/>
    <cellStyle name="检查单元格" xfId="33" builtinId="23"/>
    <cellStyle name="常规_Sheet1_损益预算项目附表" xfId="34"/>
    <cellStyle name="20% - 强调文字颜色 6" xfId="35" builtinId="50"/>
    <cellStyle name="强调文字颜色 2" xfId="36" builtinId="33"/>
    <cellStyle name="链接单元格" xfId="37" builtinId="24"/>
    <cellStyle name="汇总" xfId="38" builtinId="25"/>
    <cellStyle name="好" xfId="39" builtinId="26"/>
    <cellStyle name="百分比 3 2 2" xfId="40"/>
    <cellStyle name="适中" xfId="41" builtinId="28"/>
    <cellStyle name="20% - 强调文字颜色 5" xfId="42" builtinId="46"/>
    <cellStyle name="强调文字颜色 1" xfId="43" builtinId="29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强调文字颜色 4" xfId="49" builtinId="41"/>
    <cellStyle name="20% - 强调文字颜色 4" xfId="50" builtinId="42"/>
    <cellStyle name="40% - 强调文字颜色 4" xfId="51" builtinId="43"/>
    <cellStyle name="强调文字颜色 5" xfId="52" builtinId="45"/>
    <cellStyle name="常规 2 2" xfId="53"/>
    <cellStyle name="40% - 强调文字颜色 5" xfId="54" builtinId="47"/>
    <cellStyle name="60% - 强调文字颜色 5" xfId="55" builtinId="48"/>
    <cellStyle name="强调文字颜色 6" xfId="56" builtinId="49"/>
    <cellStyle name="常规 2 3" xfId="57"/>
    <cellStyle name="常规 10" xfId="58"/>
    <cellStyle name="40% - 强调文字颜色 6" xfId="59" builtinId="51"/>
    <cellStyle name="60% - 强调文字颜色 6" xfId="60" builtinId="52"/>
    <cellStyle name="常规 2 10 2 2" xfId="61"/>
    <cellStyle name="常规 10 2 2 2" xfId="62"/>
    <cellStyle name="|: 获取数据 ..." xfId="63"/>
    <cellStyle name="常规 11" xfId="64"/>
    <cellStyle name="常规 186" xfId="65"/>
    <cellStyle name="常规 2" xfId="66"/>
    <cellStyle name="常规 2 10 2" xfId="67"/>
    <cellStyle name="常规 23" xfId="68"/>
    <cellStyle name="常规 3" xfId="69"/>
    <cellStyle name="常规 3 2" xfId="70"/>
    <cellStyle name="常规 3 9" xfId="71"/>
    <cellStyle name="常规 4" xfId="72"/>
    <cellStyle name="常规 4 10" xfId="73"/>
    <cellStyle name="常规 4_118收益现值法计算表-柳州数控" xfId="74"/>
    <cellStyle name="常规 5" xfId="75"/>
    <cellStyle name="常规 7" xfId="76"/>
    <cellStyle name="常规 8" xfId="77"/>
    <cellStyle name="常规 9" xfId="78"/>
    <cellStyle name="常规_060317华晋现金流预测" xfId="79"/>
    <cellStyle name="常规_6月1858" xfId="80"/>
    <cellStyle name="常规_Sheet1" xfId="81"/>
    <cellStyle name="常规_测算稿" xfId="82"/>
    <cellStyle name="常规_附表一：电力收益法申报表" xfId="83"/>
    <cellStyle name="常规_神华明细表(填报版)" xfId="84"/>
    <cellStyle name="常规_损益预算项目附表 2" xfId="85"/>
    <cellStyle name="千位分隔 10 2" xfId="86"/>
    <cellStyle name="千位分隔 2" xfId="87"/>
    <cellStyle name="千位分隔 2 2" xfId="88"/>
    <cellStyle name="千位分隔 3" xfId="89"/>
    <cellStyle name="千位分隔 3 3" xfId="90"/>
    <cellStyle name="千位分隔 4" xfId="91"/>
    <cellStyle name="千位分隔 5 5" xfId="92"/>
    <cellStyle name="千位分隔 74 2" xfId="93"/>
    <cellStyle name="千位分隔 74 2 2" xfId="94"/>
    <cellStyle name="千位分隔_集团计算表6-8" xfId="95"/>
    <cellStyle name="样式 1" xfId="96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1" Type="http://schemas.openxmlformats.org/officeDocument/2006/relationships/sharedStrings" Target="sharedStrings.xml"/><Relationship Id="rId80" Type="http://schemas.openxmlformats.org/officeDocument/2006/relationships/styles" Target="styles.xml"/><Relationship Id="rId8" Type="http://schemas.openxmlformats.org/officeDocument/2006/relationships/worksheet" Target="worksheets/sheet8.xml"/><Relationship Id="rId79" Type="http://schemas.openxmlformats.org/officeDocument/2006/relationships/theme" Target="theme/theme1.xml"/><Relationship Id="rId78" Type="http://schemas.openxmlformats.org/officeDocument/2006/relationships/externalLink" Target="externalLinks/externalLink39.xml"/><Relationship Id="rId77" Type="http://schemas.openxmlformats.org/officeDocument/2006/relationships/externalLink" Target="externalLinks/externalLink38.xml"/><Relationship Id="rId76" Type="http://schemas.openxmlformats.org/officeDocument/2006/relationships/externalLink" Target="externalLinks/externalLink37.xml"/><Relationship Id="rId75" Type="http://schemas.openxmlformats.org/officeDocument/2006/relationships/externalLink" Target="externalLinks/externalLink36.xml"/><Relationship Id="rId74" Type="http://schemas.openxmlformats.org/officeDocument/2006/relationships/externalLink" Target="externalLinks/externalLink35.xml"/><Relationship Id="rId73" Type="http://schemas.openxmlformats.org/officeDocument/2006/relationships/externalLink" Target="externalLinks/externalLink34.xml"/><Relationship Id="rId72" Type="http://schemas.openxmlformats.org/officeDocument/2006/relationships/externalLink" Target="externalLinks/externalLink33.xml"/><Relationship Id="rId71" Type="http://schemas.openxmlformats.org/officeDocument/2006/relationships/externalLink" Target="externalLinks/externalLink32.xml"/><Relationship Id="rId70" Type="http://schemas.openxmlformats.org/officeDocument/2006/relationships/externalLink" Target="externalLinks/externalLink31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30.xml"/><Relationship Id="rId68" Type="http://schemas.openxmlformats.org/officeDocument/2006/relationships/externalLink" Target="externalLinks/externalLink29.xml"/><Relationship Id="rId67" Type="http://schemas.openxmlformats.org/officeDocument/2006/relationships/externalLink" Target="externalLinks/externalLink28.xml"/><Relationship Id="rId66" Type="http://schemas.openxmlformats.org/officeDocument/2006/relationships/externalLink" Target="externalLinks/externalLink27.xml"/><Relationship Id="rId65" Type="http://schemas.openxmlformats.org/officeDocument/2006/relationships/externalLink" Target="externalLinks/externalLink26.xml"/><Relationship Id="rId64" Type="http://schemas.openxmlformats.org/officeDocument/2006/relationships/externalLink" Target="externalLinks/externalLink25.xml"/><Relationship Id="rId63" Type="http://schemas.openxmlformats.org/officeDocument/2006/relationships/externalLink" Target="externalLinks/externalLink24.xml"/><Relationship Id="rId62" Type="http://schemas.openxmlformats.org/officeDocument/2006/relationships/externalLink" Target="externalLinks/externalLink23.xml"/><Relationship Id="rId61" Type="http://schemas.openxmlformats.org/officeDocument/2006/relationships/externalLink" Target="externalLinks/externalLink22.xml"/><Relationship Id="rId60" Type="http://schemas.openxmlformats.org/officeDocument/2006/relationships/externalLink" Target="externalLinks/externalLink21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19.xml"/><Relationship Id="rId57" Type="http://schemas.openxmlformats.org/officeDocument/2006/relationships/externalLink" Target="externalLinks/externalLink18.xml"/><Relationship Id="rId56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13.xml"/><Relationship Id="rId51" Type="http://schemas.openxmlformats.org/officeDocument/2006/relationships/externalLink" Target="externalLinks/externalLink12.xml"/><Relationship Id="rId50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9.xml"/><Relationship Id="rId47" Type="http://schemas.openxmlformats.org/officeDocument/2006/relationships/externalLink" Target="externalLinks/externalLink8.xml"/><Relationship Id="rId46" Type="http://schemas.openxmlformats.org/officeDocument/2006/relationships/externalLink" Target="externalLinks/externalLink7.xml"/><Relationship Id="rId45" Type="http://schemas.openxmlformats.org/officeDocument/2006/relationships/externalLink" Target="externalLinks/externalLink6.xml"/><Relationship Id="rId44" Type="http://schemas.openxmlformats.org/officeDocument/2006/relationships/externalLink" Target="externalLinks/externalLink5.xml"/><Relationship Id="rId43" Type="http://schemas.openxmlformats.org/officeDocument/2006/relationships/externalLink" Target="externalLinks/externalLink4.xml"/><Relationship Id="rId42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.xml"/><Relationship Id="rId4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.png"/><Relationship Id="rId8" Type="http://schemas.openxmlformats.org/officeDocument/2006/relationships/image" Target="../media/image11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3" Type="http://schemas.openxmlformats.org/officeDocument/2006/relationships/image" Target="../media/image16.png"/><Relationship Id="rId12" Type="http://schemas.openxmlformats.org/officeDocument/2006/relationships/image" Target="../media/image15.png"/><Relationship Id="rId11" Type="http://schemas.openxmlformats.org/officeDocument/2006/relationships/image" Target="../media/image14.png"/><Relationship Id="rId10" Type="http://schemas.openxmlformats.org/officeDocument/2006/relationships/image" Target="../media/image1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12</xdr:row>
      <xdr:rowOff>1</xdr:rowOff>
    </xdr:from>
    <xdr:to>
      <xdr:col>13</xdr:col>
      <xdr:colOff>386835</xdr:colOff>
      <xdr:row>16</xdr:row>
      <xdr:rowOff>22861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57260" y="2581275"/>
          <a:ext cx="4318635" cy="822960"/>
        </a:xfrm>
        <a:prstGeom prst="rect">
          <a:avLst/>
        </a:prstGeom>
      </xdr:spPr>
    </xdr:pic>
    <xdr:clientData/>
  </xdr:twoCellAnchor>
  <xdr:twoCellAnchor editAs="oneCell">
    <xdr:from>
      <xdr:col>7</xdr:col>
      <xdr:colOff>106680</xdr:colOff>
      <xdr:row>52</xdr:row>
      <xdr:rowOff>220981</xdr:rowOff>
    </xdr:from>
    <xdr:to>
      <xdr:col>13</xdr:col>
      <xdr:colOff>327660</xdr:colOff>
      <xdr:row>55</xdr:row>
      <xdr:rowOff>164101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46720" y="11060430"/>
          <a:ext cx="4770120" cy="628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1859280</xdr:colOff>
      <xdr:row>2</xdr:row>
      <xdr:rowOff>388621</xdr:rowOff>
    </xdr:from>
    <xdr:to>
      <xdr:col>2</xdr:col>
      <xdr:colOff>3831817</xdr:colOff>
      <xdr:row>9</xdr:row>
      <xdr:rowOff>349011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59280" y="1588770"/>
          <a:ext cx="6125210" cy="2733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83820</xdr:colOff>
      <xdr:row>36</xdr:row>
      <xdr:rowOff>83820</xdr:rowOff>
    </xdr:from>
    <xdr:to>
      <xdr:col>4</xdr:col>
      <xdr:colOff>901863</xdr:colOff>
      <xdr:row>38</xdr:row>
      <xdr:rowOff>60917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0240" y="7370445"/>
          <a:ext cx="4406900" cy="31940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61</xdr:row>
      <xdr:rowOff>45720</xdr:rowOff>
    </xdr:from>
    <xdr:to>
      <xdr:col>4</xdr:col>
      <xdr:colOff>473315</xdr:colOff>
      <xdr:row>63</xdr:row>
      <xdr:rowOff>32341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12620" y="11618595"/>
          <a:ext cx="3985895" cy="328930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50</xdr:row>
      <xdr:rowOff>7620</xdr:rowOff>
    </xdr:from>
    <xdr:to>
      <xdr:col>5</xdr:col>
      <xdr:colOff>581961</xdr:colOff>
      <xdr:row>51</xdr:row>
      <xdr:rowOff>91407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3100" y="9694545"/>
          <a:ext cx="5260340" cy="25463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73</xdr:row>
      <xdr:rowOff>15240</xdr:rowOff>
    </xdr:from>
    <xdr:to>
      <xdr:col>4</xdr:col>
      <xdr:colOff>671521</xdr:colOff>
      <xdr:row>74</xdr:row>
      <xdr:rowOff>118074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59280" y="13645515"/>
          <a:ext cx="4237355" cy="2736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4</xdr:col>
      <xdr:colOff>739783</xdr:colOff>
      <xdr:row>84</xdr:row>
      <xdr:rowOff>45719</xdr:rowOff>
    </xdr:to>
    <xdr:pic>
      <xdr:nvPicPr>
        <xdr:cNvPr id="14" name="图片 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36420" y="15344775"/>
          <a:ext cx="4328795" cy="2165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5</xdr:col>
      <xdr:colOff>0</xdr:colOff>
      <xdr:row>97</xdr:row>
      <xdr:rowOff>74263</xdr:rowOff>
    </xdr:to>
    <xdr:pic>
      <xdr:nvPicPr>
        <xdr:cNvPr id="16" name="图片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36420" y="17573625"/>
          <a:ext cx="4785360" cy="245110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97</xdr:row>
      <xdr:rowOff>144780</xdr:rowOff>
    </xdr:from>
    <xdr:to>
      <xdr:col>4</xdr:col>
      <xdr:colOff>822441</xdr:colOff>
      <xdr:row>106</xdr:row>
      <xdr:rowOff>60959</xdr:rowOff>
    </xdr:to>
    <xdr:pic>
      <xdr:nvPicPr>
        <xdr:cNvPr id="18" name="图片 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95500" y="17889855"/>
          <a:ext cx="4152265" cy="14585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4</xdr:col>
      <xdr:colOff>496694</xdr:colOff>
      <xdr:row>70</xdr:row>
      <xdr:rowOff>144780</xdr:rowOff>
    </xdr:to>
    <xdr:pic>
      <xdr:nvPicPr>
        <xdr:cNvPr id="20" name="图片 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36420" y="12087225"/>
          <a:ext cx="4085590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4</xdr:col>
      <xdr:colOff>449075</xdr:colOff>
      <xdr:row>59</xdr:row>
      <xdr:rowOff>3810</xdr:rowOff>
    </xdr:to>
    <xdr:pic>
      <xdr:nvPicPr>
        <xdr:cNvPr id="22" name="图片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36420" y="10029825"/>
          <a:ext cx="4037965" cy="12039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4</xdr:col>
      <xdr:colOff>449075</xdr:colOff>
      <xdr:row>45</xdr:row>
      <xdr:rowOff>83820</xdr:rowOff>
    </xdr:to>
    <xdr:pic>
      <xdr:nvPicPr>
        <xdr:cNvPr id="24" name="图片 2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36420" y="7800975"/>
          <a:ext cx="4037965" cy="1112520"/>
        </a:xfrm>
        <a:prstGeom prst="rect">
          <a:avLst/>
        </a:prstGeom>
      </xdr:spPr>
    </xdr:pic>
    <xdr:clientData/>
  </xdr:twoCellAnchor>
  <xdr:twoCellAnchor editAs="oneCell">
    <xdr:from>
      <xdr:col>0</xdr:col>
      <xdr:colOff>1813560</xdr:colOff>
      <xdr:row>75</xdr:row>
      <xdr:rowOff>15241</xdr:rowOff>
    </xdr:from>
    <xdr:to>
      <xdr:col>4</xdr:col>
      <xdr:colOff>540501</xdr:colOff>
      <xdr:row>82</xdr:row>
      <xdr:rowOff>30481</xdr:rowOff>
    </xdr:to>
    <xdr:pic>
      <xdr:nvPicPr>
        <xdr:cNvPr id="26" name="图片 2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13560" y="13988415"/>
          <a:ext cx="4152265" cy="12153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4</xdr:col>
      <xdr:colOff>658599</xdr:colOff>
      <xdr:row>91</xdr:row>
      <xdr:rowOff>68580</xdr:rowOff>
    </xdr:to>
    <xdr:pic>
      <xdr:nvPicPr>
        <xdr:cNvPr id="28" name="图片 2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836420" y="15687675"/>
          <a:ext cx="4247515" cy="1097280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35</xdr:row>
      <xdr:rowOff>48502</xdr:rowOff>
    </xdr:from>
    <xdr:to>
      <xdr:col>19</xdr:col>
      <xdr:colOff>566340</xdr:colOff>
      <xdr:row>63</xdr:row>
      <xdr:rowOff>107803</xdr:rowOff>
    </xdr:to>
    <xdr:pic>
      <xdr:nvPicPr>
        <xdr:cNvPr id="30" name="图片 2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86800" y="7163435"/>
          <a:ext cx="8940165" cy="48596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\&#26480;&#20043;&#34892;\&#25913;&#21046;&#23457;&#35745;\&#35797;&#31639;&#24179;&#34913;&#34920;\&#24037;&#20316;\&#31119;&#26143;&#26195;&#31243;\&#35797;&#31639;&#24179;&#34913;&#34920;\&#25253;&#21578;&#30422;&#21518;&#25913;\job\&#23433;&#24509;&#23425;&#22269;&#21496;&#23572;&#29305;&#21270;&#32933;\&#21508;&#24180;&#35797;&#31639;&#24179;&#34913;&#34920;\My%20Documents\&#39033;&#30446;\&#22269;&#36164;&#22996;&#28165;&#20135;&#26680;&#36164;\&#24320;&#21457;&#25237;&#36164;&#20844;&#21496;\2005-9-18&#19979;&#21320;2&#28857;\&#24320;&#21457;&#25237;&#36164;&#20844;&#21496;\&#27719;&#24635;&#21450;&#25253;&#34920;\&#20449;&#29992;&#39118;&#38505;\&#26680;&#2354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3-&#26434;&#39033;\&#24213;&#31295;&#20462;&#35746;\&#27969;&#21160;&#36164;&#20135;-&#27431;\&#36135;&#24065;&#36164;&#37329;\&#24213;&#31295;&#27169;&#26495;\&#20013;&#27880;&#21327;&#23454;&#36136;&#24615;&#24213;&#31295;\1-(30958_6110)&#36135;&#24065;&#36164;&#3732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381;&#39280;\6&#26376;&#23384;&#26723;\6&#26376;&#36827;&#38144;&#23384;&#20316;&#19994;&#29256;\CC&#35140;&#27146;\Z&#35140;&#2714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700;&#38754;&#25991;&#20214;\&#33829;&#36816;\&#39044;&#31639;&#20998;&#26512;\&#25439;&#30410;&#39044;&#27979;&#36164;&#26009;\&#25439;&#30410;&#39044;&#27979;\2011&#24180;&#36130;&#21153;&#25351;&#26631;&#20998;&#26512;-&#21516;&#26399;&#20998;&#26512;\2012&#24180;&#36130;&#21153;&#35268;&#21010;\2011&#24180;4&#26376;&#39044;&#31639;&#36798;&#25104;&#36895;&#2525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&#12289;&#36130;&#21153;&#20998;&#26512;\01&#12289;2015&#24180;&#36130;&#21153;&#20998;&#26512;\2015.05\&#31649;&#38468;&#34920;2&#65293;1&#65293;1&#65306;201505&#65293;&#25439;&#30410;&#24555;&#25253;&amp;&#38144;&#21806;&#27611;&#21033;&#36798;&#25104;&#31616;&#25253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&#23457;&#35745;&#26126;&#32454;&#34920;&#23545;&#27604;\&#40718;&#20449;&#35834;&#24213;&#31295;\&#40718;&#20449;&#35834;&#24213;&#31295;\&#33829;&#19994;&#25910;&#2083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\&#26480;&#20043;&#34892;\&#25913;&#21046;&#23457;&#35745;\&#35797;&#31639;&#24179;&#34913;&#34920;\my%20filse\&#24213;&#31295;\&#27494;&#27721;&#25511;&#32929;2008\&#32508;&#21512;&#21367;\HY&#23457;&#35745;&#24213;&#31295;\HY&#23457;&#35745;&#24213;&#31295;\&#25511;&#32929;(&#21512;&#24182;)&#35797;&#31639;&#24179;&#34913;&#34920;2008.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\&#26480;&#20043;&#34892;\&#25913;&#21046;&#23457;&#35745;\&#35797;&#31639;&#24179;&#34913;&#34920;\&#24037;&#20316;\&#31119;&#26143;&#26195;&#31243;\&#35797;&#31639;&#24179;&#34913;&#34920;\&#25253;&#21578;&#30422;&#21518;&#25913;\2001.6.30&#22266;&#23450;&#36164;&#20135;&#21450;&#25240;&#2608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work\&#27993;&#33647;\&#20998;&#26512;&#3492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\&#26480;&#20043;&#34892;\&#25913;&#21046;&#23457;&#35745;\&#35797;&#31639;&#24179;&#34913;&#34920;\&#24037;&#20316;\&#31119;&#26143;&#26195;&#31243;\&#35797;&#31639;&#24179;&#34913;&#34920;\&#25253;&#21578;&#30422;&#21518;&#25913;\job\&#38271;&#26149;&#29123;&#27668;\2006&#24180;&#25253;\&#25253;&#21578;\&#24213;&#31295;\&#27597;&#20844;&#21496;\&#32918;&#26122;&#26469;\&#26412;&#37096;&#24213;&#31295;&#32918;&#26122;&#26469;031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36164;&#26009;&#22791;&#20221;20131226\&#26700;&#38754;20150901\&#20852;&#21326;&#23457;&#35745;2015\&#36130;&#25253;&#35268;&#21010;2015\&#36130;&#25253;&#35268;&#21010;-20151202-&#26480;&#20043;&#34892;2015&#24180;&#25253;&#34920;&#35268;&#21010;&#65293;20151202\&#36130;&#21153;&#25253;&#34920;&#65288;&#37329;&#30707;&#65289;-20150507&#21457;&#26607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26480;&#20043;&#34892;\&#28698;&#22825;&#22825;&#25104;&#30005;&#23376;&#31185;&#25216;\&#20225;&#19994;&#25552;&#20379;&#36164;&#26009;\&#35780;&#20272;\RecoveredExternalLink1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m\c\OK\M01\XJ990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yhj\sys\ACC\CRYSTAL\WTYY99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164;&#26009;&#22791;&#20221;20131226\E&#30424;\10&#12289;&#20250;&#35745;&#25253;&#34920;\2&#12289;&#26480;&#20043;&#34892;&#25253;&#34920;\2014&#24180;\&#38598;&#22242;&#65293;&#36130;&#21153;&#25253;&#34920;&#65288;&#31649;&#65289;-201407\7&#26376;&#31649;&#29702;&#25253;&#34920;\201407&#65293;&#31649;&#29702;&#25253;&#34920;&#65288;&#19975;&#20803;&#65289;&#65293;&#36152;&#26131;&#20844;&#21496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3-&#26434;&#39033;\&#24213;&#31295;&#20462;&#35746;\&#23454;&#36136;&#24615;&#31243;&#24207;&#20462;&#35746;&#21442;&#32771;&#36164;&#26009;\2-&#20013;&#27880;&#21327;&#21450;&#20854;&#20182;&#20107;&#21153;&#25152;&#24213;&#31295;\&#20013;&#27880;&#21327;&#23454;&#36136;&#24615;&#24213;&#31295;\1-(30952_6113)&#24212;&#25910;&#36134;&#2745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1&#24180;&#21508;&#32844;&#33021;&#37096;&#38376;\2011&#36130;&#21153;&#31649;&#29702;&#37096;\&#20998;&#26512;\&#31649;&#29702;&#25253;&#34920;\6&#26376;&#31649;&#25253;\2011&#24180;1-6&#26376;&#31649;&#29702;&#25253;&#34920;&#65288;7.14&#65289;\2011&#24180;1-6&#26376;&#31649;&#29702;&#25253;&#3492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zxuser.5OZ3SRHB61DLUUN\&#26700;&#38754;\&#35874;&#36164;&#26009;\0710&#25253;&#34920;\10&#26376;&#36130;&#21153;&#25253;&#34920;\&#31246;&#36134;&#36153;&#29992;&#26126;&#32454;&#3492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700;&#38754;&#25991;&#20214;\JM\JM&#25253;&#34920;\201012&#25253;&#34920;-88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6417;&#23567;&#33395;\1&#12289;&#36130;&#21153;&#25253;&#34920;\6&#12289;&#38598;&#22242;&#25253;&#34920;\2017&#24180;\1&#26376;\2011-2014&#24180;&#29305;&#21334;&#36134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\&#26480;&#20043;&#34892;\&#25913;&#21046;&#23457;&#35745;\&#35797;&#31639;&#24179;&#34913;&#34920;\&#24037;&#20316;\&#31119;&#26143;&#26195;&#31243;\&#35797;&#31639;&#24179;&#34913;&#34920;\&#25253;&#21578;&#30422;&#21518;&#25913;\job\&#23433;&#24509;&#23425;&#22269;&#21496;&#23572;&#29305;&#21270;&#32933;\&#21508;&#24180;&#35797;&#31639;&#24179;&#34913;&#34920;\My%20Documents\&#39033;&#30446;\&#22269;&#36164;&#22996;&#28165;&#20135;&#26680;&#36164;\&#24320;&#21457;&#25237;&#36164;&#20844;&#21496;\2005-9-18&#19979;&#21320;2&#28857;\&#24320;&#21457;&#25237;&#36164;&#20844;&#21496;\&#27719;&#24635;&#21450;&#25253;&#34920;\&#39033;&#30446;&#36164;&#26009;\&#20840;&#20852;&#32929;&#20221;\2004&#24180;&#24180;&#25253;&#36164;&#26009;\&#25104;&#37117;&#20061;&#20852;\&#25104;&#37117;&#20061;&#20852;&#24213;&#31295;\&#25104;&#37117;&#20061;&#20852;\&#39033;&#30446;&#36164;&#26009;\&#20840;&#20852;&#32929;&#20221;\2004&#24180;6&#26376;&#20061;&#20852;\&#25104;&#20061;&#21322;&#24180;&#25253;\&#32508;&#21512;\&#25104;&#37117;&#20061;&#20852;\&#25105;&#30340;&#25991;&#26723;\&#39033;&#30446;&#36164;&#26009;\&#19996;&#28246;&#39640;&#26032;\2002&#24180;\&#31185;&#35834;-&#23384;&#36135;\My%20Documents\&#23457;&#35745;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417;&#23567;&#33395;\&#38598;&#22242;&#36130;&#21153;&#25253;&#34920;\2014&#24180;\11&#26376;\&#31649;&#38468;&#34920;2&#65293;4&#65306;201409&#65293;&#31649;&#29702;&#25253;&#34920;&#65288;&#19975;&#20803;&#65289;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rles-406278\ICBC\Zhejiang\OPERATE-LEAS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KE1C09~1.WAN\LOCALS~1\Temp\D.Lotus.Notes.Data\Work\3&#38144;&#21806;&#22238;&#27454;&#25968;&#25454;\&#38144;&#21806;&#25968;&#25454;\&#21271;&#20307;&#38144;&#21806;&#26085;&#25253;\05&#26085;&#25253;\&#38144;&#21806;&#25253;&#34920;(2005.08.31&#38144;&#21806;&#25253;&#34920;V1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huxiaoyan\Desktop\&#23457;&#35745;&#25253;&#21578;\20160524\TB0506\2007TB&#38468;&#2788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149;&#20154;&#40479;2011.1231&#23457;&#35745;-&#26368;&#32456;&#24402;&#26723;\&#36149;&#20154;&#40479;2011.1231&#24213;&#31295;&#25171;&#21360;&#31295;\GRN2011&#24180;&#23457;&#25910;&#20837;&#24213;&#31295;&#25171;&#21360;&#29256;&#8212;&#29579;&#27849;&#23453;\&#36149;&#20154;&#40479;_2011&#24180;1-12&#26376;_&#25910;&#20837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zxuser.5OZ3SRHB61DLUUN\&#26700;&#38754;\&#21512;&#24182;&#25253;&#34920;\&#21512;&#24182;&#25253;&#34920;&#30456;&#20851;&#34920;\201204\201204\&#40857;&#20809;&#21450;&#20854;&#20182;\&#40857;&#20809;&#25253;&#34920;\&#36130;&#25253;&#21644;&#31649;&#25253;\1004\&#40857;&#20809;&#25253;&#34920;\&#36130;&#25253;(&#36130;&#24180;)\&#21407;&#26684;&#24335;-J16-&#26480;&#20043;&#34892;_Consol%20FS-201004(&#36130;&#25253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3-&#26434;&#39033;\&#24213;&#31295;&#20462;&#35746;\&#27969;&#21160;&#36164;&#20135;-&#27431;\&#36135;&#24065;&#36164;&#37329;\ZA&#36135;&#24065;&#36164;&#3732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006&#36890;&#23453;&#25253;&#34920;33%2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12&#36890;&#23453;&#25253;&#3492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\excel\&#36130;&#21153;&#20998;&#26512;&#27169;&#22411;\&#38144;&#21806;&#25910;&#20837;&#12289;&#25104;&#26412;&#12289;&#36153;&#29992;&#12289;&#31246;&#37329;&#20998;&#26512;&#34920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\&#26480;&#20043;&#34892;\&#25913;&#21046;&#23457;&#35745;\&#35797;&#31639;&#24179;&#34913;&#34920;\&#24037;&#20316;\&#31119;&#26143;&#26195;&#31243;\&#35797;&#31639;&#24179;&#34913;&#34920;\&#25253;&#21578;&#30422;&#21518;&#25913;\job\&#23433;&#24509;&#23425;&#22269;&#21496;&#23572;&#29305;&#21270;&#32933;\&#21508;&#24180;&#35797;&#31639;&#24179;&#34913;&#34920;\My%20Documents\&#39033;&#30446;\&#22269;&#36164;&#22996;&#28165;&#20135;&#26680;&#36164;\&#24320;&#21457;&#25237;&#36164;&#20844;&#21496;\2005-9-18&#19979;&#21320;2&#28857;\&#24320;&#21457;&#25237;&#36164;&#20844;&#21496;\&#27719;&#24635;&#21450;&#25253;&#34920;\&#39033;&#30446;&#36164;&#26009;\&#20840;&#20852;&#32929;&#20221;\2004&#24180;&#24180;&#25253;&#36164;&#26009;\&#25104;&#37117;&#20061;&#20852;\&#25104;&#37117;&#20061;&#20852;&#24213;&#31295;\&#25104;&#37117;&#20061;&#20852;\&#39033;&#30446;&#36164;&#26009;\&#20840;&#20852;&#32929;&#20221;\2004&#24180;6&#26376;&#20061;&#20852;\&#25104;&#20061;&#21322;&#24180;&#25253;\&#32508;&#21512;\&#25104;&#37117;&#20061;&#20852;\My%20Documents\&#39532;&#24212;&#40857;\&#38738;&#22823;&#33647;&#19994;2003&#24180;&#24230;\2003.9\F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5105;&#30340;&#25991;&#26723;\&#36164;&#20135;&#35780;&#20272;\2018&#24180;\&#23425;&#24503;&#19996;&#26207;&#25151;&#22320;&#20135;\&#25253;&#21578;\&#19977;&#23457;&#31295;\3%20%20GQY-&#25910;&#30410;&#27861;&#35745;&#31639;&#34920;17.01.13&#65292;&#23494;&#30721;&#65288;naonao)(1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26480;&#20043;&#34892;\&#25910;&#30410;&#39044;&#27979;&#34920;-2018032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26480;&#20043;&#34892;\&#33670;&#30000;&#21326;&#31185;&#35780;&#20272;&#27979;&#31639;&#34920;-&#21525;-2016092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le\Documents\WeChat%20Files\wxid_ct9taj5y1h0a22\Files\&#21355;&#19996;&#26032;&#33021;&#28304;&#32929;&#20221;&#26377;&#38480;&#20844;&#21496;2017&#24180;12&#26376;&#24037;&#36164;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by\Desktop\TES\&#22343;&#36798;&#35745;&#31639;&#34920;\&#27979;&#31639;&#34920;&#65288;&#26519;&#65289;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3&#12289;&#25972;&#20307;&#35780;&#20272;&#26126;&#32454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原材料"/>
      <sheetName val="_176"/>
      <sheetName val="01_352"/>
      <sheetName val="02_0177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{隐藏公式页}"/>
      <sheetName val="底稿目录"/>
      <sheetName val="审计程序"/>
      <sheetName val="审定表"/>
      <sheetName val="账项明细表"/>
      <sheetName val="银行存款明细表"/>
      <sheetName val="披露表(上市)"/>
      <sheetName val="披露表(标准)"/>
      <sheetName val="披露表(国资)"/>
      <sheetName val="库存现金监盘表"/>
      <sheetName val="外币货币资金核查表"/>
      <sheetName val="银行存单检查表"/>
      <sheetName val="银行存款未达账项调节表"/>
      <sheetName val="对银行存款余额调节表的检查"/>
      <sheetName val="对其他货币资金余额调节表的检查"/>
      <sheetName val="银行存款大额未达账项检查表"/>
      <sheetName val="银行存款（其他货币资金）函证结果汇总表"/>
      <sheetName val="函证结果调节表"/>
      <sheetName val="银行存款截止测试"/>
      <sheetName val="其他货币资金截止测试"/>
      <sheetName val="凭证"/>
      <sheetName val="细节测试审计抽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批发"/>
      <sheetName val="各品牌5月加权价汇总"/>
      <sheetName val="折扣 "/>
      <sheetName val="进销存模板"/>
      <sheetName val="进销存表透视"/>
      <sheetName val="汇总明细"/>
      <sheetName val="透视成总表"/>
      <sheetName val="加权平均用明细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主要指标"/>
      <sheetName val="销售分公司"/>
      <sheetName val="销售分时态"/>
      <sheetName val="销售分业态"/>
      <sheetName val="费用总况"/>
      <sheetName val="费用分公司(分大区)"/>
      <sheetName val="费用分时态"/>
      <sheetName val="零售信息维护"/>
      <sheetName val="批发信息维护"/>
      <sheetName val="预算数"/>
      <sheetName val="零售实际"/>
      <sheetName val="批发实际"/>
      <sheetName val="同期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损益快报"/>
      <sheetName val="销售分区域"/>
      <sheetName val="销售毛利达成－分渠道(本月)"/>
      <sheetName val="销售毛利达成－分品牌(本月)"/>
      <sheetName val="销售毛利达成－分渠道(累计)"/>
      <sheetName val="销售毛利达成－分品牌(累计)"/>
      <sheetName val="数据库(万元)"/>
      <sheetName val="结算扣点率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底稿目录"/>
      <sheetName val="dxnsjtempsheet"/>
      <sheetName val="审计程序"/>
      <sheetName val="审定表"/>
      <sheetName val="明细表"/>
      <sheetName val="披露表(上市)"/>
      <sheetName val="披露表(标准)"/>
      <sheetName val="披露表(国资)"/>
      <sheetName val="业务产品销售分析表"/>
      <sheetName val="主营业务月度毛利率分析表"/>
      <sheetName val="产品销售收入、产品销售成本表"/>
      <sheetName val="毛利率与同行业对比分析"/>
      <sheetName val="关联交易查验"/>
      <sheetName val="主营业务收入汇率折算检查表"/>
      <sheetName val="销售合同或销售订单的细节测试记录表"/>
      <sheetName val="营业收入与已开具发票核对表"/>
      <sheetName val="主营业务收入细节测试表"/>
      <sheetName val="主营业务收入截止测试(从发货单到明细账)"/>
      <sheetName val="主营业务收入截止测试(从明细账到发货单)"/>
      <sheetName val="主营业务收入检查情况表"/>
      <sheetName val="其他业务月度毛利率分析表"/>
      <sheetName val="其他业务收入细节测试表"/>
      <sheetName val="其他业务收入检查情况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目录"/>
      <sheetName val="报表科目工作底稿索引号目录 "/>
      <sheetName val="母公司未调整审计差异汇总表 "/>
      <sheetName val="本部"/>
      <sheetName val="宗关"/>
      <sheetName val="沙湖一期"/>
      <sheetName val="沙湖二期 "/>
      <sheetName val="白鹤嘴"/>
      <sheetName val="房地产"/>
      <sheetName val="物业"/>
      <sheetName val="桥莎"/>
      <sheetName val="隧道"/>
      <sheetName val="合并工作表(审定)"/>
      <sheetName val="合并抵消分录(审定)"/>
      <sheetName val="母公司合并抵消分录(审定)"/>
      <sheetName val="房地产合并抵消分录(审定)"/>
      <sheetName val="内部往来核对"/>
      <sheetName val="集团审定后报表分析表"/>
      <sheetName val="审计差异调整汇总目录"/>
      <sheetName val="集团公司审计差异调整汇总表"/>
      <sheetName val="ED未更正错报汇总表"/>
      <sheetName val="合并资产负债表(审定)"/>
      <sheetName val="合并利润表(审定)"/>
      <sheetName val="合并现金流量表"/>
      <sheetName val="合并所有者权益变动表"/>
      <sheetName val="资产负债表(母公司)"/>
      <sheetName val="利润表(母公司)"/>
      <sheetName val="所有者权益变动表(母公司)"/>
      <sheetName val="现金流量表(母公司)"/>
      <sheetName val="每股收益"/>
      <sheetName val="每股收益的计算"/>
      <sheetName val="财务指标"/>
      <sheetName val="非经常性损益明细表2008"/>
      <sheetName val="非经常性损益明细表2007"/>
      <sheetName val="集团公司未调整审计差异汇总表"/>
      <sheetName val="集团公司审计差异调整分录"/>
      <sheetName val="集团公司利润分配构成"/>
      <sheetName val="利润表补充资料汇总表"/>
      <sheetName val="DN集团非经常性损益汇总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固定资产2001.6.30汇总表"/>
      <sheetName val="房屋评估折旧明细"/>
      <sheetName val="构筑物评估折旧明细"/>
      <sheetName val="传导设备评估折旧明细"/>
      <sheetName val="运输设备评估折旧明细2000.12.31"/>
      <sheetName val="机器设备及管理工具评估折旧明细"/>
      <sheetName val="未使用设备评估明细（2000.12.31)"/>
      <sheetName val="Sheet1"/>
      <sheetName val="Sheet2"/>
      <sheetName val="Sheet3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dxnsjtempsheet"/>
      <sheetName val="HL"/>
      <sheetName val=" "/>
      <sheetName val="工程项目完工表"/>
      <sheetName val="标本-资产"/>
      <sheetName val="索引"/>
      <sheetName val="科目余额表"/>
      <sheetName val="科纳特成本按项目明细-10"/>
      <sheetName val="管理费用Dy"/>
      <sheetName val="销售费用Dy"/>
      <sheetName val="营业收入D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固定资产底稿"/>
      <sheetName val="固定资产清理1"/>
      <sheetName val="固定资产补充底稿1"/>
      <sheetName val="固定资产减值准备汇总表"/>
      <sheetName val="累计折旧测试表"/>
      <sheetName val="工程物资"/>
      <sheetName val="在建工程1"/>
      <sheetName val="明细"/>
      <sheetName val="管网"/>
      <sheetName val="无形资产"/>
      <sheetName val="无形资产减值准备 "/>
      <sheetName val="营业费用"/>
      <sheetName val="营业费用修理费"/>
      <sheetName val="修理费用账面"/>
      <sheetName val="营业费用2005"/>
      <sheetName val="管理费用2005"/>
      <sheetName val="财务费用"/>
      <sheetName val="股本"/>
      <sheetName val="资本公积"/>
      <sheetName val="盈余公积"/>
      <sheetName val="未分配利润"/>
      <sheetName val="营业外收入"/>
      <sheetName val="营业外支出"/>
      <sheetName val="I12"/>
      <sheetName val="所得税"/>
      <sheetName val="余额表"/>
      <sheetName val="管理费用"/>
      <sheetName val="凭证抽查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资产负债表"/>
      <sheetName val="利润表"/>
      <sheetName val="财务报表（金石）-20150507发柯"/>
    </sheetNames>
    <definedNames>
      <definedName name="month"/>
      <definedName name="XX_month"/>
    </definedNames>
    <sheetDataSet>
      <sheetData sheetId="0"/>
      <sheetData sheetId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工资表"/>
      <sheetName val="工资条"/>
      <sheetName val="个税计算器"/>
      <sheetName val="工资表操作说明"/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</sheetNames>
    <sheetDataSet>
      <sheetData sheetId="0"/>
      <sheetData sheetId="1"/>
      <sheetData sheetId="2">
        <row r="5">
          <cell r="D5">
            <v>3500</v>
          </cell>
        </row>
        <row r="5">
          <cell r="J5">
            <v>0</v>
          </cell>
          <cell r="K5" t="str">
            <v>→</v>
          </cell>
          <cell r="L5">
            <v>1500</v>
          </cell>
          <cell r="M5">
            <v>0.03</v>
          </cell>
          <cell r="N5">
            <v>0</v>
          </cell>
        </row>
        <row r="6">
          <cell r="J6">
            <v>1500</v>
          </cell>
          <cell r="K6" t="str">
            <v>→</v>
          </cell>
          <cell r="L6">
            <v>4500</v>
          </cell>
          <cell r="M6">
            <v>0.1</v>
          </cell>
          <cell r="N6">
            <v>105</v>
          </cell>
        </row>
        <row r="7">
          <cell r="J7">
            <v>4500</v>
          </cell>
          <cell r="K7" t="str">
            <v>→</v>
          </cell>
          <cell r="L7">
            <v>9000</v>
          </cell>
          <cell r="M7">
            <v>0.2</v>
          </cell>
          <cell r="N7">
            <v>555</v>
          </cell>
        </row>
        <row r="8">
          <cell r="J8">
            <v>9000</v>
          </cell>
          <cell r="K8" t="str">
            <v>→</v>
          </cell>
          <cell r="L8">
            <v>35000</v>
          </cell>
          <cell r="M8">
            <v>0.25</v>
          </cell>
          <cell r="N8">
            <v>1005</v>
          </cell>
        </row>
        <row r="9">
          <cell r="J9">
            <v>35000</v>
          </cell>
          <cell r="K9" t="str">
            <v>→</v>
          </cell>
          <cell r="L9">
            <v>55000</v>
          </cell>
          <cell r="M9">
            <v>0.3</v>
          </cell>
          <cell r="N9">
            <v>2755</v>
          </cell>
        </row>
        <row r="10">
          <cell r="J10">
            <v>55000</v>
          </cell>
          <cell r="K10" t="str">
            <v>→</v>
          </cell>
          <cell r="L10">
            <v>80000</v>
          </cell>
          <cell r="M10">
            <v>0.35</v>
          </cell>
          <cell r="N10">
            <v>5505</v>
          </cell>
        </row>
        <row r="11">
          <cell r="J11">
            <v>80000</v>
          </cell>
          <cell r="K11" t="str">
            <v>→</v>
          </cell>
        </row>
        <row r="11">
          <cell r="M11">
            <v>0.45</v>
          </cell>
          <cell r="N11">
            <v>13505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000000000"/>
      <sheetName val="XJ8809"/>
      <sheetName val="XJ9909"/>
      <sheetName val="XJ9909 (2)"/>
      <sheetName val="9909"/>
      <sheetName val="总部调整"/>
      <sheetName val="汇总抵消"/>
      <sheetName val="損益表附註(詳細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000"/>
      <sheetName val="SGV"/>
      <sheetName val="台灣報關明細9908"/>
      <sheetName val="原料代號"/>
      <sheetName val="樣品"/>
      <sheetName val="1999.08AP未請款"/>
      <sheetName val="請款明細9908"/>
      <sheetName val="沖預估"/>
      <sheetName val="Sorting"/>
      <sheetName val="9908進耗存"/>
      <sheetName val="9908庫存表"/>
      <sheetName val="9908AAA庫存"/>
      <sheetName val="Sheet1"/>
      <sheetName val="XJ8809"/>
      <sheetName val="請款明細9905"/>
      <sheetName val="損益表附註(詳細)"/>
      <sheetName val="2005年收入明细new"/>
      <sheetName val="2004年收入数据new"/>
      <sheetName val="汇总抵消 "/>
      <sheetName val="离石试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1.1贸易汇总"/>
      <sheetName val="2.1费用表"/>
      <sheetName val="3.1数据库(电商&amp;工厂店)"/>
      <sheetName val="3.2数据库(贸易加点)"/>
      <sheetName val="预算指标审核(湖南)"/>
      <sheetName val="201407－管理报表（万元）－贸易公司"/>
    </sheetNames>
    <definedNames>
      <definedName name="XX_month"/>
    </defined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底稿目录"/>
      <sheetName val="{隐藏公式页}"/>
      <sheetName val="审计程序"/>
      <sheetName val="审定表"/>
      <sheetName val="明细表"/>
      <sheetName val="披露表(上市)"/>
      <sheetName val="披露表(标准)"/>
      <sheetName val="披露表(国资)"/>
      <sheetName val="账龄分析检查表"/>
      <sheetName val="函证结果汇总表"/>
      <sheetName val="函证差异调节表检查"/>
      <sheetName val="函证结果调节表"/>
      <sheetName val="替代结果汇总表"/>
      <sheetName val="替代测试表"/>
      <sheetName val="坏账准备计算表"/>
      <sheetName val="往来科目长期挂账款项检查表"/>
      <sheetName val="列示关联方"/>
      <sheetName val="汇率折算检查表"/>
      <sheetName val="截止测试"/>
      <sheetName val="凭证"/>
      <sheetName val="细节测试审计抽样"/>
      <sheetName val="Loc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1.1(集团)辅助"/>
      <sheetName val="2.2(业态)辅助"/>
      <sheetName val="2.3(时态)辅助"/>
      <sheetName val="2011YS"/>
      <sheetName val="透视 (2)"/>
      <sheetName val="损益透视"/>
      <sheetName val="实际汇总"/>
      <sheetName val="Sheet1"/>
      <sheetName val="实际1-财报"/>
      <sheetName val="实际2-个体"/>
      <sheetName val="实际3-品牌支持"/>
      <sheetName val="实际4-特卖调减"/>
      <sheetName val="实际5-特卖调增"/>
      <sheetName val="实际6-费用还原"/>
      <sheetName val="费用还原7"/>
      <sheetName val="JG2008"/>
      <sheetName val="明细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ickmarks"/>
      <sheetName val="汇总"/>
      <sheetName val="服饰"/>
      <sheetName val="武汉"/>
      <sheetName val="宜昌"/>
      <sheetName val="孝感"/>
      <sheetName val="仙桃"/>
      <sheetName val="十堰"/>
      <sheetName val="荆州"/>
      <sheetName val="荆门"/>
      <sheetName val="襄樊"/>
      <sheetName val="实际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损益表"/>
      <sheetName val="费用表"/>
      <sheetName val="累计损益表"/>
      <sheetName val="累计费用表"/>
      <sheetName val="资产负债表"/>
      <sheetName val="科目余额表"/>
      <sheetName val="其他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1101-201202"/>
      <sheetName val="201203-201412"/>
    </sheetNames>
    <sheetDataSet>
      <sheetData sheetId="0"/>
      <sheetData sheetId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 "/>
      <sheetName val="工程项目完工表"/>
      <sheetName val="索引"/>
      <sheetName val="标本-资产"/>
      <sheetName val="dxnsjtempsheet"/>
      <sheetName val="HL"/>
      <sheetName val="科目余额表"/>
      <sheetName val="科纳特成本按项目明细-10"/>
      <sheetName val="管理费用Dy"/>
      <sheetName val="销售费用Dy"/>
      <sheetName val="营业收入D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工时表"/>
      <sheetName val="动力费用分配"/>
      <sheetName val="制造费用分配表"/>
      <sheetName val="制造费用明细表"/>
      <sheetName val="生产费用明细表"/>
      <sheetName val="储运退入关南Bt50000大包"/>
      <sheetName val="储运退入关南Bt8000大包"/>
      <sheetName val="储运退入关南Bt32000大包"/>
      <sheetName val="储运退入关南Bt16000大包"/>
      <sheetName val="关南发酵"/>
      <sheetName val="关南菌浆"/>
      <sheetName val="关南上清液"/>
      <sheetName val="关南上清浓缩液"/>
      <sheetName val="关南Bt2000半成品"/>
      <sheetName val="关南Bt2000成品"/>
      <sheetName val="关南Bt2000大包装"/>
      <sheetName val="关南维多力半成品"/>
      <sheetName val="关南Bt4000半成品"/>
      <sheetName val="关南Bt4000成品"/>
      <sheetName val="关南Bt4000大包装"/>
      <sheetName val="关南Bt8000菌浆"/>
      <sheetName val="关南Bt8000乳剂半成品"/>
      <sheetName val="关南Bt8000乳剂大包装"/>
      <sheetName val="关南农抗发酵液"/>
      <sheetName val="关南农抗浓缩液"/>
      <sheetName val="关南农抗水剂"/>
      <sheetName val="关南农抗水剂成品"/>
      <sheetName val="关南农抗水剂大包"/>
      <sheetName val="关南维多力成品"/>
      <sheetName val="关南Bt原粉"/>
      <sheetName val="关南农抗粉"/>
      <sheetName val="关南上清粉"/>
      <sheetName val="关南上清浓缩粉"/>
      <sheetName val="关南Bt16000混粉"/>
      <sheetName val="关南高效Bt粉"/>
      <sheetName val="关南高效Bt16000成品"/>
      <sheetName val="关南Bt8000成品"/>
      <sheetName val="关南Bt8000大包"/>
      <sheetName val="关南Bt8000混粉"/>
      <sheetName val="关南Bt32000混粉"/>
      <sheetName val="关南Bt50000混粉"/>
      <sheetName val="关南Bt16000成品"/>
      <sheetName val="关南Bt16000大包"/>
      <sheetName val="关南Bt2000混粉"/>
      <sheetName val="关南农司令成品"/>
      <sheetName val="关南蔬宝成品"/>
      <sheetName val="关南Bt32000大包"/>
      <sheetName val="关南Bt50000大包"/>
      <sheetName val="关南特杀螟混粉"/>
      <sheetName val="关南精特杀螟混粉"/>
      <sheetName val="关南蚜虱消混粉"/>
      <sheetName val="关南农大混粉"/>
      <sheetName val="关南SCL母粉"/>
      <sheetName val="关南杀苏混粉"/>
      <sheetName val="关南蔬丹混粉"/>
      <sheetName val="关南农大成品"/>
      <sheetName val="关南蚜虱消成品"/>
      <sheetName val="关南特杀螟成品"/>
      <sheetName val="关南蔬丹成品"/>
      <sheetName val="关南纹枯净成品"/>
      <sheetName val="关南杀.苏"/>
      <sheetName val="关南红中成品"/>
      <sheetName val="关南实验样"/>
      <sheetName val="武农蚜虱消混粉"/>
      <sheetName val="武农蚜虱消成品"/>
      <sheetName val="武农杀苏混粉"/>
      <sheetName val="武农杀.苏"/>
      <sheetName val="武农精特杀螟成品"/>
      <sheetName val="武农高效Bt16000成品"/>
      <sheetName val="云梦Bt原粉"/>
      <sheetName val="云梦丁草胺母粉"/>
      <sheetName val="云梦敌百草混粉"/>
      <sheetName val="云梦敌百草成品"/>
      <sheetName val="补充云梦敌百草成品"/>
      <sheetName val="常州灭菌威"/>
      <sheetName val="云宏Bt原粉"/>
      <sheetName val="云宏杀苏混粉"/>
      <sheetName val="云宏绿茵特灵辅料"/>
      <sheetName val="云宏绿茵特灵混粉"/>
      <sheetName val="云宏千合混粉"/>
      <sheetName val="云宏千合成品"/>
      <sheetName val="云宏绿茵特灵成品"/>
      <sheetName val="云宏中试品"/>
      <sheetName val="云宏农大成品"/>
      <sheetName val="云宏Bt16000混粉"/>
      <sheetName val="云宏Bt50000混粉"/>
      <sheetName val="云宏农胜混粉"/>
      <sheetName val="云宏高效农胜混粉"/>
      <sheetName val="云宏农胜成品"/>
      <sheetName val="云宏高效农胜成品"/>
      <sheetName val="云宏SCL母粉"/>
      <sheetName val="云宏实验样"/>
      <sheetName val="云宏Bt50000大包"/>
      <sheetName val="云宏Bt16000大包"/>
      <sheetName val="金口发酵"/>
      <sheetName val="金口菌浆"/>
      <sheetName val="金口Bt原粉"/>
      <sheetName val="海宁纹枯净成品"/>
      <sheetName val="关南追击手成品"/>
      <sheetName val="固定资产增减@"/>
      <sheetName val="应付工资"/>
      <sheetName val="应付福利"/>
      <sheetName val="替代性测试@ "/>
      <sheetName val="生产成本明细表"/>
      <sheetName val="生产成本明细表 (2)"/>
      <sheetName val="明细分类账"/>
      <sheetName val="采购业务检查表@"/>
      <sheetName val="长投总@"/>
      <sheetName val="长投@"/>
      <sheetName val="存货余额明细@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相关事项说明"/>
      <sheetName val="1.1损益表(分月份)"/>
      <sheetName val="1.2损益表(分渠道)"/>
      <sheetName val="1.3损益表(分品牌)"/>
      <sheetName val="2.1损益表(分公司)"/>
      <sheetName val="1.4损益表(区域)"/>
      <sheetName val="2.2损益表(贸易)"/>
      <sheetName val="2.3损益表(湖北公司)"/>
      <sheetName val="2.4损益表(湖南公司)"/>
      <sheetName val="2.5损益表(李宁-湖北公司)"/>
      <sheetName val="2.6损益表(李宁-河南公司)"/>
      <sheetName val="3.1集团费用表(分月份)"/>
      <sheetName val="3.2集团费用表(分品牌)"/>
      <sheetName val="3.3集团费用表(分项目)"/>
      <sheetName val="3.4店铺费用表(分渠道)"/>
      <sheetName val="4.1损益对比"/>
      <sheetName val="4.2费用对比1"/>
      <sheetName val="4.3费用对比2"/>
      <sheetName val="4.4集合店"/>
      <sheetName val="5.1数据库(万元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2000-lease"/>
      <sheetName val="sub-branch"/>
      <sheetName val="Sheet3"/>
      <sheetName val="Sheet1"/>
      <sheetName val="Sheet2"/>
      <sheetName val="科目余额表"/>
      <sheetName val="Economic evaluation - FY98 base"/>
      <sheetName val="Open"/>
      <sheetName val="loan database"/>
      <sheetName val="A430"/>
      <sheetName val="1_巴西保罗公司"/>
      <sheetName val="索引"/>
      <sheetName val="订单"/>
      <sheetName val="其他货币资金.dbf"/>
      <sheetName val="银行存款.dbf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累计1"/>
      <sheetName val="数量金额总账"/>
      <sheetName val="订"/>
      <sheetName val="清单12.31"/>
      <sheetName val="资产负债表"/>
      <sheetName val="原材料Dy"/>
      <sheetName val="应付账款 (2)"/>
      <sheetName val="企业表一"/>
      <sheetName val="M-5C"/>
      <sheetName val="M-5A"/>
      <sheetName val="B"/>
      <sheetName val="订单418"/>
      <sheetName val="应付账款明细BS.09 "/>
      <sheetName val="27-7"/>
      <sheetName val="现金"/>
      <sheetName val="基本信息及附注"/>
      <sheetName val="E1020"/>
      <sheetName val="湖南湘潭应付个人明细帐"/>
      <sheetName val="FH-2应付利息明细表"/>
      <sheetName val="_"/>
      <sheetName val="YS02-02"/>
      <sheetName val="财务成本"/>
      <sheetName val="利润分析"/>
      <sheetName val="资产负债分析"/>
      <sheetName val="年初数调整分录"/>
      <sheetName val="应收账龄BS.01"/>
      <sheetName val="预付函证控制表"/>
      <sheetName val="101"/>
      <sheetName val="ZE-1明细表"/>
      <sheetName val="负债试算平衡"/>
      <sheetName val="3月总表"/>
      <sheetName val="4月工资汇总表"/>
      <sheetName val="5月总表"/>
      <sheetName val="6月总表"/>
      <sheetName val="7月总表"/>
      <sheetName val="8月总表"/>
      <sheetName val="9月总表"/>
      <sheetName val="10月总表"/>
      <sheetName val="11月总表"/>
      <sheetName val="12月总表"/>
      <sheetName val="管理费用表分析-1"/>
      <sheetName val="Financ. Overview"/>
      <sheetName val="Toolbox"/>
      <sheetName val="#REF!"/>
      <sheetName val="ZA-1余额表"/>
      <sheetName val="ZA-1-0调整分录"/>
      <sheetName val="标本-资产"/>
      <sheetName val="21122"/>
      <sheetName val="销售"/>
      <sheetName val="销售6.13"/>
      <sheetName val="目录表"/>
      <sheetName val="表2-1"/>
      <sheetName val="表2-2"/>
      <sheetName val="表2-2-"/>
      <sheetName val="2000-le!se"/>
      <sheetName val="其他应付款科目余额2005.12.31"/>
      <sheetName val="UFPrn20040104084034"/>
      <sheetName val="收入明细－按客户"/>
      <sheetName val="目錄"/>
      <sheetName val="财务费用"/>
      <sheetName val="收发存汇总表"/>
      <sheetName val="固定资产经贸公司数据"/>
      <sheetName val="公允价值变动损益Dy"/>
      <sheetName val="可供出售金融资产Dy"/>
      <sheetName val="目录"/>
      <sheetName val="details"/>
      <sheetName val="存货汇总表10"/>
      <sheetName val="明细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收入050731new"/>
      <sheetName val="2005年收入明细new"/>
      <sheetName val="2004年收入数据new"/>
      <sheetName val="附表2应收明细"/>
      <sheetName val="实际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现金流量表"/>
      <sheetName val="2006年TB"/>
      <sheetName val="Item"/>
      <sheetName val="审计调整分录"/>
      <sheetName val="资产负债表附注"/>
      <sheetName val="损益表附注"/>
      <sheetName val="内部结算中心核对表"/>
      <sheetName val="内部往来明细表"/>
      <sheetName val="主营业务成本明细表"/>
      <sheetName val="营业费用明细表"/>
      <sheetName val="管理费用明细表"/>
      <sheetName val="财务费用明细表"/>
      <sheetName val="制造费用明细表"/>
      <sheetName val="销售前十名"/>
      <sheetName val="采购前十名"/>
      <sheetName val="应收帐款前五名"/>
      <sheetName val="应付账款前五名"/>
      <sheetName val="预收账款前五名"/>
      <sheetName val="预付账款前五名"/>
      <sheetName val="其他应收前五名"/>
      <sheetName val="其他应付款前五名"/>
      <sheetName val="关联方往来"/>
      <sheetName val="关联交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分录"/>
      <sheetName val="余额表"/>
      <sheetName val="索引"/>
      <sheetName val="营业收入Cx"/>
      <sheetName val="营业收入Dy"/>
      <sheetName val="主营业务收入Mx"/>
      <sheetName val="2011年1-12月经销商明细表"/>
      <sheetName val="收入确认原则复核"/>
      <sheetName val="信用政策检查"/>
      <sheetName val="销售网络分析（2011-12-31）"/>
      <sheetName val="经销商网点资料复核"/>
      <sheetName val="经销商是否是关联方核查"/>
      <sheetName val="经销商订单核对"/>
      <sheetName val="年底已发出次年订单明细"/>
      <sheetName val="发货确认单检查"/>
      <sheetName val="退货检查"/>
      <sheetName val="11年经销商订单统计表"/>
      <sheetName val="12年春夏季订单统计表"/>
      <sheetName val="区域对比分析"/>
      <sheetName val="09-11主营业务毛利率分析"/>
      <sheetName val="月度毛利率分析表"/>
      <sheetName val="月度毛利率分析表-主要产品类别"/>
      <sheetName val="毛利率上升驱动分析"/>
      <sheetName val="销售发票价格核对"/>
      <sheetName val="服装采购原始凭证抽查"/>
      <sheetName val="主要经销商毛利率分析（合并层面）"/>
      <sheetName val="内部交易分析"/>
      <sheetName val="主要产品大类毛利分析"/>
      <sheetName val="同行业对比分析"/>
      <sheetName val="经销商检查"/>
      <sheetName val="主营业务收入截止测试"/>
      <sheetName val="主营业务收入Pz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附表"/>
      <sheetName val="公司往來科目核"/>
      <sheetName val="資產負債表核"/>
      <sheetName val="損益表核"/>
      <sheetName val="损益表核1"/>
      <sheetName val="损益表简便核对"/>
      <sheetName val="編制報表說明"/>
      <sheetName val="封面"/>
      <sheetName val="目录"/>
      <sheetName val="科目余额表"/>
      <sheetName val="资产负债表"/>
      <sheetName val="資產負債表附註"/>
      <sheetName val="公司往來科目附註"/>
      <sheetName val="損益表"/>
      <sheetName val="損益表附註(簡便)"/>
      <sheetName val="損益表附註(詳細)"/>
      <sheetName val="現金流量表"/>
      <sheetName val="固定资产折旧表"/>
      <sheetName val="長期待攤費用攤銷表"/>
      <sheetName val="无形资产攤銷表"/>
      <sheetName val="应收帐龄分析表"/>
      <sheetName val="应付帐龄分析表"/>
      <sheetName val="关联方交易明细表"/>
      <sheetName val="利息支出統計表"/>
      <sheetName val="利息收入統計表"/>
      <sheetName val="库龄分析表"/>
      <sheetName val="供應商返利"/>
      <sheetName val="租賃支出及租賃承諾表"/>
      <sheetName val="存出保证金"/>
      <sheetName val="存入保证金"/>
      <sheetName val="其它收入及其它收入"/>
      <sheetName val="分部損益表"/>
      <sheetName val="分部損益表附註(簡便)"/>
      <sheetName val="分部損益表附註(詳細)"/>
      <sheetName val="計提所得稅附表-合併"/>
      <sheetName val="服饰"/>
      <sheetName val="杰锐"/>
      <sheetName val="杰行"/>
      <sheetName val="杰盛"/>
      <sheetName val="孝感"/>
      <sheetName val="襄樊"/>
      <sheetName val="宜昌"/>
      <sheetName val="荆州"/>
      <sheetName val="荆门"/>
      <sheetName val="十堰"/>
      <sheetName val="仙桃"/>
      <sheetName val="美佳宁"/>
      <sheetName val="索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Locas"/>
      <sheetName val="ITEM"/>
      <sheetName val="货币资金实质性程序"/>
      <sheetName val="_formula_"/>
      <sheetName val="货币资金审定表"/>
      <sheetName val="货币资金明细表"/>
      <sheetName val="现金盘点表"/>
      <sheetName val="银行存款（其他货币资金）余额调节表"/>
      <sheetName val="货币资金函证控制表"/>
      <sheetName val="银行存款交易核对表"/>
      <sheetName val="银行存单检查表"/>
      <sheetName val="银行存款检查表"/>
      <sheetName val="库存现金检查表"/>
      <sheetName val="其他货币资金检查表"/>
      <sheetName val="货币资金披露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资产负债表"/>
      <sheetName val="利润表"/>
      <sheetName val="分配表"/>
      <sheetName val="现金合并式"/>
      <sheetName val="指标"/>
      <sheetName val="--&gt;"/>
      <sheetName val="本年资产"/>
      <sheetName val="本年权益"/>
      <sheetName val="本年利润"/>
      <sheetName val="本年分配"/>
      <sheetName val="现金"/>
      <sheetName val="现金附注"/>
      <sheetName val="试算平衡"/>
      <sheetName val="汇总抵消 "/>
      <sheetName val="==》"/>
      <sheetName val="资产负债表分析"/>
      <sheetName val="利润表分析"/>
      <sheetName val="分配表分析"/>
      <sheetName val="现金流量表分析"/>
      <sheetName val="附注分析"/>
      <sheetName val="柳林资产负债"/>
      <sheetName val="柳林利润"/>
      <sheetName val="柳林分配"/>
      <sheetName val="柳林试算"/>
      <sheetName val="资产负债分析"/>
      <sheetName val="汇总抵消"/>
      <sheetName val="利润分析"/>
      <sheetName val="上年分配"/>
      <sheetName val="xxxxxx"/>
      <sheetName val="上年资产"/>
      <sheetName val="上年利润"/>
      <sheetName val="上年调整"/>
      <sheetName val="总部资产负债"/>
      <sheetName val="总部利润"/>
      <sheetName val="总部分配"/>
      <sheetName val="总部试算"/>
      <sheetName val="总部调整"/>
      <sheetName val="离石资产负债"/>
      <sheetName val="离石利润"/>
      <sheetName val="离石分配"/>
      <sheetName val="离石试算"/>
      <sheetName val="离石调整"/>
      <sheetName val="柳林调整"/>
      <sheetName val="附表2应收明细"/>
      <sheetName val="明细分类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资产负债表"/>
      <sheetName val="利润表"/>
      <sheetName val="分配表"/>
      <sheetName val="现金合并式"/>
      <sheetName val="指标"/>
      <sheetName val="--&gt;"/>
      <sheetName val="上年资产"/>
      <sheetName val="上年利润"/>
      <sheetName val="上年分配"/>
      <sheetName val="上年调整"/>
      <sheetName val="试算平衡"/>
      <sheetName val="本年资产"/>
      <sheetName val="本年权益"/>
      <sheetName val="本年利润"/>
      <sheetName val="本年分配"/>
      <sheetName val="现金"/>
      <sheetName val="汇总抵消"/>
      <sheetName val="==》"/>
      <sheetName val="总部资产负债"/>
      <sheetName val="总部利润"/>
      <sheetName val="总部分配"/>
      <sheetName val="总部试算"/>
      <sheetName val="总部调整"/>
      <sheetName val="离石资产负债"/>
      <sheetName val="离石利润"/>
      <sheetName val="离石分配"/>
      <sheetName val="离石试算"/>
      <sheetName val="离石调整"/>
      <sheetName val="柳林资产负债"/>
      <sheetName val="柳林利润"/>
      <sheetName val="柳林分配"/>
      <sheetName val="柳林试算"/>
      <sheetName val="柳林调整"/>
      <sheetName val="河坡资产负债"/>
      <sheetName val="河坡利润"/>
      <sheetName val="河坡分配"/>
      <sheetName val="河坡试算"/>
      <sheetName val="河坡调整"/>
      <sheetName val="《=="/>
      <sheetName val="资产负债分析"/>
      <sheetName val="利润分析"/>
      <sheetName val="分配分析"/>
      <sheetName val="附表2应收明细"/>
      <sheetName val="附表1应收"/>
      <sheetName val="2005年收入明细new"/>
      <sheetName val="2004年收入数据new"/>
      <sheetName val="JG2008"/>
      <sheetName val="实际汇总"/>
      <sheetName val="汇总抵消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销售收入、成本、费用、税金分析表"/>
      <sheetName val="销售收入、成本、费用、税金年度对比表"/>
      <sheetName val="销售收入、成本汇总表"/>
      <sheetName val="分产品销售收入、成本分析表"/>
      <sheetName val="12月31存货与总帐差异核对表"/>
      <sheetName val="12月31库存与存货差异核对表"/>
      <sheetName val="营业成本Dy"/>
      <sheetName val="索引"/>
      <sheetName val="明细账"/>
      <sheetName val="存货Dy"/>
      <sheetName val="利润表"/>
      <sheetName val="资产负债表"/>
      <sheetName val="聊城置业"/>
      <sheetName val="现金流量表"/>
      <sheetName val="其他应收款明细--个人 "/>
      <sheetName val="2006年TB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固定资产清单"/>
      <sheetName val="折旧"/>
      <sheetName val="固定资产清单 (3)"/>
    </sheetNames>
    <sheetDataSet>
      <sheetData sheetId="0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汇总表"/>
      <sheetName val="表I-1近年利润表"/>
      <sheetName val="表I-2调整后利润表"/>
      <sheetName val="表I-3资产负债分析调整表"/>
      <sheetName val="表I-4财务指标分析表"/>
      <sheetName val="表I-4财务指标分析详表"/>
      <sheetName val="表I-5利润分析预测表"/>
      <sheetName val="表I-6所得税和净利润预测表"/>
      <sheetName val="表I-7折旧摊销和资本性支出计算表"/>
      <sheetName val="表I-8运营现金和溢余资产计算表"/>
      <sheetName val="表I-9运营资本计算表"/>
      <sheetName val="表I-10折现率计算表"/>
      <sheetName val="辅表 行业资本结构测算"/>
      <sheetName val="表I-11非经营性资产评估表"/>
      <sheetName val="表I-12评估值计算表"/>
    </sheetNames>
    <sheetDataSet>
      <sheetData sheetId="0" refreshError="1"/>
      <sheetData sheetId="1" refreshError="1"/>
      <sheetData sheetId="2" refreshError="1">
        <row r="6">
          <cell r="B6">
            <v>2015</v>
          </cell>
          <cell r="C6">
            <v>2016</v>
          </cell>
          <cell r="D6">
            <v>2017</v>
          </cell>
          <cell r="E6" t="str">
            <v>2018年1-6月</v>
          </cell>
        </row>
        <row r="7">
          <cell r="A7" t="str">
            <v>一、营业总收入</v>
          </cell>
        </row>
        <row r="7">
          <cell r="C7">
            <v>244.0318</v>
          </cell>
          <cell r="D7">
            <v>4324.831568</v>
          </cell>
          <cell r="E7">
            <v>1830.67651</v>
          </cell>
        </row>
        <row r="8">
          <cell r="A8" t="str">
            <v>其中：主营业务收入</v>
          </cell>
        </row>
        <row r="9">
          <cell r="A9" t="str">
            <v>其他业务收入</v>
          </cell>
        </row>
        <row r="10">
          <cell r="A10" t="str">
            <v>二、营业总成本</v>
          </cell>
        </row>
        <row r="11">
          <cell r="A11" t="str">
            <v>其中:营业成本</v>
          </cell>
        </row>
        <row r="12">
          <cell r="A12" t="str">
            <v>其中:主营业务成本</v>
          </cell>
        </row>
        <row r="13">
          <cell r="A13" t="str">
            <v>其他业务成本</v>
          </cell>
        </row>
        <row r="14">
          <cell r="A14" t="str">
            <v>营业税金及附加</v>
          </cell>
        </row>
        <row r="15">
          <cell r="A15" t="str">
            <v>营业费用</v>
          </cell>
        </row>
        <row r="16">
          <cell r="A16" t="str">
            <v>管理费用</v>
          </cell>
        </row>
        <row r="17">
          <cell r="A17" t="str">
            <v>财务费用</v>
          </cell>
        </row>
        <row r="18">
          <cell r="A18" t="str">
            <v>资产减值损失</v>
          </cell>
        </row>
        <row r="19">
          <cell r="A19" t="str">
            <v>加：公允价值变动收益</v>
          </cell>
        </row>
        <row r="20">
          <cell r="A20" t="str">
            <v>投资收益</v>
          </cell>
        </row>
        <row r="21">
          <cell r="A21" t="str">
            <v>三、营业利润</v>
          </cell>
        </row>
        <row r="22">
          <cell r="A22" t="str">
            <v>加：营业外收入</v>
          </cell>
        </row>
        <row r="23">
          <cell r="A23" t="str">
            <v>减: 营业外支出</v>
          </cell>
        </row>
        <row r="24">
          <cell r="A24" t="str">
            <v>四、利润总额</v>
          </cell>
        </row>
        <row r="25">
          <cell r="A25" t="str">
            <v>减:  所得税</v>
          </cell>
        </row>
        <row r="26">
          <cell r="A26" t="str">
            <v>五、净利润</v>
          </cell>
        </row>
        <row r="27">
          <cell r="A27" t="str">
            <v>净利润增长率</v>
          </cell>
        </row>
        <row r="28">
          <cell r="A28" t="str">
            <v>其中：少数股东损益</v>
          </cell>
        </row>
        <row r="29">
          <cell r="A29" t="str">
            <v>占总利润比例</v>
          </cell>
        </row>
        <row r="30">
          <cell r="A30" t="str">
            <v>六、归属于母公司损益</v>
          </cell>
        </row>
      </sheetData>
      <sheetData sheetId="3" refreshError="1">
        <row r="6">
          <cell r="B6">
            <v>2015</v>
          </cell>
          <cell r="C6">
            <v>2016</v>
          </cell>
          <cell r="D6">
            <v>2017</v>
          </cell>
        </row>
      </sheetData>
      <sheetData sheetId="4" refreshError="1">
        <row r="7">
          <cell r="B7" t="str">
            <v>货币资金</v>
          </cell>
        </row>
        <row r="8">
          <cell r="B8" t="str">
            <v>交易性金融资产净额</v>
          </cell>
        </row>
        <row r="9">
          <cell r="B9" t="str">
            <v>应收票据</v>
          </cell>
        </row>
        <row r="10">
          <cell r="B10" t="str">
            <v>应收股利(应收利润)</v>
          </cell>
        </row>
        <row r="11">
          <cell r="B11" t="str">
            <v>应收利息</v>
          </cell>
        </row>
        <row r="12">
          <cell r="B12" t="str">
            <v>应收账款净额</v>
          </cell>
        </row>
        <row r="13">
          <cell r="B13" t="str">
            <v>其他应收款净额</v>
          </cell>
        </row>
        <row r="14">
          <cell r="B14" t="str">
            <v>预付帐款</v>
          </cell>
        </row>
        <row r="15">
          <cell r="B15" t="str">
            <v>应收补贴款</v>
          </cell>
        </row>
        <row r="16">
          <cell r="B16" t="str">
            <v>存货净额</v>
          </cell>
        </row>
        <row r="16">
          <cell r="D16">
            <v>75157.301428</v>
          </cell>
        </row>
        <row r="16">
          <cell r="H16">
            <v>55564.350997</v>
          </cell>
        </row>
        <row r="17">
          <cell r="B17" t="str">
            <v>待摊费用</v>
          </cell>
        </row>
        <row r="18">
          <cell r="B18" t="str">
            <v>一年内到期的非流动资产</v>
          </cell>
        </row>
        <row r="19">
          <cell r="B19" t="str">
            <v>其他流动资产</v>
          </cell>
        </row>
        <row r="21">
          <cell r="B21" t="str">
            <v>可供出售金融资产净额</v>
          </cell>
        </row>
        <row r="22">
          <cell r="B22" t="str">
            <v>持有至到期投资净额</v>
          </cell>
        </row>
        <row r="23">
          <cell r="B23" t="str">
            <v>长期股权投资净额</v>
          </cell>
        </row>
        <row r="24">
          <cell r="B24" t="str">
            <v>长期应收款</v>
          </cell>
        </row>
        <row r="25">
          <cell r="B25" t="str">
            <v>投资性房地产</v>
          </cell>
        </row>
        <row r="26">
          <cell r="D26">
            <v>2447.386427</v>
          </cell>
        </row>
        <row r="26">
          <cell r="H26">
            <v>2321.829551</v>
          </cell>
        </row>
        <row r="31">
          <cell r="B31" t="str">
            <v>固定资产净额</v>
          </cell>
        </row>
        <row r="32">
          <cell r="B32" t="str">
            <v>工程物资</v>
          </cell>
        </row>
        <row r="33">
          <cell r="B33" t="str">
            <v>在建工程</v>
          </cell>
        </row>
        <row r="34">
          <cell r="B34" t="str">
            <v>固定资产清理</v>
          </cell>
        </row>
        <row r="35">
          <cell r="B35" t="str">
            <v>生产性生物资产净额</v>
          </cell>
        </row>
        <row r="36">
          <cell r="B36" t="str">
            <v>油气资产净值</v>
          </cell>
        </row>
        <row r="37">
          <cell r="B37" t="str">
            <v>开发支出</v>
          </cell>
        </row>
        <row r="38">
          <cell r="B38" t="str">
            <v>商誉</v>
          </cell>
        </row>
        <row r="39">
          <cell r="B39" t="str">
            <v>无形资产净额</v>
          </cell>
        </row>
        <row r="40">
          <cell r="B40" t="str">
            <v>长期待摊费用</v>
          </cell>
        </row>
        <row r="41">
          <cell r="B41" t="str">
            <v>其他非流动资产</v>
          </cell>
        </row>
        <row r="42">
          <cell r="B42" t="str">
            <v>递延所得税资产</v>
          </cell>
        </row>
        <row r="45">
          <cell r="B45" t="str">
            <v>短期借款</v>
          </cell>
        </row>
        <row r="46">
          <cell r="B46" t="str">
            <v>交易性金融负债</v>
          </cell>
        </row>
        <row r="47">
          <cell r="B47" t="str">
            <v>应付票据</v>
          </cell>
        </row>
        <row r="48">
          <cell r="B48" t="str">
            <v>应付帐款</v>
          </cell>
        </row>
        <row r="49">
          <cell r="B49" t="str">
            <v>预收帐款</v>
          </cell>
        </row>
        <row r="50">
          <cell r="B50" t="str">
            <v>应付职工薪酬</v>
          </cell>
        </row>
        <row r="51">
          <cell r="B51" t="str">
            <v>应付利润（应付股利）</v>
          </cell>
        </row>
        <row r="52">
          <cell r="B52" t="str">
            <v>应交税费</v>
          </cell>
        </row>
        <row r="53">
          <cell r="B53" t="str">
            <v>应付利息</v>
          </cell>
        </row>
        <row r="54">
          <cell r="B54" t="str">
            <v>其他应付款</v>
          </cell>
        </row>
        <row r="55">
          <cell r="B55" t="str">
            <v>预提费用</v>
          </cell>
        </row>
        <row r="56">
          <cell r="B56" t="str">
            <v>一年内到期的非流动负债</v>
          </cell>
        </row>
        <row r="57">
          <cell r="B57" t="str">
            <v>其他流动负债</v>
          </cell>
        </row>
        <row r="59">
          <cell r="B59" t="str">
            <v>长期借款</v>
          </cell>
        </row>
        <row r="60">
          <cell r="B60" t="str">
            <v>应付债券</v>
          </cell>
        </row>
        <row r="61">
          <cell r="B61" t="str">
            <v>长期应付款</v>
          </cell>
        </row>
        <row r="62">
          <cell r="B62" t="str">
            <v>专项应付款</v>
          </cell>
        </row>
        <row r="63">
          <cell r="B63" t="str">
            <v>预计负债</v>
          </cell>
        </row>
        <row r="64">
          <cell r="B64" t="str">
            <v>其他非流动负债</v>
          </cell>
        </row>
        <row r="65">
          <cell r="B65" t="str">
            <v>递延所得税负债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收益预测表"/>
      <sheetName val="未来收入预测表"/>
      <sheetName val="成本"/>
      <sheetName val="营业费用、管理费用、财务费用预测表"/>
      <sheetName val="人员费用"/>
      <sheetName val="资产清单及折旧测算表"/>
      <sheetName val="非经营性分析"/>
      <sheetName val="未来投资总额与资金筹措表"/>
      <sheetName val="财务指标"/>
    </sheetNames>
    <sheetDataSet>
      <sheetData sheetId="0">
        <row r="11">
          <cell r="A11" t="str">
            <v>评估基准日:2017年12月31日</v>
          </cell>
        </row>
        <row r="15">
          <cell r="A15" t="str">
            <v>填表日期：</v>
          </cell>
        </row>
        <row r="17">
          <cell r="A17" t="str">
            <v>被评估单位填表人：</v>
          </cell>
        </row>
      </sheetData>
      <sheetData sheetId="1"/>
      <sheetData sheetId="2">
        <row r="6">
          <cell r="C6" t="str">
            <v>2013年</v>
          </cell>
          <cell r="D6" t="str">
            <v>2014年</v>
          </cell>
          <cell r="E6" t="str">
            <v>2015年</v>
          </cell>
          <cell r="F6" t="str">
            <v>2016年</v>
          </cell>
          <cell r="G6" t="str">
            <v>2017年</v>
          </cell>
          <cell r="H6" t="str">
            <v>2018年</v>
          </cell>
          <cell r="I6" t="str">
            <v>2019年</v>
          </cell>
          <cell r="J6" t="str">
            <v>2020年</v>
          </cell>
          <cell r="K6" t="str">
            <v>2021年</v>
          </cell>
          <cell r="L6" t="str">
            <v>2022年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主要设备生产情况"/>
      <sheetName val="收入情况预测表"/>
      <sheetName val="营业成本"/>
      <sheetName val="主要材料情况"/>
      <sheetName val="燃料动力"/>
      <sheetName val="人员费用"/>
      <sheetName val="经营费用"/>
      <sheetName val="管理费用"/>
      <sheetName val="项目投资情况表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2017年12月份"/>
      <sheetName val="汇总"/>
    </sheetNames>
    <sheetDataSet>
      <sheetData sheetId="0">
        <row r="1">
          <cell r="B1" t="str">
            <v>姓 名</v>
          </cell>
          <cell r="C1" t="str">
            <v>部门</v>
          </cell>
          <cell r="D1" t="str">
            <v>职序</v>
          </cell>
          <cell r="E1" t="str">
            <v>实际工资</v>
          </cell>
          <cell r="F1" t="str">
            <v>出勤天数</v>
          </cell>
          <cell r="G1" t="str">
            <v>基本工资</v>
          </cell>
          <cell r="H1" t="str">
            <v>职级津贴</v>
          </cell>
          <cell r="I1" t="str">
            <v>保密津贴</v>
          </cell>
          <cell r="J1" t="str">
            <v>绩效奖金</v>
          </cell>
          <cell r="K1" t="str">
            <v>岗位补贴</v>
          </cell>
          <cell r="L1" t="str">
            <v>其它</v>
          </cell>
          <cell r="M1" t="str">
            <v>考勤</v>
          </cell>
          <cell r="N1" t="str">
            <v>应发工资</v>
          </cell>
          <cell r="O1" t="str">
            <v>养老保险</v>
          </cell>
          <cell r="P1" t="str">
            <v>医疗保险</v>
          </cell>
          <cell r="Q1" t="str">
            <v>扣除保险合计</v>
          </cell>
          <cell r="R1" t="str">
            <v>个所税</v>
          </cell>
          <cell r="S1" t="str">
            <v>住宿费</v>
          </cell>
          <cell r="T1" t="str">
            <v>水费</v>
          </cell>
          <cell r="U1" t="str">
            <v>电费</v>
          </cell>
          <cell r="V1" t="str">
            <v>其它</v>
          </cell>
        </row>
        <row r="2">
          <cell r="B2" t="str">
            <v>彭军文</v>
          </cell>
          <cell r="C2" t="str">
            <v>高管</v>
          </cell>
        </row>
        <row r="2">
          <cell r="E2">
            <v>7000</v>
          </cell>
          <cell r="F2">
            <v>22</v>
          </cell>
          <cell r="G2">
            <v>1400</v>
          </cell>
          <cell r="H2">
            <v>4600</v>
          </cell>
          <cell r="I2">
            <v>1000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7000</v>
          </cell>
          <cell r="O2">
            <v>187</v>
          </cell>
          <cell r="P2">
            <v>59.32</v>
          </cell>
          <cell r="Q2">
            <v>6753.68</v>
          </cell>
          <cell r="R2">
            <v>220.37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466.69</v>
          </cell>
          <cell r="X2">
            <v>6533.31</v>
          </cell>
        </row>
        <row r="3">
          <cell r="B3" t="str">
            <v>魏其秋</v>
          </cell>
          <cell r="C3" t="str">
            <v>高管</v>
          </cell>
        </row>
        <row r="3">
          <cell r="E3">
            <v>7000</v>
          </cell>
          <cell r="F3">
            <v>22</v>
          </cell>
          <cell r="G3">
            <v>1400</v>
          </cell>
          <cell r="H3">
            <v>4600</v>
          </cell>
          <cell r="I3">
            <v>1000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7000</v>
          </cell>
          <cell r="O3">
            <v>0</v>
          </cell>
          <cell r="P3">
            <v>0</v>
          </cell>
          <cell r="Q3">
            <v>7000</v>
          </cell>
          <cell r="R3">
            <v>245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245</v>
          </cell>
          <cell r="X3">
            <v>6755</v>
          </cell>
        </row>
        <row r="4">
          <cell r="B4" t="str">
            <v>刘慰兵</v>
          </cell>
          <cell r="C4" t="str">
            <v>高管</v>
          </cell>
        </row>
        <row r="4">
          <cell r="E4">
            <v>7000</v>
          </cell>
          <cell r="F4">
            <v>22</v>
          </cell>
          <cell r="G4">
            <v>1400</v>
          </cell>
          <cell r="H4">
            <v>4600</v>
          </cell>
          <cell r="I4">
            <v>1000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7000</v>
          </cell>
          <cell r="O4">
            <v>0</v>
          </cell>
          <cell r="P4">
            <v>0</v>
          </cell>
          <cell r="Q4">
            <v>7000</v>
          </cell>
          <cell r="R4">
            <v>245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245</v>
          </cell>
          <cell r="X4">
            <v>6755</v>
          </cell>
        </row>
        <row r="5">
          <cell r="B5" t="str">
            <v>苏世宁</v>
          </cell>
          <cell r="C5" t="str">
            <v>高管</v>
          </cell>
        </row>
        <row r="5">
          <cell r="E5">
            <v>7000</v>
          </cell>
          <cell r="F5">
            <v>22</v>
          </cell>
          <cell r="G5">
            <v>1400</v>
          </cell>
          <cell r="H5">
            <v>4600</v>
          </cell>
          <cell r="I5">
            <v>1000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7000</v>
          </cell>
          <cell r="O5">
            <v>187</v>
          </cell>
          <cell r="P5">
            <v>59.32</v>
          </cell>
          <cell r="Q5">
            <v>6753.68</v>
          </cell>
          <cell r="R5">
            <v>220.37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466.69</v>
          </cell>
          <cell r="X5">
            <v>6533.31</v>
          </cell>
        </row>
        <row r="6">
          <cell r="B6" t="str">
            <v>卞慧颖</v>
          </cell>
          <cell r="C6" t="str">
            <v>高管</v>
          </cell>
        </row>
        <row r="6">
          <cell r="E6">
            <v>7000</v>
          </cell>
        </row>
        <row r="6">
          <cell r="G6">
            <v>1400</v>
          </cell>
          <cell r="H6">
            <v>4600</v>
          </cell>
          <cell r="I6">
            <v>1000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7000</v>
          </cell>
          <cell r="O6">
            <v>187</v>
          </cell>
          <cell r="P6">
            <v>59.32</v>
          </cell>
          <cell r="Q6">
            <v>6753.68</v>
          </cell>
          <cell r="R6">
            <v>220.37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466.69</v>
          </cell>
          <cell r="X6">
            <v>6533.31</v>
          </cell>
        </row>
        <row r="7">
          <cell r="B7" t="str">
            <v>高管</v>
          </cell>
        </row>
        <row r="7">
          <cell r="E7">
            <v>35000</v>
          </cell>
          <cell r="F7">
            <v>88</v>
          </cell>
          <cell r="G7">
            <v>7000</v>
          </cell>
          <cell r="H7">
            <v>23000</v>
          </cell>
          <cell r="I7">
            <v>5000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35000</v>
          </cell>
          <cell r="O7">
            <v>561</v>
          </cell>
          <cell r="P7">
            <v>177.96</v>
          </cell>
          <cell r="Q7">
            <v>34261.04</v>
          </cell>
          <cell r="R7">
            <v>1151.11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1890.07</v>
          </cell>
          <cell r="X7">
            <v>33109.93</v>
          </cell>
        </row>
        <row r="9">
          <cell r="B9" t="str">
            <v>姓 名</v>
          </cell>
          <cell r="C9" t="str">
            <v>部门</v>
          </cell>
          <cell r="D9" t="str">
            <v>职序</v>
          </cell>
          <cell r="E9" t="str">
            <v>实际工资</v>
          </cell>
          <cell r="F9" t="str">
            <v>出勤天数</v>
          </cell>
          <cell r="G9" t="str">
            <v>基本工资</v>
          </cell>
          <cell r="H9" t="str">
            <v>职级津贴</v>
          </cell>
          <cell r="I9" t="str">
            <v>保密津贴</v>
          </cell>
          <cell r="J9" t="str">
            <v>绩效奖金</v>
          </cell>
          <cell r="K9" t="str">
            <v>岗位补贴</v>
          </cell>
          <cell r="L9" t="str">
            <v>其它</v>
          </cell>
          <cell r="M9" t="str">
            <v>考勤</v>
          </cell>
          <cell r="N9" t="str">
            <v>应发工资</v>
          </cell>
          <cell r="O9" t="str">
            <v>养老保险</v>
          </cell>
          <cell r="P9" t="str">
            <v>医疗保险</v>
          </cell>
          <cell r="Q9" t="str">
            <v>扣除保险合计</v>
          </cell>
          <cell r="R9" t="str">
            <v>个所税</v>
          </cell>
          <cell r="S9" t="str">
            <v>住宿费</v>
          </cell>
          <cell r="T9" t="str">
            <v>水费</v>
          </cell>
          <cell r="U9" t="str">
            <v>电费</v>
          </cell>
          <cell r="V9" t="str">
            <v>其它</v>
          </cell>
          <cell r="W9" t="str">
            <v>扣款合计</v>
          </cell>
          <cell r="X9" t="str">
            <v>实发工资</v>
          </cell>
          <cell r="Y9" t="str">
            <v>备注</v>
          </cell>
        </row>
        <row r="10">
          <cell r="B10" t="str">
            <v>杨敏</v>
          </cell>
          <cell r="C10" t="str">
            <v>市场营销部</v>
          </cell>
        </row>
        <row r="10">
          <cell r="E10">
            <v>3000</v>
          </cell>
        </row>
        <row r="10">
          <cell r="G10">
            <v>1400</v>
          </cell>
          <cell r="H10">
            <v>1600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3000</v>
          </cell>
          <cell r="O10">
            <v>0</v>
          </cell>
          <cell r="P10">
            <v>0</v>
          </cell>
          <cell r="Q10">
            <v>3000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3000</v>
          </cell>
        </row>
        <row r="11">
          <cell r="B11" t="str">
            <v>林星枚</v>
          </cell>
          <cell r="C11" t="str">
            <v>市场营销部</v>
          </cell>
        </row>
        <row r="11">
          <cell r="E11">
            <v>3200</v>
          </cell>
          <cell r="F11">
            <v>21</v>
          </cell>
          <cell r="G11">
            <v>1400</v>
          </cell>
          <cell r="H11">
            <v>1700</v>
          </cell>
          <cell r="I11">
            <v>100</v>
          </cell>
          <cell r="J11">
            <v>0</v>
          </cell>
          <cell r="K11">
            <v>0</v>
          </cell>
          <cell r="L11">
            <v>0</v>
          </cell>
          <cell r="M11">
            <v>-147</v>
          </cell>
          <cell r="N11">
            <v>3053</v>
          </cell>
          <cell r="O11">
            <v>151.3</v>
          </cell>
          <cell r="P11">
            <v>59.32</v>
          </cell>
          <cell r="Q11">
            <v>2842.38</v>
          </cell>
          <cell r="R11">
            <v>0</v>
          </cell>
          <cell r="S11">
            <v>5</v>
          </cell>
          <cell r="T11">
            <v>0</v>
          </cell>
          <cell r="U11">
            <v>0</v>
          </cell>
          <cell r="V11">
            <v>0</v>
          </cell>
          <cell r="W11">
            <v>215.62</v>
          </cell>
          <cell r="X11">
            <v>2837.38</v>
          </cell>
        </row>
        <row r="12">
          <cell r="B12" t="str">
            <v>卢清华</v>
          </cell>
          <cell r="C12" t="str">
            <v>市场营销部</v>
          </cell>
        </row>
        <row r="12">
          <cell r="E12">
            <v>1800</v>
          </cell>
          <cell r="F12">
            <v>8.5</v>
          </cell>
          <cell r="G12">
            <v>1400</v>
          </cell>
          <cell r="H12">
            <v>400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-1097</v>
          </cell>
          <cell r="N12">
            <v>703</v>
          </cell>
          <cell r="O12">
            <v>0</v>
          </cell>
          <cell r="P12">
            <v>0</v>
          </cell>
          <cell r="Q12">
            <v>703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703</v>
          </cell>
        </row>
        <row r="13">
          <cell r="B13" t="str">
            <v>市场营销部</v>
          </cell>
        </row>
        <row r="13">
          <cell r="E13">
            <v>8000</v>
          </cell>
          <cell r="F13">
            <v>29.5</v>
          </cell>
          <cell r="G13">
            <v>4200</v>
          </cell>
          <cell r="H13">
            <v>3700</v>
          </cell>
          <cell r="I13">
            <v>100</v>
          </cell>
          <cell r="J13">
            <v>0</v>
          </cell>
          <cell r="K13">
            <v>0</v>
          </cell>
          <cell r="L13">
            <v>0</v>
          </cell>
          <cell r="M13">
            <v>-1244</v>
          </cell>
          <cell r="N13">
            <v>6756</v>
          </cell>
          <cell r="O13">
            <v>151.3</v>
          </cell>
          <cell r="P13">
            <v>59.32</v>
          </cell>
          <cell r="Q13">
            <v>6545.38</v>
          </cell>
          <cell r="R13">
            <v>0</v>
          </cell>
          <cell r="S13">
            <v>5</v>
          </cell>
          <cell r="T13">
            <v>0</v>
          </cell>
          <cell r="U13">
            <v>0</v>
          </cell>
          <cell r="V13">
            <v>0</v>
          </cell>
          <cell r="W13">
            <v>215.62</v>
          </cell>
          <cell r="X13">
            <v>6540.38</v>
          </cell>
        </row>
        <row r="15">
          <cell r="B15" t="str">
            <v>姓 名</v>
          </cell>
          <cell r="C15" t="str">
            <v>部门</v>
          </cell>
          <cell r="D15" t="str">
            <v>职序</v>
          </cell>
          <cell r="E15" t="str">
            <v>实际工资</v>
          </cell>
          <cell r="F15" t="str">
            <v>出勤天数</v>
          </cell>
          <cell r="G15" t="str">
            <v>基本工资</v>
          </cell>
          <cell r="H15" t="str">
            <v>职级津贴</v>
          </cell>
          <cell r="I15" t="str">
            <v>保密津贴</v>
          </cell>
          <cell r="J15" t="str">
            <v>绩效奖金</v>
          </cell>
          <cell r="K15" t="str">
            <v>岗位补贴</v>
          </cell>
          <cell r="L15" t="str">
            <v>其它</v>
          </cell>
          <cell r="M15" t="str">
            <v>考勤</v>
          </cell>
          <cell r="N15" t="str">
            <v>应发工资</v>
          </cell>
          <cell r="O15" t="str">
            <v>养老保险</v>
          </cell>
          <cell r="P15" t="str">
            <v>医疗保险</v>
          </cell>
          <cell r="Q15" t="str">
            <v>扣除保险合计</v>
          </cell>
          <cell r="R15" t="str">
            <v>个所税</v>
          </cell>
          <cell r="S15" t="str">
            <v>住宿费</v>
          </cell>
          <cell r="T15" t="str">
            <v>水费</v>
          </cell>
          <cell r="U15" t="str">
            <v>电费</v>
          </cell>
          <cell r="V15" t="str">
            <v>其它</v>
          </cell>
          <cell r="W15" t="str">
            <v>扣款合计</v>
          </cell>
          <cell r="X15" t="str">
            <v>实发工资</v>
          </cell>
          <cell r="Y15" t="str">
            <v>备注</v>
          </cell>
        </row>
        <row r="16">
          <cell r="B16" t="str">
            <v>傅麟生</v>
          </cell>
          <cell r="C16" t="str">
            <v>行政人事部</v>
          </cell>
          <cell r="D16" t="str">
            <v>M6-1</v>
          </cell>
          <cell r="E16">
            <v>4200</v>
          </cell>
          <cell r="F16">
            <v>21</v>
          </cell>
          <cell r="G16">
            <v>1400</v>
          </cell>
          <cell r="H16">
            <v>2400</v>
          </cell>
          <cell r="I16">
            <v>400</v>
          </cell>
          <cell r="J16">
            <v>0</v>
          </cell>
          <cell r="K16">
            <v>0</v>
          </cell>
          <cell r="L16">
            <v>0</v>
          </cell>
          <cell r="M16">
            <v>-193</v>
          </cell>
          <cell r="N16">
            <v>4007</v>
          </cell>
          <cell r="O16">
            <v>0</v>
          </cell>
          <cell r="P16">
            <v>0</v>
          </cell>
          <cell r="Q16">
            <v>4007</v>
          </cell>
          <cell r="R16">
            <v>15.21</v>
          </cell>
          <cell r="S16">
            <v>0</v>
          </cell>
          <cell r="T16">
            <v>0.68</v>
          </cell>
          <cell r="U16">
            <v>9.77</v>
          </cell>
          <cell r="V16">
            <v>0</v>
          </cell>
          <cell r="W16">
            <v>25.66</v>
          </cell>
          <cell r="X16">
            <v>3981.34</v>
          </cell>
        </row>
        <row r="17">
          <cell r="B17" t="str">
            <v>滕直黠</v>
          </cell>
          <cell r="C17" t="str">
            <v>行政人事部</v>
          </cell>
        </row>
        <row r="17">
          <cell r="E17">
            <v>3500</v>
          </cell>
          <cell r="F17" t="str">
            <v>22d5h20m</v>
          </cell>
          <cell r="G17">
            <v>1400</v>
          </cell>
          <cell r="H17">
            <v>2000</v>
          </cell>
          <cell r="I17">
            <v>100</v>
          </cell>
          <cell r="J17">
            <v>0</v>
          </cell>
          <cell r="K17">
            <v>0</v>
          </cell>
          <cell r="L17">
            <v>0</v>
          </cell>
          <cell r="M17">
            <v>-84</v>
          </cell>
          <cell r="N17">
            <v>3416</v>
          </cell>
          <cell r="O17">
            <v>151.3</v>
          </cell>
          <cell r="P17">
            <v>59.32</v>
          </cell>
          <cell r="Q17">
            <v>3205.38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210.62</v>
          </cell>
          <cell r="X17">
            <v>3205.38</v>
          </cell>
        </row>
        <row r="18">
          <cell r="B18" t="str">
            <v>王宏伟</v>
          </cell>
          <cell r="C18" t="str">
            <v>行政人事部</v>
          </cell>
          <cell r="D18" t="str">
            <v>M1-2</v>
          </cell>
          <cell r="E18">
            <v>2500</v>
          </cell>
          <cell r="F18">
            <v>22</v>
          </cell>
          <cell r="G18">
            <v>1400</v>
          </cell>
          <cell r="H18">
            <v>1100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2500</v>
          </cell>
          <cell r="O18">
            <v>151.3</v>
          </cell>
          <cell r="P18">
            <v>59.32</v>
          </cell>
          <cell r="Q18">
            <v>2289.38</v>
          </cell>
          <cell r="R18">
            <v>0</v>
          </cell>
          <cell r="S18">
            <v>5</v>
          </cell>
          <cell r="T18">
            <v>0</v>
          </cell>
          <cell r="U18">
            <v>0</v>
          </cell>
          <cell r="V18">
            <v>0</v>
          </cell>
          <cell r="W18">
            <v>215.62</v>
          </cell>
          <cell r="X18">
            <v>2284.38</v>
          </cell>
        </row>
        <row r="19">
          <cell r="B19" t="str">
            <v>廖春林</v>
          </cell>
          <cell r="C19" t="str">
            <v>行政人事部</v>
          </cell>
        </row>
        <row r="19">
          <cell r="E19">
            <v>2100</v>
          </cell>
          <cell r="F19">
            <v>22.5</v>
          </cell>
          <cell r="G19">
            <v>1400</v>
          </cell>
          <cell r="H19">
            <v>700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2100</v>
          </cell>
          <cell r="O19">
            <v>151.3</v>
          </cell>
          <cell r="P19">
            <v>59.32</v>
          </cell>
          <cell r="Q19">
            <v>1889.38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210.62</v>
          </cell>
          <cell r="X19">
            <v>1889.38</v>
          </cell>
        </row>
        <row r="20">
          <cell r="B20" t="str">
            <v>郑伟达</v>
          </cell>
          <cell r="C20" t="str">
            <v>行政人事部</v>
          </cell>
        </row>
        <row r="20">
          <cell r="E20">
            <v>4000</v>
          </cell>
          <cell r="F20">
            <v>22</v>
          </cell>
          <cell r="G20">
            <v>1400</v>
          </cell>
          <cell r="H20">
            <v>2600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4000</v>
          </cell>
          <cell r="O20">
            <v>151.3</v>
          </cell>
          <cell r="P20">
            <v>59.32</v>
          </cell>
          <cell r="Q20">
            <v>3789.38</v>
          </cell>
          <cell r="R20">
            <v>8.68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219.3</v>
          </cell>
          <cell r="X20">
            <v>3780.7</v>
          </cell>
        </row>
        <row r="21">
          <cell r="B21" t="str">
            <v>杜国平</v>
          </cell>
          <cell r="C21" t="str">
            <v>行政人事部</v>
          </cell>
        </row>
        <row r="21">
          <cell r="E21">
            <v>2200</v>
          </cell>
          <cell r="F21">
            <v>22</v>
          </cell>
          <cell r="G21">
            <v>1400</v>
          </cell>
          <cell r="H21">
            <v>800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2200</v>
          </cell>
          <cell r="O21">
            <v>151.3</v>
          </cell>
          <cell r="P21">
            <v>59.32</v>
          </cell>
          <cell r="Q21">
            <v>1989.38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210.62</v>
          </cell>
          <cell r="X21">
            <v>1989.38</v>
          </cell>
        </row>
        <row r="22">
          <cell r="B22" t="str">
            <v>戴秋红</v>
          </cell>
          <cell r="C22" t="str">
            <v>行政人事部</v>
          </cell>
        </row>
        <row r="22">
          <cell r="E22">
            <v>2100</v>
          </cell>
          <cell r="F22">
            <v>22</v>
          </cell>
          <cell r="G22">
            <v>1400</v>
          </cell>
          <cell r="H22">
            <v>700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2100</v>
          </cell>
          <cell r="O22">
            <v>0</v>
          </cell>
          <cell r="P22">
            <v>0</v>
          </cell>
          <cell r="Q22">
            <v>2100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2100</v>
          </cell>
        </row>
        <row r="23">
          <cell r="B23" t="str">
            <v>行政人事部</v>
          </cell>
        </row>
        <row r="23">
          <cell r="E23">
            <v>20600</v>
          </cell>
        </row>
        <row r="23">
          <cell r="G23">
            <v>9800</v>
          </cell>
          <cell r="H23">
            <v>10300</v>
          </cell>
          <cell r="I23">
            <v>500</v>
          </cell>
          <cell r="J23">
            <v>0</v>
          </cell>
          <cell r="K23">
            <v>0</v>
          </cell>
          <cell r="L23">
            <v>0</v>
          </cell>
          <cell r="M23">
            <v>-277</v>
          </cell>
          <cell r="N23">
            <v>20323</v>
          </cell>
          <cell r="O23">
            <v>756.5</v>
          </cell>
          <cell r="P23">
            <v>296.6</v>
          </cell>
          <cell r="Q23">
            <v>19269.9</v>
          </cell>
          <cell r="R23">
            <v>23.89</v>
          </cell>
          <cell r="S23">
            <v>5</v>
          </cell>
          <cell r="T23">
            <v>0.68</v>
          </cell>
          <cell r="U23">
            <v>9.77</v>
          </cell>
          <cell r="V23">
            <v>0</v>
          </cell>
          <cell r="W23">
            <v>1092.44</v>
          </cell>
          <cell r="X23">
            <v>19230.56</v>
          </cell>
        </row>
        <row r="25">
          <cell r="B25" t="str">
            <v>姓 名</v>
          </cell>
          <cell r="C25" t="str">
            <v>部门</v>
          </cell>
          <cell r="D25" t="str">
            <v>职序</v>
          </cell>
          <cell r="E25" t="str">
            <v>实际工资</v>
          </cell>
          <cell r="F25" t="str">
            <v>出勤天数</v>
          </cell>
          <cell r="G25" t="str">
            <v>基本工资</v>
          </cell>
          <cell r="H25" t="str">
            <v>职级津贴</v>
          </cell>
          <cell r="I25" t="str">
            <v>保密津贴</v>
          </cell>
          <cell r="J25" t="str">
            <v>绩效奖金</v>
          </cell>
          <cell r="K25" t="str">
            <v>岗位补贴</v>
          </cell>
          <cell r="L25" t="str">
            <v>其它</v>
          </cell>
          <cell r="M25" t="str">
            <v>考勤</v>
          </cell>
          <cell r="N25" t="str">
            <v>应发工资</v>
          </cell>
          <cell r="O25" t="str">
            <v>养老保险</v>
          </cell>
          <cell r="P25" t="str">
            <v>医疗保险</v>
          </cell>
          <cell r="Q25" t="str">
            <v>扣除保险合计</v>
          </cell>
          <cell r="R25" t="str">
            <v>个所税</v>
          </cell>
          <cell r="S25" t="str">
            <v>住宿费</v>
          </cell>
          <cell r="T25" t="str">
            <v>水费</v>
          </cell>
          <cell r="U25" t="str">
            <v>电费</v>
          </cell>
          <cell r="V25" t="str">
            <v>其它</v>
          </cell>
          <cell r="W25" t="str">
            <v>扣款合计</v>
          </cell>
          <cell r="X25" t="str">
            <v>实发工资</v>
          </cell>
          <cell r="Y25" t="str">
            <v>备注</v>
          </cell>
        </row>
        <row r="26">
          <cell r="B26" t="str">
            <v>姚丹</v>
          </cell>
          <cell r="C26" t="str">
            <v>总工办</v>
          </cell>
          <cell r="D26" t="str">
            <v>M1-3</v>
          </cell>
          <cell r="E26">
            <v>2300</v>
          </cell>
          <cell r="F26">
            <v>22</v>
          </cell>
          <cell r="G26">
            <v>1400</v>
          </cell>
          <cell r="H26">
            <v>700</v>
          </cell>
          <cell r="I26">
            <v>200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2300</v>
          </cell>
          <cell r="O26">
            <v>151.3</v>
          </cell>
          <cell r="P26">
            <v>59.32</v>
          </cell>
          <cell r="Q26">
            <v>2089.38</v>
          </cell>
          <cell r="R26">
            <v>0</v>
          </cell>
          <cell r="S26">
            <v>5</v>
          </cell>
          <cell r="T26">
            <v>0</v>
          </cell>
          <cell r="U26">
            <v>0</v>
          </cell>
          <cell r="V26">
            <v>0</v>
          </cell>
          <cell r="W26">
            <v>215.62</v>
          </cell>
          <cell r="X26">
            <v>2084.38</v>
          </cell>
        </row>
        <row r="27">
          <cell r="B27" t="str">
            <v>郭伟杰</v>
          </cell>
          <cell r="C27" t="str">
            <v>总工办</v>
          </cell>
          <cell r="D27" t="str">
            <v>M7</v>
          </cell>
          <cell r="E27">
            <v>4800</v>
          </cell>
          <cell r="F27">
            <v>22</v>
          </cell>
          <cell r="G27">
            <v>1400</v>
          </cell>
          <cell r="H27">
            <v>3000</v>
          </cell>
          <cell r="I27">
            <v>400</v>
          </cell>
          <cell r="J27">
            <v>0</v>
          </cell>
          <cell r="K27">
            <v>0</v>
          </cell>
          <cell r="L27">
            <v>600</v>
          </cell>
          <cell r="M27">
            <v>0</v>
          </cell>
          <cell r="N27">
            <v>5400</v>
          </cell>
          <cell r="O27">
            <v>161.5</v>
          </cell>
          <cell r="P27">
            <v>59.32</v>
          </cell>
          <cell r="Q27">
            <v>5179.18</v>
          </cell>
          <cell r="R27">
            <v>62.92</v>
          </cell>
          <cell r="S27">
            <v>5</v>
          </cell>
          <cell r="T27">
            <v>0</v>
          </cell>
          <cell r="U27">
            <v>0</v>
          </cell>
          <cell r="V27">
            <v>0</v>
          </cell>
          <cell r="W27">
            <v>288.74</v>
          </cell>
          <cell r="X27">
            <v>5111.26</v>
          </cell>
        </row>
        <row r="28">
          <cell r="B28" t="str">
            <v>总工办</v>
          </cell>
        </row>
        <row r="28">
          <cell r="E28">
            <v>7100</v>
          </cell>
        </row>
        <row r="28">
          <cell r="G28">
            <v>2800</v>
          </cell>
          <cell r="H28">
            <v>3700</v>
          </cell>
          <cell r="I28">
            <v>600</v>
          </cell>
          <cell r="J28">
            <v>0</v>
          </cell>
          <cell r="K28">
            <v>0</v>
          </cell>
          <cell r="L28">
            <v>600</v>
          </cell>
          <cell r="M28">
            <v>0</v>
          </cell>
          <cell r="N28">
            <v>7700</v>
          </cell>
          <cell r="O28">
            <v>312.8</v>
          </cell>
          <cell r="P28">
            <v>118.64</v>
          </cell>
          <cell r="Q28">
            <v>7268.56</v>
          </cell>
          <cell r="R28">
            <v>62.92</v>
          </cell>
          <cell r="S28">
            <v>10</v>
          </cell>
          <cell r="T28">
            <v>0</v>
          </cell>
          <cell r="U28">
            <v>0</v>
          </cell>
          <cell r="V28">
            <v>0</v>
          </cell>
          <cell r="W28">
            <v>504.36</v>
          </cell>
          <cell r="X28">
            <v>7195.64</v>
          </cell>
        </row>
        <row r="30">
          <cell r="B30" t="str">
            <v>姓 名</v>
          </cell>
          <cell r="C30" t="str">
            <v>部门</v>
          </cell>
          <cell r="D30" t="str">
            <v>职序</v>
          </cell>
          <cell r="E30" t="str">
            <v>实际工资</v>
          </cell>
          <cell r="F30" t="str">
            <v>出勤天数</v>
          </cell>
          <cell r="G30" t="str">
            <v>基本工资</v>
          </cell>
          <cell r="H30" t="str">
            <v>职级津贴</v>
          </cell>
          <cell r="I30" t="str">
            <v>保密津贴</v>
          </cell>
          <cell r="J30" t="str">
            <v>绩效奖金</v>
          </cell>
          <cell r="K30" t="str">
            <v>岗位补贴</v>
          </cell>
          <cell r="L30" t="str">
            <v>其它</v>
          </cell>
          <cell r="M30" t="str">
            <v>考勤</v>
          </cell>
          <cell r="N30" t="str">
            <v>应发工资</v>
          </cell>
          <cell r="O30" t="str">
            <v>养老保险</v>
          </cell>
          <cell r="P30" t="str">
            <v>医疗保险</v>
          </cell>
          <cell r="Q30" t="str">
            <v>扣除保险合计</v>
          </cell>
          <cell r="R30" t="str">
            <v>个所税</v>
          </cell>
          <cell r="S30" t="str">
            <v>住宿费</v>
          </cell>
          <cell r="T30" t="str">
            <v>水费</v>
          </cell>
          <cell r="U30" t="str">
            <v>电费</v>
          </cell>
          <cell r="V30" t="str">
            <v>其它</v>
          </cell>
          <cell r="W30" t="str">
            <v>扣款合计</v>
          </cell>
          <cell r="X30" t="str">
            <v>实发工资</v>
          </cell>
          <cell r="Y30" t="str">
            <v>备注</v>
          </cell>
        </row>
        <row r="31">
          <cell r="B31" t="str">
            <v>廖春英</v>
          </cell>
          <cell r="C31" t="str">
            <v>质量部</v>
          </cell>
          <cell r="D31" t="str">
            <v>M3-1</v>
          </cell>
          <cell r="E31">
            <v>2700</v>
          </cell>
          <cell r="F31">
            <v>13.5</v>
          </cell>
          <cell r="G31">
            <v>1400</v>
          </cell>
          <cell r="H31">
            <v>1300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-1055</v>
          </cell>
          <cell r="N31">
            <v>1645</v>
          </cell>
          <cell r="O31">
            <v>151.3</v>
          </cell>
          <cell r="P31">
            <v>59.32</v>
          </cell>
          <cell r="Q31">
            <v>1434.38</v>
          </cell>
          <cell r="R31">
            <v>0</v>
          </cell>
          <cell r="S31">
            <v>5</v>
          </cell>
          <cell r="T31">
            <v>0</v>
          </cell>
          <cell r="U31">
            <v>0</v>
          </cell>
          <cell r="V31">
            <v>0</v>
          </cell>
          <cell r="W31">
            <v>215.62</v>
          </cell>
          <cell r="X31">
            <v>1429.38</v>
          </cell>
        </row>
        <row r="32">
          <cell r="B32" t="str">
            <v>谢秀芳</v>
          </cell>
          <cell r="C32" t="str">
            <v>质量部</v>
          </cell>
        </row>
        <row r="32">
          <cell r="E32">
            <v>2800</v>
          </cell>
          <cell r="F32" t="str">
            <v>21d7h</v>
          </cell>
          <cell r="G32">
            <v>1400</v>
          </cell>
          <cell r="H32">
            <v>1300</v>
          </cell>
          <cell r="I32">
            <v>100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2800</v>
          </cell>
          <cell r="O32">
            <v>151.3</v>
          </cell>
          <cell r="P32">
            <v>59.32</v>
          </cell>
          <cell r="Q32">
            <v>2589.38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210.62</v>
          </cell>
          <cell r="X32">
            <v>2589.38</v>
          </cell>
        </row>
        <row r="33">
          <cell r="B33" t="str">
            <v>杨厚胤</v>
          </cell>
          <cell r="C33" t="str">
            <v>质量部</v>
          </cell>
        </row>
        <row r="33">
          <cell r="E33">
            <v>8500</v>
          </cell>
          <cell r="F33">
            <v>23</v>
          </cell>
          <cell r="G33">
            <v>1400</v>
          </cell>
          <cell r="H33">
            <v>6100</v>
          </cell>
          <cell r="I33">
            <v>1000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8500</v>
          </cell>
          <cell r="O33">
            <v>161.5</v>
          </cell>
          <cell r="P33">
            <v>59.32</v>
          </cell>
          <cell r="Q33">
            <v>8279.18</v>
          </cell>
          <cell r="R33">
            <v>400.84</v>
          </cell>
          <cell r="S33">
            <v>70</v>
          </cell>
          <cell r="T33">
            <v>4.13</v>
          </cell>
          <cell r="U33">
            <v>29.91</v>
          </cell>
          <cell r="V33">
            <v>39</v>
          </cell>
          <cell r="W33">
            <v>764.7</v>
          </cell>
          <cell r="X33">
            <v>7735.3</v>
          </cell>
        </row>
        <row r="34">
          <cell r="B34" t="str">
            <v>郑芹华</v>
          </cell>
          <cell r="C34" t="str">
            <v>质量部</v>
          </cell>
        </row>
        <row r="34">
          <cell r="E34">
            <v>2100</v>
          </cell>
          <cell r="F34" t="str">
            <v>20d2h</v>
          </cell>
          <cell r="G34">
            <v>1400</v>
          </cell>
          <cell r="H34">
            <v>500</v>
          </cell>
          <cell r="I34">
            <v>200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2100</v>
          </cell>
          <cell r="O34">
            <v>151.3</v>
          </cell>
          <cell r="P34">
            <v>59.32</v>
          </cell>
          <cell r="Q34">
            <v>1889.38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210.62</v>
          </cell>
          <cell r="X34">
            <v>1889.38</v>
          </cell>
        </row>
        <row r="35">
          <cell r="B35" t="str">
            <v>沈春香</v>
          </cell>
          <cell r="C35" t="str">
            <v>质量部</v>
          </cell>
        </row>
        <row r="35">
          <cell r="E35">
            <v>2500</v>
          </cell>
          <cell r="F35" t="str">
            <v>21d5.5h</v>
          </cell>
          <cell r="G35">
            <v>1400</v>
          </cell>
          <cell r="H35">
            <v>1100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2500</v>
          </cell>
          <cell r="O35">
            <v>151.3</v>
          </cell>
          <cell r="P35">
            <v>59.32</v>
          </cell>
          <cell r="Q35">
            <v>2289.38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210.62</v>
          </cell>
          <cell r="X35">
            <v>2289.38</v>
          </cell>
        </row>
        <row r="36">
          <cell r="B36" t="str">
            <v>郑友梅</v>
          </cell>
          <cell r="C36" t="str">
            <v>质量部</v>
          </cell>
        </row>
        <row r="36">
          <cell r="E36">
            <v>2000</v>
          </cell>
          <cell r="F36" t="str">
            <v>20d3h</v>
          </cell>
          <cell r="G36">
            <v>1400</v>
          </cell>
          <cell r="H36">
            <v>600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2000</v>
          </cell>
          <cell r="O36">
            <v>0</v>
          </cell>
          <cell r="P36">
            <v>0</v>
          </cell>
          <cell r="Q36">
            <v>2000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2000</v>
          </cell>
        </row>
        <row r="37">
          <cell r="B37" t="str">
            <v>顾莹莹</v>
          </cell>
          <cell r="C37" t="str">
            <v>质量部</v>
          </cell>
        </row>
        <row r="37">
          <cell r="E37">
            <v>2500</v>
          </cell>
          <cell r="F37" t="str">
            <v>21d2h</v>
          </cell>
          <cell r="G37">
            <v>1400</v>
          </cell>
          <cell r="H37">
            <v>1100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2500</v>
          </cell>
          <cell r="O37">
            <v>151.3</v>
          </cell>
          <cell r="P37">
            <v>59.32</v>
          </cell>
          <cell r="Q37">
            <v>2289.38</v>
          </cell>
          <cell r="R37">
            <v>0</v>
          </cell>
          <cell r="S37">
            <v>30</v>
          </cell>
          <cell r="T37">
            <v>0.97</v>
          </cell>
          <cell r="U37">
            <v>26.21</v>
          </cell>
          <cell r="V37">
            <v>39</v>
          </cell>
          <cell r="W37">
            <v>306.8</v>
          </cell>
          <cell r="X37">
            <v>2193.2</v>
          </cell>
        </row>
        <row r="38">
          <cell r="B38" t="str">
            <v>张晓琴</v>
          </cell>
          <cell r="C38" t="str">
            <v>质量部</v>
          </cell>
        </row>
        <row r="38">
          <cell r="E38">
            <v>1800</v>
          </cell>
          <cell r="F38" t="str">
            <v>22d3.5h</v>
          </cell>
          <cell r="G38">
            <v>1400</v>
          </cell>
          <cell r="H38">
            <v>400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1800</v>
          </cell>
          <cell r="O38">
            <v>151.3</v>
          </cell>
          <cell r="P38">
            <v>59.32</v>
          </cell>
          <cell r="Q38">
            <v>1589.38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210.62</v>
          </cell>
          <cell r="X38">
            <v>1589.38</v>
          </cell>
        </row>
        <row r="39">
          <cell r="B39" t="str">
            <v>苏爱清</v>
          </cell>
          <cell r="C39" t="str">
            <v>质量部</v>
          </cell>
        </row>
        <row r="39">
          <cell r="E39">
            <v>1800</v>
          </cell>
          <cell r="F39" t="str">
            <v>21d3h</v>
          </cell>
          <cell r="G39">
            <v>1400</v>
          </cell>
          <cell r="H39">
            <v>400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1800</v>
          </cell>
          <cell r="O39">
            <v>151.3</v>
          </cell>
          <cell r="P39">
            <v>59.32</v>
          </cell>
          <cell r="Q39">
            <v>1589.38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210.62</v>
          </cell>
          <cell r="X39">
            <v>1589.38</v>
          </cell>
        </row>
        <row r="40">
          <cell r="B40" t="str">
            <v>质量部</v>
          </cell>
        </row>
        <row r="40">
          <cell r="E40">
            <v>26700</v>
          </cell>
        </row>
        <row r="40">
          <cell r="G40">
            <v>12600</v>
          </cell>
          <cell r="H40">
            <v>12800</v>
          </cell>
          <cell r="I40">
            <v>1300</v>
          </cell>
          <cell r="J40">
            <v>0</v>
          </cell>
          <cell r="K40">
            <v>0</v>
          </cell>
          <cell r="L40">
            <v>0</v>
          </cell>
          <cell r="M40">
            <v>-1055</v>
          </cell>
          <cell r="N40">
            <v>25645</v>
          </cell>
          <cell r="O40">
            <v>1220.6</v>
          </cell>
          <cell r="P40">
            <v>474.56</v>
          </cell>
          <cell r="Q40">
            <v>23949.84</v>
          </cell>
          <cell r="R40">
            <v>400.84</v>
          </cell>
          <cell r="S40">
            <v>105</v>
          </cell>
          <cell r="T40">
            <v>5.1</v>
          </cell>
          <cell r="U40">
            <v>56.12</v>
          </cell>
          <cell r="V40">
            <v>78</v>
          </cell>
          <cell r="W40">
            <v>2340.22</v>
          </cell>
          <cell r="X40">
            <v>23304.78</v>
          </cell>
        </row>
        <row r="42">
          <cell r="B42" t="str">
            <v>姓 名</v>
          </cell>
          <cell r="C42" t="str">
            <v>部门</v>
          </cell>
          <cell r="D42" t="str">
            <v>职序</v>
          </cell>
          <cell r="E42" t="str">
            <v>实际工资</v>
          </cell>
          <cell r="F42" t="str">
            <v>出勤天数</v>
          </cell>
          <cell r="G42" t="str">
            <v>基本工资</v>
          </cell>
          <cell r="H42" t="str">
            <v>职级津贴</v>
          </cell>
          <cell r="I42" t="str">
            <v>保密津贴</v>
          </cell>
          <cell r="J42" t="str">
            <v>绩效奖金</v>
          </cell>
          <cell r="K42" t="str">
            <v>岗位补贴</v>
          </cell>
          <cell r="L42" t="str">
            <v>其它</v>
          </cell>
          <cell r="M42" t="str">
            <v>考勤</v>
          </cell>
          <cell r="N42" t="str">
            <v>应发工资</v>
          </cell>
          <cell r="O42" t="str">
            <v>养老保险</v>
          </cell>
          <cell r="P42" t="str">
            <v>医疗保险</v>
          </cell>
          <cell r="Q42" t="str">
            <v>扣除保险合计</v>
          </cell>
          <cell r="R42" t="str">
            <v>个所税</v>
          </cell>
          <cell r="S42" t="str">
            <v>住宿费</v>
          </cell>
          <cell r="T42" t="str">
            <v>水费</v>
          </cell>
          <cell r="U42" t="str">
            <v>电费</v>
          </cell>
          <cell r="V42" t="str">
            <v>其它</v>
          </cell>
          <cell r="W42" t="str">
            <v>扣款合计</v>
          </cell>
          <cell r="X42" t="str">
            <v>实发工资</v>
          </cell>
          <cell r="Y42" t="str">
            <v>备注</v>
          </cell>
        </row>
        <row r="43">
          <cell r="B43" t="str">
            <v>詹春泉</v>
          </cell>
          <cell r="C43" t="str">
            <v>技术中心</v>
          </cell>
          <cell r="D43" t="str">
            <v>T3-1</v>
          </cell>
          <cell r="E43">
            <v>4200</v>
          </cell>
          <cell r="F43" t="str">
            <v>18d1.5h</v>
          </cell>
          <cell r="G43">
            <v>1400</v>
          </cell>
          <cell r="H43">
            <v>2700</v>
          </cell>
          <cell r="I43">
            <v>100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4200</v>
          </cell>
          <cell r="O43">
            <v>151.3</v>
          </cell>
          <cell r="P43">
            <v>59.32</v>
          </cell>
          <cell r="Q43">
            <v>3989.38</v>
          </cell>
          <cell r="R43">
            <v>14.68</v>
          </cell>
          <cell r="S43">
            <v>70</v>
          </cell>
          <cell r="T43">
            <v>6.83</v>
          </cell>
          <cell r="U43">
            <v>81.44</v>
          </cell>
          <cell r="V43">
            <v>39</v>
          </cell>
          <cell r="W43">
            <v>422.57</v>
          </cell>
          <cell r="X43">
            <v>3777.43</v>
          </cell>
        </row>
        <row r="44">
          <cell r="B44" t="str">
            <v>林雪娇</v>
          </cell>
          <cell r="C44" t="str">
            <v>技术中心</v>
          </cell>
        </row>
        <row r="44">
          <cell r="E44">
            <v>2600</v>
          </cell>
          <cell r="F44">
            <v>20</v>
          </cell>
          <cell r="G44">
            <v>1400</v>
          </cell>
          <cell r="H44">
            <v>1100</v>
          </cell>
          <cell r="I44">
            <v>100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2600</v>
          </cell>
          <cell r="O44">
            <v>151.3</v>
          </cell>
          <cell r="P44">
            <v>59.32</v>
          </cell>
          <cell r="Q44">
            <v>2389.38</v>
          </cell>
          <cell r="R44">
            <v>0</v>
          </cell>
          <cell r="S44">
            <v>30</v>
          </cell>
          <cell r="T44">
            <v>1.88</v>
          </cell>
          <cell r="U44">
            <v>23.71</v>
          </cell>
          <cell r="V44">
            <v>19.5</v>
          </cell>
          <cell r="W44">
            <v>285.71</v>
          </cell>
          <cell r="X44">
            <v>2314.29</v>
          </cell>
        </row>
        <row r="45">
          <cell r="B45" t="str">
            <v>沈招兰</v>
          </cell>
          <cell r="C45" t="str">
            <v>技术中心</v>
          </cell>
        </row>
        <row r="45">
          <cell r="E45">
            <v>2200</v>
          </cell>
          <cell r="F45">
            <v>19.5</v>
          </cell>
          <cell r="G45">
            <v>1400</v>
          </cell>
          <cell r="H45">
            <v>700</v>
          </cell>
          <cell r="I45">
            <v>100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2200</v>
          </cell>
          <cell r="O45">
            <v>151.3</v>
          </cell>
          <cell r="P45">
            <v>59.32</v>
          </cell>
          <cell r="Q45">
            <v>1989.38</v>
          </cell>
          <cell r="R45">
            <v>0</v>
          </cell>
          <cell r="S45">
            <v>30</v>
          </cell>
          <cell r="T45">
            <v>1.88</v>
          </cell>
          <cell r="U45">
            <v>23.71</v>
          </cell>
          <cell r="V45">
            <v>19.5</v>
          </cell>
          <cell r="W45">
            <v>285.71</v>
          </cell>
          <cell r="X45">
            <v>1914.29</v>
          </cell>
        </row>
        <row r="46">
          <cell r="B46" t="str">
            <v>李锦华</v>
          </cell>
          <cell r="C46" t="str">
            <v>技术中心</v>
          </cell>
          <cell r="D46" t="str">
            <v>P3-3</v>
          </cell>
          <cell r="E46">
            <v>4900</v>
          </cell>
          <cell r="F46" t="str">
            <v>18d7.5h</v>
          </cell>
          <cell r="G46">
            <v>1400</v>
          </cell>
          <cell r="H46">
            <v>3400</v>
          </cell>
          <cell r="I46">
            <v>100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4900</v>
          </cell>
          <cell r="O46">
            <v>151.3</v>
          </cell>
          <cell r="P46">
            <v>59.32</v>
          </cell>
          <cell r="Q46">
            <v>4689.38</v>
          </cell>
          <cell r="R46">
            <v>35.68</v>
          </cell>
          <cell r="S46">
            <v>30</v>
          </cell>
          <cell r="T46">
            <v>2.1</v>
          </cell>
          <cell r="U46">
            <v>18.6</v>
          </cell>
          <cell r="V46">
            <v>0</v>
          </cell>
          <cell r="W46">
            <v>297</v>
          </cell>
          <cell r="X46">
            <v>4603</v>
          </cell>
        </row>
        <row r="47">
          <cell r="B47" t="str">
            <v>王小进</v>
          </cell>
          <cell r="C47" t="str">
            <v>技术中心</v>
          </cell>
        </row>
        <row r="47">
          <cell r="E47">
            <v>6300</v>
          </cell>
          <cell r="F47">
            <v>22</v>
          </cell>
          <cell r="G47">
            <v>1400</v>
          </cell>
          <cell r="H47">
            <v>4900</v>
          </cell>
          <cell r="I47">
            <v>0</v>
          </cell>
          <cell r="J47">
            <v>0</v>
          </cell>
          <cell r="K47">
            <v>0</v>
          </cell>
          <cell r="L47">
            <v>800</v>
          </cell>
          <cell r="M47">
            <v>0</v>
          </cell>
          <cell r="N47">
            <v>7100</v>
          </cell>
          <cell r="O47">
            <v>0</v>
          </cell>
          <cell r="P47">
            <v>0</v>
          </cell>
          <cell r="Q47">
            <v>7100</v>
          </cell>
          <cell r="R47">
            <v>255</v>
          </cell>
          <cell r="S47">
            <v>70</v>
          </cell>
          <cell r="T47">
            <v>4.5</v>
          </cell>
          <cell r="U47">
            <v>35.52</v>
          </cell>
          <cell r="V47">
            <v>39</v>
          </cell>
          <cell r="W47">
            <v>404.02</v>
          </cell>
          <cell r="X47">
            <v>6695.98</v>
          </cell>
        </row>
        <row r="48">
          <cell r="B48" t="str">
            <v>陈爱林</v>
          </cell>
          <cell r="C48" t="str">
            <v>技术中心</v>
          </cell>
        </row>
        <row r="48">
          <cell r="E48">
            <v>5800</v>
          </cell>
          <cell r="F48">
            <v>22</v>
          </cell>
          <cell r="G48">
            <v>1400</v>
          </cell>
          <cell r="H48">
            <v>4300</v>
          </cell>
          <cell r="I48">
            <v>100</v>
          </cell>
          <cell r="J48">
            <v>0</v>
          </cell>
          <cell r="K48">
            <v>0</v>
          </cell>
          <cell r="L48">
            <v>200</v>
          </cell>
          <cell r="M48">
            <v>0</v>
          </cell>
          <cell r="N48">
            <v>6000</v>
          </cell>
          <cell r="O48">
            <v>0</v>
          </cell>
          <cell r="P48">
            <v>0</v>
          </cell>
          <cell r="Q48">
            <v>6000</v>
          </cell>
          <cell r="R48">
            <v>145</v>
          </cell>
          <cell r="S48">
            <v>0</v>
          </cell>
          <cell r="T48">
            <v>8.85</v>
          </cell>
          <cell r="U48">
            <v>68.29</v>
          </cell>
          <cell r="V48">
            <v>0</v>
          </cell>
          <cell r="W48">
            <v>222.14</v>
          </cell>
          <cell r="X48">
            <v>5777.86</v>
          </cell>
        </row>
        <row r="49">
          <cell r="B49" t="str">
            <v>连剑明</v>
          </cell>
          <cell r="C49" t="str">
            <v>技术中心</v>
          </cell>
          <cell r="D49" t="str">
            <v>T3-1</v>
          </cell>
          <cell r="E49">
            <v>5200</v>
          </cell>
          <cell r="F49">
            <v>22.5</v>
          </cell>
          <cell r="G49">
            <v>1400</v>
          </cell>
          <cell r="H49">
            <v>3400</v>
          </cell>
          <cell r="I49">
            <v>400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5200</v>
          </cell>
          <cell r="O49">
            <v>161.5</v>
          </cell>
          <cell r="P49">
            <v>59.32</v>
          </cell>
          <cell r="Q49">
            <v>4979.18</v>
          </cell>
          <cell r="R49">
            <v>44.38</v>
          </cell>
          <cell r="S49">
            <v>5</v>
          </cell>
          <cell r="T49">
            <v>0</v>
          </cell>
          <cell r="U49">
            <v>0</v>
          </cell>
          <cell r="V49">
            <v>0</v>
          </cell>
          <cell r="W49">
            <v>270.2</v>
          </cell>
          <cell r="X49">
            <v>4929.8</v>
          </cell>
        </row>
        <row r="50">
          <cell r="B50" t="str">
            <v>赖伟峰</v>
          </cell>
          <cell r="C50" t="str">
            <v>技术中心</v>
          </cell>
          <cell r="D50" t="str">
            <v>M5-4</v>
          </cell>
          <cell r="E50">
            <v>5000</v>
          </cell>
          <cell r="F50">
            <v>22</v>
          </cell>
          <cell r="G50">
            <v>1400</v>
          </cell>
          <cell r="H50">
            <v>3200</v>
          </cell>
          <cell r="I50">
            <v>400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5000</v>
          </cell>
          <cell r="O50">
            <v>161.5</v>
          </cell>
          <cell r="P50">
            <v>59.32</v>
          </cell>
          <cell r="Q50">
            <v>4779.18</v>
          </cell>
          <cell r="R50">
            <v>38.38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259.2</v>
          </cell>
          <cell r="X50">
            <v>4740.8</v>
          </cell>
        </row>
        <row r="51">
          <cell r="B51" t="str">
            <v>卢春燕</v>
          </cell>
          <cell r="C51" t="str">
            <v>技术中心</v>
          </cell>
        </row>
        <row r="51">
          <cell r="E51">
            <v>3800</v>
          </cell>
          <cell r="F51" t="str">
            <v>22d5.5h</v>
          </cell>
          <cell r="G51">
            <v>1400</v>
          </cell>
          <cell r="H51">
            <v>1700</v>
          </cell>
          <cell r="I51">
            <v>400</v>
          </cell>
          <cell r="J51">
            <v>300</v>
          </cell>
          <cell r="K51">
            <v>0</v>
          </cell>
          <cell r="L51">
            <v>0</v>
          </cell>
          <cell r="M51">
            <v>0</v>
          </cell>
          <cell r="N51">
            <v>3800</v>
          </cell>
          <cell r="O51">
            <v>151.3</v>
          </cell>
          <cell r="P51">
            <v>59.32</v>
          </cell>
          <cell r="Q51">
            <v>3589.38</v>
          </cell>
          <cell r="R51">
            <v>2.68</v>
          </cell>
          <cell r="S51">
            <v>30</v>
          </cell>
          <cell r="T51">
            <v>2.7</v>
          </cell>
          <cell r="U51">
            <v>16.99</v>
          </cell>
          <cell r="V51">
            <v>0</v>
          </cell>
          <cell r="W51">
            <v>262.99</v>
          </cell>
          <cell r="X51">
            <v>3537.01</v>
          </cell>
        </row>
        <row r="52">
          <cell r="B52" t="str">
            <v>陈国华</v>
          </cell>
          <cell r="C52" t="str">
            <v>技术中心</v>
          </cell>
        </row>
        <row r="52">
          <cell r="E52">
            <v>5500</v>
          </cell>
          <cell r="F52">
            <v>22</v>
          </cell>
          <cell r="G52">
            <v>1400</v>
          </cell>
          <cell r="H52">
            <v>4000</v>
          </cell>
          <cell r="I52">
            <v>100</v>
          </cell>
          <cell r="J52">
            <v>0</v>
          </cell>
          <cell r="K52">
            <v>0</v>
          </cell>
          <cell r="L52">
            <v>200</v>
          </cell>
          <cell r="M52">
            <v>0</v>
          </cell>
          <cell r="N52">
            <v>5700</v>
          </cell>
          <cell r="O52">
            <v>0</v>
          </cell>
          <cell r="P52">
            <v>0</v>
          </cell>
          <cell r="Q52">
            <v>5700</v>
          </cell>
          <cell r="R52">
            <v>115</v>
          </cell>
          <cell r="S52">
            <v>70</v>
          </cell>
          <cell r="T52">
            <v>1.95</v>
          </cell>
          <cell r="U52">
            <v>21.16</v>
          </cell>
          <cell r="V52">
            <v>0</v>
          </cell>
          <cell r="W52">
            <v>208.11</v>
          </cell>
          <cell r="X52">
            <v>5491.89</v>
          </cell>
        </row>
        <row r="53">
          <cell r="B53" t="str">
            <v>马网宏</v>
          </cell>
          <cell r="C53" t="str">
            <v>技术中心</v>
          </cell>
        </row>
        <row r="53">
          <cell r="E53">
            <v>5500</v>
          </cell>
          <cell r="F53">
            <v>22</v>
          </cell>
          <cell r="G53">
            <v>1400</v>
          </cell>
          <cell r="H53">
            <v>4000</v>
          </cell>
          <cell r="I53">
            <v>100</v>
          </cell>
          <cell r="J53">
            <v>0</v>
          </cell>
          <cell r="K53">
            <v>0</v>
          </cell>
          <cell r="L53">
            <v>200</v>
          </cell>
          <cell r="M53">
            <v>0</v>
          </cell>
          <cell r="N53">
            <v>5700</v>
          </cell>
          <cell r="O53">
            <v>0</v>
          </cell>
          <cell r="P53">
            <v>0</v>
          </cell>
          <cell r="Q53">
            <v>5700</v>
          </cell>
          <cell r="R53">
            <v>115</v>
          </cell>
          <cell r="S53">
            <v>70</v>
          </cell>
          <cell r="T53">
            <v>1.5</v>
          </cell>
          <cell r="U53">
            <v>10.33</v>
          </cell>
          <cell r="V53">
            <v>0</v>
          </cell>
          <cell r="W53">
            <v>196.83</v>
          </cell>
          <cell r="X53">
            <v>5503.17</v>
          </cell>
        </row>
        <row r="54">
          <cell r="B54" t="str">
            <v>赖德堂</v>
          </cell>
          <cell r="C54" t="str">
            <v>技术中心</v>
          </cell>
        </row>
        <row r="54">
          <cell r="E54">
            <v>3500</v>
          </cell>
          <cell r="F54">
            <v>23</v>
          </cell>
          <cell r="G54">
            <v>1400</v>
          </cell>
          <cell r="H54">
            <v>2100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3500</v>
          </cell>
          <cell r="O54">
            <v>151.3</v>
          </cell>
          <cell r="P54">
            <v>59.32</v>
          </cell>
          <cell r="Q54">
            <v>3289.38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210.62</v>
          </cell>
          <cell r="X54">
            <v>3289.38</v>
          </cell>
        </row>
        <row r="55">
          <cell r="B55" t="str">
            <v>文正武</v>
          </cell>
          <cell r="C55" t="str">
            <v>技术中心</v>
          </cell>
        </row>
        <row r="55">
          <cell r="E55">
            <v>4800</v>
          </cell>
          <cell r="F55">
            <v>22</v>
          </cell>
          <cell r="G55">
            <v>1400</v>
          </cell>
          <cell r="H55">
            <v>3000</v>
          </cell>
          <cell r="I55">
            <v>400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4800</v>
          </cell>
          <cell r="O55">
            <v>151.3</v>
          </cell>
          <cell r="P55">
            <v>59.32</v>
          </cell>
          <cell r="Q55">
            <v>4589.38</v>
          </cell>
          <cell r="R55">
            <v>32.68</v>
          </cell>
          <cell r="S55">
            <v>30</v>
          </cell>
          <cell r="T55">
            <v>3.67</v>
          </cell>
          <cell r="U55">
            <v>50.32</v>
          </cell>
          <cell r="V55">
            <v>39</v>
          </cell>
          <cell r="W55">
            <v>366.29</v>
          </cell>
          <cell r="X55">
            <v>4433.71</v>
          </cell>
        </row>
        <row r="56">
          <cell r="B56" t="str">
            <v>林秋荣</v>
          </cell>
          <cell r="C56" t="str">
            <v>技术中心</v>
          </cell>
        </row>
        <row r="56">
          <cell r="E56">
            <v>3100</v>
          </cell>
          <cell r="F56" t="str">
            <v>21d7h35m</v>
          </cell>
          <cell r="G56">
            <v>1400</v>
          </cell>
          <cell r="H56">
            <v>1600</v>
          </cell>
          <cell r="I56">
            <v>100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3100</v>
          </cell>
          <cell r="O56">
            <v>151.3</v>
          </cell>
          <cell r="P56">
            <v>59.32</v>
          </cell>
          <cell r="Q56">
            <v>2889.38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210.62</v>
          </cell>
          <cell r="X56">
            <v>2889.38</v>
          </cell>
        </row>
        <row r="57">
          <cell r="B57" t="str">
            <v>华美金</v>
          </cell>
          <cell r="C57" t="str">
            <v>技术中心</v>
          </cell>
        </row>
        <row r="57">
          <cell r="E57">
            <v>3200</v>
          </cell>
          <cell r="F57" t="str">
            <v>18d5.5h</v>
          </cell>
          <cell r="G57">
            <v>1400</v>
          </cell>
          <cell r="H57">
            <v>1700</v>
          </cell>
          <cell r="I57">
            <v>100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3200</v>
          </cell>
          <cell r="O57">
            <v>151.3</v>
          </cell>
          <cell r="P57">
            <v>59.32</v>
          </cell>
          <cell r="Q57">
            <v>2989.38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210.62</v>
          </cell>
          <cell r="X57">
            <v>2989.38</v>
          </cell>
        </row>
        <row r="58">
          <cell r="B58" t="str">
            <v>林泳坤</v>
          </cell>
          <cell r="C58" t="str">
            <v>技术中心</v>
          </cell>
        </row>
        <row r="58">
          <cell r="E58">
            <v>2600</v>
          </cell>
          <cell r="F58">
            <v>22</v>
          </cell>
          <cell r="G58">
            <v>1400</v>
          </cell>
          <cell r="H58">
            <v>1100</v>
          </cell>
          <cell r="I58">
            <v>100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2600</v>
          </cell>
          <cell r="O58">
            <v>151.3</v>
          </cell>
          <cell r="P58">
            <v>59.32</v>
          </cell>
          <cell r="Q58">
            <v>2389.38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210.62</v>
          </cell>
          <cell r="X58">
            <v>2389.38</v>
          </cell>
        </row>
        <row r="59">
          <cell r="B59" t="str">
            <v>张泾</v>
          </cell>
          <cell r="C59" t="str">
            <v>技术中心</v>
          </cell>
          <cell r="D59" t="str">
            <v>M3-1</v>
          </cell>
          <cell r="E59">
            <v>2800</v>
          </cell>
          <cell r="F59">
            <v>22</v>
          </cell>
          <cell r="G59">
            <v>1400</v>
          </cell>
          <cell r="H59">
            <v>1200</v>
          </cell>
          <cell r="I59">
            <v>200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2800</v>
          </cell>
          <cell r="O59">
            <v>151.3</v>
          </cell>
          <cell r="P59">
            <v>59.32</v>
          </cell>
          <cell r="Q59">
            <v>2589.38</v>
          </cell>
          <cell r="R59">
            <v>0</v>
          </cell>
          <cell r="S59">
            <v>5</v>
          </cell>
          <cell r="T59">
            <v>0</v>
          </cell>
          <cell r="U59">
            <v>0</v>
          </cell>
          <cell r="V59">
            <v>0</v>
          </cell>
          <cell r="W59">
            <v>215.62</v>
          </cell>
          <cell r="X59">
            <v>2584.38</v>
          </cell>
        </row>
        <row r="60">
          <cell r="B60" t="str">
            <v>林文荣</v>
          </cell>
          <cell r="C60" t="str">
            <v>技术中心</v>
          </cell>
        </row>
        <row r="60">
          <cell r="E60">
            <v>3400</v>
          </cell>
          <cell r="F60">
            <v>21</v>
          </cell>
          <cell r="G60">
            <v>1400</v>
          </cell>
          <cell r="H60">
            <v>2000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3400</v>
          </cell>
          <cell r="O60">
            <v>151.3</v>
          </cell>
          <cell r="P60">
            <v>59.32</v>
          </cell>
          <cell r="Q60">
            <v>3189.38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210.62</v>
          </cell>
          <cell r="X60">
            <v>3189.38</v>
          </cell>
        </row>
        <row r="61">
          <cell r="B61" t="str">
            <v>杨芳惠</v>
          </cell>
          <cell r="C61" t="str">
            <v>技术中心</v>
          </cell>
        </row>
        <row r="61">
          <cell r="E61">
            <v>2000</v>
          </cell>
          <cell r="F61">
            <v>22</v>
          </cell>
          <cell r="G61">
            <v>1400</v>
          </cell>
          <cell r="H61">
            <v>600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2000</v>
          </cell>
          <cell r="O61">
            <v>151.3</v>
          </cell>
          <cell r="P61">
            <v>59.32</v>
          </cell>
          <cell r="Q61">
            <v>1789.38</v>
          </cell>
          <cell r="R61">
            <v>0</v>
          </cell>
          <cell r="S61">
            <v>5</v>
          </cell>
          <cell r="T61">
            <v>0</v>
          </cell>
          <cell r="U61">
            <v>0</v>
          </cell>
          <cell r="V61">
            <v>0</v>
          </cell>
          <cell r="W61">
            <v>215.62</v>
          </cell>
          <cell r="X61">
            <v>1784.38</v>
          </cell>
        </row>
        <row r="62">
          <cell r="B62" t="str">
            <v>温兰春</v>
          </cell>
          <cell r="C62" t="str">
            <v>技术中心</v>
          </cell>
        </row>
        <row r="62">
          <cell r="E62">
            <v>2900</v>
          </cell>
          <cell r="F62">
            <v>22</v>
          </cell>
          <cell r="G62">
            <v>1400</v>
          </cell>
          <cell r="H62">
            <v>1500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2900</v>
          </cell>
          <cell r="O62">
            <v>151.3</v>
          </cell>
          <cell r="P62">
            <v>59.32</v>
          </cell>
          <cell r="Q62">
            <v>2689.38</v>
          </cell>
          <cell r="R62">
            <v>0</v>
          </cell>
          <cell r="S62">
            <v>5</v>
          </cell>
          <cell r="T62">
            <v>0</v>
          </cell>
          <cell r="U62">
            <v>0</v>
          </cell>
          <cell r="V62">
            <v>0</v>
          </cell>
          <cell r="W62">
            <v>215.62</v>
          </cell>
          <cell r="X62">
            <v>2684.38</v>
          </cell>
        </row>
        <row r="63">
          <cell r="B63" t="str">
            <v>张乔隆</v>
          </cell>
        </row>
        <row r="63">
          <cell r="E63">
            <v>1500</v>
          </cell>
          <cell r="F63">
            <v>22</v>
          </cell>
          <cell r="G63">
            <v>1400</v>
          </cell>
          <cell r="H63">
            <v>100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1500</v>
          </cell>
          <cell r="O63">
            <v>0</v>
          </cell>
          <cell r="P63">
            <v>0</v>
          </cell>
          <cell r="Q63">
            <v>1500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1500</v>
          </cell>
        </row>
        <row r="64">
          <cell r="B64" t="str">
            <v>许创铂</v>
          </cell>
        </row>
        <row r="64">
          <cell r="E64">
            <v>6000</v>
          </cell>
          <cell r="F64" t="str">
            <v>15.5</v>
          </cell>
          <cell r="G64">
            <v>1400</v>
          </cell>
          <cell r="H64">
            <v>4600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-966</v>
          </cell>
          <cell r="N64">
            <v>5034</v>
          </cell>
          <cell r="O64">
            <v>0</v>
          </cell>
          <cell r="P64">
            <v>0</v>
          </cell>
          <cell r="Q64">
            <v>5034</v>
          </cell>
          <cell r="R64">
            <v>48.4</v>
          </cell>
          <cell r="S64">
            <v>13.33</v>
          </cell>
          <cell r="T64">
            <v>1.13</v>
          </cell>
          <cell r="U64">
            <v>12.99</v>
          </cell>
          <cell r="V64">
            <v>26</v>
          </cell>
          <cell r="W64">
            <v>101.85</v>
          </cell>
          <cell r="X64">
            <v>4932.15</v>
          </cell>
        </row>
        <row r="65">
          <cell r="B65" t="str">
            <v>技术中心</v>
          </cell>
        </row>
        <row r="65">
          <cell r="E65">
            <v>86800</v>
          </cell>
          <cell r="F65">
            <v>348</v>
          </cell>
          <cell r="G65">
            <v>30800</v>
          </cell>
          <cell r="H65">
            <v>52900</v>
          </cell>
          <cell r="I65">
            <v>2800</v>
          </cell>
          <cell r="J65">
            <v>300</v>
          </cell>
          <cell r="K65">
            <v>0</v>
          </cell>
          <cell r="L65">
            <v>1400</v>
          </cell>
          <cell r="M65">
            <v>-966</v>
          </cell>
          <cell r="N65">
            <v>87234</v>
          </cell>
          <cell r="O65">
            <v>2441.2</v>
          </cell>
          <cell r="P65">
            <v>949.12</v>
          </cell>
          <cell r="Q65">
            <v>83843.68</v>
          </cell>
          <cell r="R65">
            <v>846.88</v>
          </cell>
          <cell r="S65">
            <v>463.33</v>
          </cell>
          <cell r="T65">
            <v>36.99</v>
          </cell>
          <cell r="U65">
            <v>363.06</v>
          </cell>
          <cell r="V65">
            <v>182</v>
          </cell>
          <cell r="W65">
            <v>5282.58</v>
          </cell>
          <cell r="X65">
            <v>81951.42</v>
          </cell>
        </row>
        <row r="67">
          <cell r="B67" t="str">
            <v>姓 名</v>
          </cell>
          <cell r="C67" t="str">
            <v>部门</v>
          </cell>
          <cell r="D67" t="str">
            <v>职序</v>
          </cell>
          <cell r="E67" t="str">
            <v>实际工资</v>
          </cell>
          <cell r="F67" t="str">
            <v>出勤天数</v>
          </cell>
          <cell r="G67" t="str">
            <v>基本工资</v>
          </cell>
          <cell r="H67" t="str">
            <v>职级津贴</v>
          </cell>
          <cell r="I67" t="str">
            <v>保密津贴</v>
          </cell>
          <cell r="J67" t="str">
            <v>绩效奖金</v>
          </cell>
          <cell r="K67" t="str">
            <v>岗位补贴</v>
          </cell>
          <cell r="L67" t="str">
            <v>其它</v>
          </cell>
          <cell r="M67" t="str">
            <v>考勤</v>
          </cell>
          <cell r="N67" t="str">
            <v>应发工资</v>
          </cell>
          <cell r="O67" t="str">
            <v>养老保险</v>
          </cell>
          <cell r="P67" t="str">
            <v>医疗保险</v>
          </cell>
          <cell r="Q67" t="str">
            <v>扣除保险合计</v>
          </cell>
          <cell r="R67" t="str">
            <v>个所税</v>
          </cell>
          <cell r="S67" t="str">
            <v>住宿费</v>
          </cell>
          <cell r="T67" t="str">
            <v>水费</v>
          </cell>
          <cell r="U67" t="str">
            <v>电费</v>
          </cell>
          <cell r="V67" t="str">
            <v>其它</v>
          </cell>
          <cell r="W67" t="str">
            <v>扣款合计</v>
          </cell>
          <cell r="X67" t="str">
            <v>实发工资</v>
          </cell>
          <cell r="Y67" t="str">
            <v>备注</v>
          </cell>
        </row>
        <row r="68">
          <cell r="B68" t="str">
            <v>陈金炎</v>
          </cell>
          <cell r="C68" t="str">
            <v>设备工程部</v>
          </cell>
          <cell r="D68" t="str">
            <v>T3-5</v>
          </cell>
          <cell r="E68">
            <v>5400</v>
          </cell>
          <cell r="F68" t="str">
            <v>18d7h40m</v>
          </cell>
          <cell r="G68">
            <v>1400</v>
          </cell>
          <cell r="H68">
            <v>3600</v>
          </cell>
          <cell r="I68">
            <v>400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5400</v>
          </cell>
          <cell r="O68">
            <v>161.5</v>
          </cell>
          <cell r="P68">
            <v>59.32</v>
          </cell>
          <cell r="Q68">
            <v>5179.18</v>
          </cell>
          <cell r="R68">
            <v>62.92</v>
          </cell>
          <cell r="S68">
            <v>70</v>
          </cell>
          <cell r="T68">
            <v>1.2</v>
          </cell>
          <cell r="U68">
            <v>11.94</v>
          </cell>
          <cell r="V68">
            <v>39</v>
          </cell>
          <cell r="W68">
            <v>405.88</v>
          </cell>
          <cell r="X68">
            <v>4994.12</v>
          </cell>
        </row>
        <row r="69">
          <cell r="B69" t="str">
            <v>廖尚锋</v>
          </cell>
          <cell r="C69" t="str">
            <v>设备工程部</v>
          </cell>
        </row>
        <row r="69">
          <cell r="E69">
            <v>2500</v>
          </cell>
          <cell r="F69" t="str">
            <v>22d1.5h</v>
          </cell>
          <cell r="G69">
            <v>1400</v>
          </cell>
          <cell r="H69">
            <v>1100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2500</v>
          </cell>
          <cell r="O69">
            <v>151.3</v>
          </cell>
          <cell r="P69">
            <v>59.32</v>
          </cell>
          <cell r="Q69">
            <v>2289.38</v>
          </cell>
          <cell r="R69">
            <v>0</v>
          </cell>
          <cell r="S69">
            <v>30</v>
          </cell>
          <cell r="T69">
            <v>2.25</v>
          </cell>
          <cell r="U69">
            <v>20.6</v>
          </cell>
          <cell r="V69">
            <v>119</v>
          </cell>
          <cell r="W69">
            <v>382.47</v>
          </cell>
          <cell r="X69">
            <v>2117.53</v>
          </cell>
        </row>
        <row r="70">
          <cell r="B70" t="str">
            <v>陈学仕</v>
          </cell>
          <cell r="C70" t="str">
            <v>设备工程部</v>
          </cell>
          <cell r="D70" t="str">
            <v>T4-6</v>
          </cell>
          <cell r="E70">
            <v>8200</v>
          </cell>
          <cell r="F70">
            <v>23</v>
          </cell>
          <cell r="G70">
            <v>1400</v>
          </cell>
          <cell r="H70">
            <v>6400</v>
          </cell>
          <cell r="I70">
            <v>400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8200</v>
          </cell>
          <cell r="O70">
            <v>0</v>
          </cell>
          <cell r="P70">
            <v>0</v>
          </cell>
          <cell r="Q70">
            <v>8200</v>
          </cell>
          <cell r="R70">
            <v>385</v>
          </cell>
          <cell r="S70">
            <v>70</v>
          </cell>
          <cell r="T70">
            <v>4.13</v>
          </cell>
          <cell r="U70">
            <v>38.05</v>
          </cell>
          <cell r="V70">
            <v>39</v>
          </cell>
          <cell r="W70">
            <v>536.18</v>
          </cell>
          <cell r="X70">
            <v>7663.82</v>
          </cell>
        </row>
        <row r="71">
          <cell r="B71" t="str">
            <v>张汉波</v>
          </cell>
          <cell r="C71" t="str">
            <v>设备工程部</v>
          </cell>
          <cell r="D71" t="str">
            <v>T2-1</v>
          </cell>
          <cell r="E71">
            <v>2850</v>
          </cell>
          <cell r="F71" t="str">
            <v>23d1h</v>
          </cell>
          <cell r="G71">
            <v>1400</v>
          </cell>
          <cell r="H71">
            <v>1300</v>
          </cell>
          <cell r="I71">
            <v>150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2850</v>
          </cell>
          <cell r="O71">
            <v>151.3</v>
          </cell>
          <cell r="P71">
            <v>59.32</v>
          </cell>
          <cell r="Q71">
            <v>2639.38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210.62</v>
          </cell>
          <cell r="X71">
            <v>2639.38</v>
          </cell>
        </row>
        <row r="72">
          <cell r="B72" t="str">
            <v>杨志榕</v>
          </cell>
          <cell r="C72" t="str">
            <v>设备工程部</v>
          </cell>
        </row>
        <row r="72">
          <cell r="E72">
            <v>2950</v>
          </cell>
          <cell r="F72">
            <v>22</v>
          </cell>
          <cell r="G72">
            <v>1400</v>
          </cell>
          <cell r="H72">
            <v>1550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2950</v>
          </cell>
          <cell r="O72">
            <v>151.3</v>
          </cell>
          <cell r="P72">
            <v>59.32</v>
          </cell>
          <cell r="Q72">
            <v>2739.38</v>
          </cell>
          <cell r="R72">
            <v>0</v>
          </cell>
          <cell r="S72">
            <v>30</v>
          </cell>
          <cell r="T72">
            <v>2.92</v>
          </cell>
          <cell r="U72">
            <v>24.17</v>
          </cell>
          <cell r="V72">
            <v>39</v>
          </cell>
          <cell r="W72">
            <v>306.71</v>
          </cell>
          <cell r="X72">
            <v>2643.29</v>
          </cell>
        </row>
        <row r="73">
          <cell r="B73" t="str">
            <v>曹曙洲</v>
          </cell>
          <cell r="C73" t="str">
            <v>设备工程部</v>
          </cell>
        </row>
        <row r="73">
          <cell r="E73">
            <v>5000</v>
          </cell>
          <cell r="F73" t="str">
            <v>23d1h</v>
          </cell>
          <cell r="G73">
            <v>1400</v>
          </cell>
          <cell r="H73">
            <v>3600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5000</v>
          </cell>
          <cell r="O73">
            <v>151.3</v>
          </cell>
          <cell r="P73">
            <v>59.32</v>
          </cell>
          <cell r="Q73">
            <v>4789.38</v>
          </cell>
          <cell r="R73">
            <v>38.68</v>
          </cell>
          <cell r="S73">
            <v>40</v>
          </cell>
          <cell r="T73">
            <v>1.95</v>
          </cell>
          <cell r="U73">
            <v>21.55</v>
          </cell>
          <cell r="V73">
            <v>39</v>
          </cell>
          <cell r="W73">
            <v>351.8</v>
          </cell>
          <cell r="X73">
            <v>4648.2</v>
          </cell>
        </row>
        <row r="74">
          <cell r="B74" t="str">
            <v>赖素平</v>
          </cell>
          <cell r="C74" t="str">
            <v>设备工程部</v>
          </cell>
        </row>
        <row r="74">
          <cell r="E74">
            <v>2650</v>
          </cell>
          <cell r="F74">
            <v>21</v>
          </cell>
          <cell r="G74">
            <v>1400</v>
          </cell>
          <cell r="H74">
            <v>1250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-122</v>
          </cell>
          <cell r="N74">
            <v>2528</v>
          </cell>
          <cell r="O74">
            <v>151.3</v>
          </cell>
          <cell r="P74">
            <v>59.32</v>
          </cell>
          <cell r="Q74">
            <v>2317.38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210.62</v>
          </cell>
          <cell r="X74">
            <v>2317.38</v>
          </cell>
        </row>
        <row r="75">
          <cell r="B75" t="str">
            <v>设备工程部</v>
          </cell>
        </row>
        <row r="75">
          <cell r="E75">
            <v>29550</v>
          </cell>
        </row>
        <row r="75">
          <cell r="G75">
            <v>9800</v>
          </cell>
          <cell r="H75">
            <v>18800</v>
          </cell>
          <cell r="I75">
            <v>950</v>
          </cell>
          <cell r="J75">
            <v>0</v>
          </cell>
          <cell r="K75">
            <v>0</v>
          </cell>
          <cell r="L75">
            <v>0</v>
          </cell>
          <cell r="M75">
            <v>-122</v>
          </cell>
          <cell r="N75">
            <v>29428</v>
          </cell>
          <cell r="O75">
            <v>918</v>
          </cell>
          <cell r="P75">
            <v>355.92</v>
          </cell>
          <cell r="Q75">
            <v>28154.08</v>
          </cell>
          <cell r="R75">
            <v>486.6</v>
          </cell>
          <cell r="S75">
            <v>240</v>
          </cell>
          <cell r="T75">
            <v>12.45</v>
          </cell>
          <cell r="U75">
            <v>116.31</v>
          </cell>
          <cell r="V75">
            <v>275</v>
          </cell>
          <cell r="W75">
            <v>2404.28</v>
          </cell>
          <cell r="X75">
            <v>27023.72</v>
          </cell>
        </row>
        <row r="77">
          <cell r="B77" t="str">
            <v>姓 名</v>
          </cell>
          <cell r="C77" t="str">
            <v>部门</v>
          </cell>
          <cell r="D77" t="str">
            <v>职序</v>
          </cell>
          <cell r="E77" t="str">
            <v>实际工资</v>
          </cell>
          <cell r="F77" t="str">
            <v>出勤天数</v>
          </cell>
          <cell r="G77" t="str">
            <v>基本工资</v>
          </cell>
          <cell r="H77" t="str">
            <v>职级津贴</v>
          </cell>
          <cell r="I77" t="str">
            <v>保密津贴</v>
          </cell>
          <cell r="J77" t="str">
            <v>绩效奖金</v>
          </cell>
          <cell r="K77" t="str">
            <v>岗位补贴</v>
          </cell>
          <cell r="L77" t="str">
            <v>其它</v>
          </cell>
          <cell r="M77" t="str">
            <v>考勤</v>
          </cell>
          <cell r="N77" t="str">
            <v>应发工资</v>
          </cell>
          <cell r="O77" t="str">
            <v>养老保险</v>
          </cell>
          <cell r="P77" t="str">
            <v>医疗保险</v>
          </cell>
          <cell r="Q77" t="str">
            <v>扣除保险合计</v>
          </cell>
          <cell r="R77" t="str">
            <v>个所税</v>
          </cell>
          <cell r="S77" t="str">
            <v>住宿费</v>
          </cell>
          <cell r="T77" t="str">
            <v>水费</v>
          </cell>
          <cell r="U77" t="str">
            <v>电费</v>
          </cell>
          <cell r="V77" t="str">
            <v>其它</v>
          </cell>
          <cell r="W77" t="str">
            <v>扣款合计</v>
          </cell>
          <cell r="X77" t="str">
            <v>实发工资</v>
          </cell>
          <cell r="Y77" t="str">
            <v>备注</v>
          </cell>
        </row>
        <row r="78">
          <cell r="B78" t="str">
            <v>邓爱忠</v>
          </cell>
          <cell r="C78" t="str">
            <v>生产部</v>
          </cell>
          <cell r="D78" t="str">
            <v>M5-5</v>
          </cell>
          <cell r="E78">
            <v>5600</v>
          </cell>
          <cell r="F78">
            <v>22</v>
          </cell>
          <cell r="G78">
            <v>1400</v>
          </cell>
          <cell r="H78">
            <v>3600</v>
          </cell>
          <cell r="I78">
            <v>600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5600</v>
          </cell>
          <cell r="O78">
            <v>161.5</v>
          </cell>
          <cell r="P78">
            <v>59.32</v>
          </cell>
          <cell r="Q78">
            <v>5379.18</v>
          </cell>
          <cell r="R78">
            <v>82.92</v>
          </cell>
          <cell r="S78">
            <v>40</v>
          </cell>
          <cell r="T78">
            <v>1.88</v>
          </cell>
          <cell r="U78">
            <v>28.96</v>
          </cell>
          <cell r="V78">
            <v>39</v>
          </cell>
          <cell r="W78">
            <v>413.58</v>
          </cell>
          <cell r="X78">
            <v>5186.42</v>
          </cell>
        </row>
        <row r="79">
          <cell r="B79" t="str">
            <v>黄裕</v>
          </cell>
          <cell r="C79" t="str">
            <v>生产部</v>
          </cell>
          <cell r="D79" t="str">
            <v>M4-1</v>
          </cell>
          <cell r="E79">
            <v>3600</v>
          </cell>
          <cell r="F79">
            <v>22</v>
          </cell>
          <cell r="G79">
            <v>1400</v>
          </cell>
          <cell r="H79">
            <v>2000</v>
          </cell>
          <cell r="I79">
            <v>200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3600</v>
          </cell>
          <cell r="O79">
            <v>151.3</v>
          </cell>
          <cell r="P79">
            <v>59.32</v>
          </cell>
          <cell r="Q79">
            <v>3389.38</v>
          </cell>
          <cell r="R79">
            <v>0</v>
          </cell>
          <cell r="S79">
            <v>70</v>
          </cell>
          <cell r="T79">
            <v>13.13</v>
          </cell>
          <cell r="U79">
            <v>91.58</v>
          </cell>
          <cell r="V79">
            <v>39</v>
          </cell>
          <cell r="W79">
            <v>424.33</v>
          </cell>
          <cell r="X79">
            <v>3175.67</v>
          </cell>
        </row>
        <row r="80">
          <cell r="B80" t="str">
            <v>温永青</v>
          </cell>
          <cell r="C80" t="str">
            <v>生产部</v>
          </cell>
          <cell r="D80" t="str">
            <v>M4-1</v>
          </cell>
          <cell r="E80">
            <v>3800</v>
          </cell>
          <cell r="F80" t="str">
            <v>21d1h</v>
          </cell>
          <cell r="G80">
            <v>1400</v>
          </cell>
          <cell r="H80">
            <v>2200</v>
          </cell>
          <cell r="I80">
            <v>200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3800</v>
          </cell>
          <cell r="O80">
            <v>151.3</v>
          </cell>
          <cell r="P80">
            <v>59.32</v>
          </cell>
          <cell r="Q80">
            <v>3589.38</v>
          </cell>
          <cell r="R80">
            <v>2.68</v>
          </cell>
          <cell r="S80">
            <v>40</v>
          </cell>
          <cell r="T80">
            <v>15.98</v>
          </cell>
          <cell r="U80">
            <v>106.47</v>
          </cell>
          <cell r="V80">
            <v>39</v>
          </cell>
          <cell r="W80">
            <v>414.75</v>
          </cell>
          <cell r="X80">
            <v>3385.25</v>
          </cell>
        </row>
        <row r="81">
          <cell r="B81" t="str">
            <v>吴炽川</v>
          </cell>
          <cell r="C81" t="str">
            <v>生产部</v>
          </cell>
          <cell r="D81" t="str">
            <v>M4-2</v>
          </cell>
          <cell r="E81">
            <v>4000</v>
          </cell>
          <cell r="F81">
            <v>21</v>
          </cell>
          <cell r="G81">
            <v>1400</v>
          </cell>
          <cell r="H81">
            <v>2300</v>
          </cell>
          <cell r="I81">
            <v>300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4000</v>
          </cell>
          <cell r="O81">
            <v>151.3</v>
          </cell>
          <cell r="P81">
            <v>59.32</v>
          </cell>
          <cell r="Q81">
            <v>3789.38</v>
          </cell>
          <cell r="R81">
            <v>8.68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219.3</v>
          </cell>
          <cell r="X81">
            <v>3780.7</v>
          </cell>
        </row>
        <row r="82">
          <cell r="B82" t="str">
            <v>江振城</v>
          </cell>
          <cell r="C82" t="str">
            <v>生产部</v>
          </cell>
          <cell r="D82" t="str">
            <v>M3-1</v>
          </cell>
          <cell r="E82">
            <v>2800</v>
          </cell>
          <cell r="F82" t="str">
            <v>21d1.5h</v>
          </cell>
          <cell r="G82">
            <v>1400</v>
          </cell>
          <cell r="H82">
            <v>1200</v>
          </cell>
          <cell r="I82">
            <v>200</v>
          </cell>
          <cell r="J82">
            <v>0</v>
          </cell>
          <cell r="K82">
            <v>0</v>
          </cell>
          <cell r="L82">
            <v>0</v>
          </cell>
          <cell r="M82">
            <v>-105</v>
          </cell>
          <cell r="N82">
            <v>2695</v>
          </cell>
          <cell r="O82">
            <v>151.3</v>
          </cell>
          <cell r="P82">
            <v>59.32</v>
          </cell>
          <cell r="Q82">
            <v>2484.38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210.62</v>
          </cell>
          <cell r="X82">
            <v>2484.38</v>
          </cell>
        </row>
        <row r="83">
          <cell r="B83" t="str">
            <v>范珍文</v>
          </cell>
          <cell r="C83" t="str">
            <v>生产部</v>
          </cell>
          <cell r="D83" t="str">
            <v>P1-2</v>
          </cell>
          <cell r="E83">
            <v>1800</v>
          </cell>
          <cell r="F83" t="str">
            <v>20d4.5h</v>
          </cell>
          <cell r="G83">
            <v>1400</v>
          </cell>
          <cell r="H83">
            <v>400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1800</v>
          </cell>
          <cell r="O83">
            <v>151.3</v>
          </cell>
          <cell r="P83">
            <v>59.32</v>
          </cell>
          <cell r="Q83">
            <v>1589.38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210.62</v>
          </cell>
          <cell r="X83">
            <v>1589.38</v>
          </cell>
        </row>
        <row r="84">
          <cell r="B84" t="str">
            <v>卢秀芳</v>
          </cell>
          <cell r="C84" t="str">
            <v>生产部</v>
          </cell>
          <cell r="D84" t="str">
            <v>P1-2</v>
          </cell>
          <cell r="E84">
            <v>1800</v>
          </cell>
          <cell r="F84">
            <v>22</v>
          </cell>
          <cell r="G84">
            <v>1400</v>
          </cell>
          <cell r="H84">
            <v>400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1800</v>
          </cell>
          <cell r="O84">
            <v>151.3</v>
          </cell>
          <cell r="P84">
            <v>59.32</v>
          </cell>
          <cell r="Q84">
            <v>1589.38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210.62</v>
          </cell>
          <cell r="X84">
            <v>1589.38</v>
          </cell>
        </row>
        <row r="85">
          <cell r="B85" t="str">
            <v>吴秀明</v>
          </cell>
          <cell r="C85" t="str">
            <v>生产部</v>
          </cell>
          <cell r="D85" t="str">
            <v>P1-2</v>
          </cell>
          <cell r="E85">
            <v>1800</v>
          </cell>
          <cell r="F85">
            <v>21</v>
          </cell>
          <cell r="G85">
            <v>1400</v>
          </cell>
          <cell r="H85">
            <v>400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1800</v>
          </cell>
          <cell r="O85">
            <v>151.3</v>
          </cell>
          <cell r="P85">
            <v>59.32</v>
          </cell>
          <cell r="Q85">
            <v>1589.38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210.62</v>
          </cell>
          <cell r="X85">
            <v>1589.38</v>
          </cell>
        </row>
        <row r="86">
          <cell r="B86" t="str">
            <v>林文华</v>
          </cell>
          <cell r="C86" t="str">
            <v>生产部</v>
          </cell>
          <cell r="D86" t="str">
            <v>P1-2</v>
          </cell>
          <cell r="E86">
            <v>2200</v>
          </cell>
          <cell r="F86" t="str">
            <v>22d4h20m</v>
          </cell>
          <cell r="G86">
            <v>1400</v>
          </cell>
          <cell r="H86">
            <v>800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2200</v>
          </cell>
          <cell r="O86">
            <v>151.3</v>
          </cell>
          <cell r="P86">
            <v>59.32</v>
          </cell>
          <cell r="Q86">
            <v>1989.38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210.62</v>
          </cell>
          <cell r="X86">
            <v>1989.38</v>
          </cell>
        </row>
        <row r="87">
          <cell r="B87" t="str">
            <v>张璐</v>
          </cell>
          <cell r="C87" t="str">
            <v>生产部</v>
          </cell>
          <cell r="D87" t="str">
            <v>P1-2</v>
          </cell>
          <cell r="E87">
            <v>2000</v>
          </cell>
          <cell r="F87" t="str">
            <v>21d4h</v>
          </cell>
          <cell r="G87">
            <v>1400</v>
          </cell>
          <cell r="H87">
            <v>600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2000</v>
          </cell>
          <cell r="O87">
            <v>151.3</v>
          </cell>
          <cell r="P87">
            <v>59.32</v>
          </cell>
          <cell r="Q87">
            <v>1789.38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210.62</v>
          </cell>
          <cell r="X87">
            <v>1789.38</v>
          </cell>
        </row>
        <row r="88">
          <cell r="B88" t="str">
            <v>阙冬娣</v>
          </cell>
          <cell r="C88" t="str">
            <v>生产部</v>
          </cell>
          <cell r="D88" t="str">
            <v>P1</v>
          </cell>
          <cell r="E88">
            <v>1700</v>
          </cell>
          <cell r="F88" t="str">
            <v>19d40m</v>
          </cell>
          <cell r="G88">
            <v>1400</v>
          </cell>
          <cell r="H88">
            <v>300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-270</v>
          </cell>
          <cell r="N88">
            <v>1430</v>
          </cell>
          <cell r="O88">
            <v>0</v>
          </cell>
          <cell r="P88">
            <v>0</v>
          </cell>
          <cell r="Q88">
            <v>1430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1430</v>
          </cell>
        </row>
        <row r="89">
          <cell r="B89" t="str">
            <v>张东兰</v>
          </cell>
          <cell r="C89" t="str">
            <v>生产部</v>
          </cell>
        </row>
        <row r="89">
          <cell r="E89">
            <v>1700</v>
          </cell>
          <cell r="F89" t="str">
            <v>20d7h</v>
          </cell>
          <cell r="G89">
            <v>1400</v>
          </cell>
          <cell r="H89">
            <v>300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1700</v>
          </cell>
          <cell r="O89">
            <v>151.3</v>
          </cell>
          <cell r="P89">
            <v>59.32</v>
          </cell>
          <cell r="Q89">
            <v>1489.38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210.62</v>
          </cell>
          <cell r="X89">
            <v>1489.38</v>
          </cell>
        </row>
        <row r="90">
          <cell r="B90" t="str">
            <v>余露露</v>
          </cell>
          <cell r="C90" t="str">
            <v>生产部</v>
          </cell>
        </row>
        <row r="90">
          <cell r="E90">
            <v>1700</v>
          </cell>
          <cell r="F90" t="str">
            <v>21d2h40m</v>
          </cell>
          <cell r="G90">
            <v>1400</v>
          </cell>
          <cell r="H90">
            <v>300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-52</v>
          </cell>
          <cell r="N90">
            <v>1648</v>
          </cell>
          <cell r="O90">
            <v>151.3</v>
          </cell>
          <cell r="P90">
            <v>59.32</v>
          </cell>
          <cell r="Q90">
            <v>1437.38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210.62</v>
          </cell>
          <cell r="X90">
            <v>1437.38</v>
          </cell>
        </row>
        <row r="91">
          <cell r="B91" t="str">
            <v>杨兴燕</v>
          </cell>
          <cell r="C91" t="str">
            <v>生产部</v>
          </cell>
        </row>
        <row r="91">
          <cell r="E91">
            <v>1800</v>
          </cell>
          <cell r="F91" t="str">
            <v>20d6h9m</v>
          </cell>
          <cell r="G91">
            <v>1400</v>
          </cell>
          <cell r="H91">
            <v>400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1800</v>
          </cell>
          <cell r="O91">
            <v>151.3</v>
          </cell>
          <cell r="P91">
            <v>59.32</v>
          </cell>
          <cell r="Q91">
            <v>1589.38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210.62</v>
          </cell>
          <cell r="X91">
            <v>1589.38</v>
          </cell>
        </row>
        <row r="92">
          <cell r="B92" t="str">
            <v>张玉华</v>
          </cell>
          <cell r="C92" t="str">
            <v>生产部</v>
          </cell>
        </row>
        <row r="92">
          <cell r="E92">
            <v>2000</v>
          </cell>
          <cell r="F92" t="str">
            <v>21d5h50m</v>
          </cell>
          <cell r="G92">
            <v>1400</v>
          </cell>
          <cell r="H92">
            <v>600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2000</v>
          </cell>
          <cell r="O92">
            <v>151.3</v>
          </cell>
          <cell r="P92">
            <v>59.32</v>
          </cell>
          <cell r="Q92">
            <v>1789.38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210.62</v>
          </cell>
          <cell r="X92">
            <v>1789.38</v>
          </cell>
        </row>
        <row r="93">
          <cell r="B93" t="str">
            <v>卢林娣</v>
          </cell>
          <cell r="C93" t="str">
            <v>生产部</v>
          </cell>
        </row>
        <row r="93">
          <cell r="E93">
            <v>1650</v>
          </cell>
          <cell r="F93" t="str">
            <v>23d1h</v>
          </cell>
          <cell r="G93">
            <v>1400</v>
          </cell>
          <cell r="H93">
            <v>250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1650</v>
          </cell>
          <cell r="O93">
            <v>151.3</v>
          </cell>
          <cell r="P93">
            <v>59.32</v>
          </cell>
          <cell r="Q93">
            <v>1439.38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210.62</v>
          </cell>
          <cell r="X93">
            <v>1439.38</v>
          </cell>
        </row>
        <row r="94">
          <cell r="B94" t="str">
            <v>阙杭林</v>
          </cell>
          <cell r="C94" t="str">
            <v>生产部</v>
          </cell>
          <cell r="D94" t="str">
            <v>M3-2</v>
          </cell>
          <cell r="E94">
            <v>2800</v>
          </cell>
          <cell r="F94" t="str">
            <v>21d6h10m</v>
          </cell>
          <cell r="G94">
            <v>1400</v>
          </cell>
          <cell r="H94">
            <v>1300</v>
          </cell>
          <cell r="I94">
            <v>100</v>
          </cell>
          <cell r="J94">
            <v>0</v>
          </cell>
          <cell r="K94">
            <v>0</v>
          </cell>
          <cell r="L94">
            <v>0</v>
          </cell>
          <cell r="M94">
            <v>-30</v>
          </cell>
          <cell r="N94">
            <v>2770</v>
          </cell>
          <cell r="O94">
            <v>151.3</v>
          </cell>
          <cell r="P94">
            <v>59.32</v>
          </cell>
          <cell r="Q94">
            <v>2559.38</v>
          </cell>
          <cell r="R94">
            <v>0</v>
          </cell>
          <cell r="S94">
            <v>30</v>
          </cell>
          <cell r="T94">
            <v>4.8</v>
          </cell>
          <cell r="U94">
            <v>21.58</v>
          </cell>
          <cell r="V94">
            <v>39</v>
          </cell>
          <cell r="W94">
            <v>306</v>
          </cell>
          <cell r="X94">
            <v>2464</v>
          </cell>
        </row>
        <row r="95">
          <cell r="B95" t="str">
            <v>张桂花</v>
          </cell>
          <cell r="C95" t="str">
            <v>生产部</v>
          </cell>
        </row>
        <row r="95">
          <cell r="E95">
            <v>1650</v>
          </cell>
          <cell r="F95" t="str">
            <v>20d4h13m</v>
          </cell>
          <cell r="G95">
            <v>1400</v>
          </cell>
          <cell r="H95">
            <v>250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1650</v>
          </cell>
          <cell r="O95">
            <v>151.3</v>
          </cell>
          <cell r="P95">
            <v>59.32</v>
          </cell>
          <cell r="Q95">
            <v>1439.38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210.62</v>
          </cell>
          <cell r="X95">
            <v>1439.38</v>
          </cell>
        </row>
        <row r="96">
          <cell r="B96" t="str">
            <v>谢幼珍</v>
          </cell>
          <cell r="C96" t="str">
            <v>生产部</v>
          </cell>
        </row>
        <row r="96">
          <cell r="E96">
            <v>1650</v>
          </cell>
          <cell r="F96" t="str">
            <v>19d4h20m</v>
          </cell>
          <cell r="G96">
            <v>1400</v>
          </cell>
          <cell r="H96">
            <v>250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-186</v>
          </cell>
          <cell r="N96">
            <v>1464</v>
          </cell>
          <cell r="O96">
            <v>151.3</v>
          </cell>
          <cell r="P96">
            <v>59.32</v>
          </cell>
          <cell r="Q96">
            <v>1253.38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210.62</v>
          </cell>
          <cell r="X96">
            <v>1253.38</v>
          </cell>
        </row>
        <row r="97">
          <cell r="B97" t="str">
            <v>郭文凌</v>
          </cell>
          <cell r="C97" t="str">
            <v>生产部</v>
          </cell>
        </row>
        <row r="97">
          <cell r="E97">
            <v>2000</v>
          </cell>
          <cell r="F97" t="str">
            <v>20d6h</v>
          </cell>
          <cell r="G97">
            <v>1400</v>
          </cell>
          <cell r="H97">
            <v>600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2000</v>
          </cell>
          <cell r="O97">
            <v>151.3</v>
          </cell>
          <cell r="P97">
            <v>59.32</v>
          </cell>
          <cell r="Q97">
            <v>1789.38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210.62</v>
          </cell>
          <cell r="X97">
            <v>1789.38</v>
          </cell>
        </row>
        <row r="98">
          <cell r="B98" t="str">
            <v>张秋林</v>
          </cell>
          <cell r="C98" t="str">
            <v>生产部</v>
          </cell>
        </row>
        <row r="98">
          <cell r="E98">
            <v>1700</v>
          </cell>
          <cell r="F98" t="str">
            <v>22d3h10m</v>
          </cell>
          <cell r="G98">
            <v>1400</v>
          </cell>
          <cell r="H98">
            <v>300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1700</v>
          </cell>
          <cell r="O98">
            <v>151.3</v>
          </cell>
          <cell r="P98">
            <v>59.32</v>
          </cell>
          <cell r="Q98">
            <v>1489.38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210.62</v>
          </cell>
          <cell r="X98">
            <v>1489.38</v>
          </cell>
        </row>
        <row r="99">
          <cell r="B99" t="str">
            <v>吴静文</v>
          </cell>
          <cell r="C99" t="str">
            <v>生产部</v>
          </cell>
        </row>
        <row r="99">
          <cell r="E99">
            <v>1600</v>
          </cell>
          <cell r="F99" t="str">
            <v>21d5h35m</v>
          </cell>
          <cell r="G99">
            <v>1400</v>
          </cell>
          <cell r="H99">
            <v>200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1600</v>
          </cell>
          <cell r="O99">
            <v>151.3</v>
          </cell>
          <cell r="P99">
            <v>59.32</v>
          </cell>
          <cell r="Q99">
            <v>1389.38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210.62</v>
          </cell>
          <cell r="X99">
            <v>1389.38</v>
          </cell>
        </row>
        <row r="100">
          <cell r="B100" t="str">
            <v>郑新华</v>
          </cell>
          <cell r="C100" t="str">
            <v>生产部</v>
          </cell>
        </row>
        <row r="100">
          <cell r="E100">
            <v>1600</v>
          </cell>
          <cell r="F100">
            <v>22</v>
          </cell>
          <cell r="G100">
            <v>1400</v>
          </cell>
          <cell r="H100">
            <v>200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1600</v>
          </cell>
          <cell r="O100">
            <v>151.3</v>
          </cell>
          <cell r="P100">
            <v>59.32</v>
          </cell>
          <cell r="Q100">
            <v>1389.38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210.62</v>
          </cell>
          <cell r="X100">
            <v>1389.38</v>
          </cell>
        </row>
        <row r="101">
          <cell r="B101" t="str">
            <v>陈榕</v>
          </cell>
          <cell r="C101" t="str">
            <v>生产部</v>
          </cell>
        </row>
        <row r="101">
          <cell r="E101">
            <v>1600</v>
          </cell>
          <cell r="F101" t="str">
            <v>21d4h20m</v>
          </cell>
          <cell r="G101">
            <v>1400</v>
          </cell>
          <cell r="H101">
            <v>200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1600</v>
          </cell>
          <cell r="O101">
            <v>151.3</v>
          </cell>
          <cell r="P101">
            <v>59.32</v>
          </cell>
          <cell r="Q101">
            <v>1389.38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210.62</v>
          </cell>
          <cell r="X101">
            <v>1389.38</v>
          </cell>
        </row>
        <row r="102">
          <cell r="B102" t="str">
            <v>陈加燕</v>
          </cell>
          <cell r="C102" t="str">
            <v>生产部</v>
          </cell>
        </row>
        <row r="102">
          <cell r="E102">
            <v>1600</v>
          </cell>
          <cell r="F102" t="str">
            <v>21d7h42m</v>
          </cell>
          <cell r="G102">
            <v>1400</v>
          </cell>
          <cell r="H102">
            <v>200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1600</v>
          </cell>
          <cell r="O102">
            <v>151.3</v>
          </cell>
          <cell r="P102">
            <v>59.32</v>
          </cell>
          <cell r="Q102">
            <v>1389.38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210.62</v>
          </cell>
          <cell r="X102">
            <v>1389.38</v>
          </cell>
        </row>
        <row r="103">
          <cell r="B103" t="str">
            <v>廖桂招</v>
          </cell>
          <cell r="C103" t="str">
            <v>生产部</v>
          </cell>
        </row>
        <row r="103">
          <cell r="E103">
            <v>1600</v>
          </cell>
          <cell r="F103" t="str">
            <v>22d</v>
          </cell>
          <cell r="G103">
            <v>1400</v>
          </cell>
          <cell r="H103">
            <v>200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1600</v>
          </cell>
          <cell r="O103">
            <v>151.3</v>
          </cell>
          <cell r="P103">
            <v>59.32</v>
          </cell>
          <cell r="Q103">
            <v>1389.38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210.62</v>
          </cell>
          <cell r="X103">
            <v>1389.38</v>
          </cell>
        </row>
        <row r="104">
          <cell r="B104" t="str">
            <v>廖利娟</v>
          </cell>
          <cell r="C104" t="str">
            <v>生产部</v>
          </cell>
        </row>
        <row r="104">
          <cell r="E104">
            <v>1600</v>
          </cell>
          <cell r="F104" t="str">
            <v>19d10m</v>
          </cell>
          <cell r="G104">
            <v>1400</v>
          </cell>
          <cell r="H104">
            <v>200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1600</v>
          </cell>
          <cell r="O104">
            <v>151.3</v>
          </cell>
          <cell r="P104">
            <v>59.32</v>
          </cell>
          <cell r="Q104">
            <v>1389.38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210.62</v>
          </cell>
          <cell r="X104">
            <v>1389.38</v>
          </cell>
        </row>
        <row r="105">
          <cell r="B105" t="str">
            <v>黄燕</v>
          </cell>
          <cell r="C105" t="str">
            <v>生产部</v>
          </cell>
        </row>
        <row r="105">
          <cell r="E105">
            <v>1600</v>
          </cell>
          <cell r="F105" t="str">
            <v>21d7h</v>
          </cell>
          <cell r="G105">
            <v>1400</v>
          </cell>
          <cell r="H105">
            <v>200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1600</v>
          </cell>
          <cell r="O105">
            <v>151.3</v>
          </cell>
          <cell r="P105">
            <v>59.32</v>
          </cell>
          <cell r="Q105">
            <v>1389.38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210.62</v>
          </cell>
          <cell r="X105">
            <v>1389.38</v>
          </cell>
        </row>
        <row r="106">
          <cell r="B106" t="str">
            <v>吴阿英</v>
          </cell>
          <cell r="C106" t="str">
            <v>生产部</v>
          </cell>
        </row>
        <row r="106">
          <cell r="E106">
            <v>1600</v>
          </cell>
          <cell r="F106" t="str">
            <v>22d5h</v>
          </cell>
          <cell r="G106">
            <v>1400</v>
          </cell>
          <cell r="H106">
            <v>200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1600</v>
          </cell>
          <cell r="O106">
            <v>151.3</v>
          </cell>
          <cell r="P106">
            <v>59.32</v>
          </cell>
          <cell r="Q106">
            <v>1389.38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210.62</v>
          </cell>
          <cell r="X106">
            <v>1389.38</v>
          </cell>
        </row>
        <row r="107">
          <cell r="B107" t="str">
            <v>钟琳</v>
          </cell>
          <cell r="C107" t="str">
            <v>生产部</v>
          </cell>
        </row>
        <row r="107">
          <cell r="E107">
            <v>1800</v>
          </cell>
          <cell r="F107" t="str">
            <v>16d7h</v>
          </cell>
          <cell r="G107">
            <v>1400</v>
          </cell>
          <cell r="H107">
            <v>400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-424</v>
          </cell>
          <cell r="N107">
            <v>1376</v>
          </cell>
          <cell r="O107">
            <v>151.3</v>
          </cell>
          <cell r="P107">
            <v>59.32</v>
          </cell>
          <cell r="Q107">
            <v>1165.38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210.62</v>
          </cell>
          <cell r="X107">
            <v>1165.38</v>
          </cell>
        </row>
        <row r="108">
          <cell r="B108" t="str">
            <v>李前进</v>
          </cell>
          <cell r="C108" t="str">
            <v>生产部</v>
          </cell>
        </row>
        <row r="108">
          <cell r="E108">
            <v>2000</v>
          </cell>
          <cell r="F108" t="str">
            <v>19d3h10m</v>
          </cell>
          <cell r="G108">
            <v>1400</v>
          </cell>
          <cell r="H108">
            <v>600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2000</v>
          </cell>
          <cell r="O108">
            <v>151.3</v>
          </cell>
          <cell r="P108">
            <v>59.32</v>
          </cell>
          <cell r="Q108">
            <v>1789.38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210.62</v>
          </cell>
          <cell r="X108">
            <v>1789.38</v>
          </cell>
        </row>
        <row r="109">
          <cell r="B109" t="str">
            <v>卢琴华</v>
          </cell>
          <cell r="C109" t="str">
            <v>生产部</v>
          </cell>
        </row>
        <row r="109">
          <cell r="E109">
            <v>1400</v>
          </cell>
          <cell r="F109" t="str">
            <v>21d5.5h</v>
          </cell>
          <cell r="G109">
            <v>1400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1400</v>
          </cell>
          <cell r="O109">
            <v>151.3</v>
          </cell>
          <cell r="P109">
            <v>59.32</v>
          </cell>
          <cell r="Q109">
            <v>1189.38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210.62</v>
          </cell>
          <cell r="X109">
            <v>1189.38</v>
          </cell>
        </row>
        <row r="110">
          <cell r="B110" t="str">
            <v>张秋连</v>
          </cell>
          <cell r="C110" t="str">
            <v>生产部</v>
          </cell>
        </row>
        <row r="110">
          <cell r="E110">
            <v>1400</v>
          </cell>
          <cell r="F110" t="str">
            <v>22d3h50m</v>
          </cell>
          <cell r="G110">
            <v>1400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-54</v>
          </cell>
          <cell r="N110">
            <v>1346</v>
          </cell>
          <cell r="O110">
            <v>151.3</v>
          </cell>
          <cell r="P110">
            <v>59.32</v>
          </cell>
          <cell r="Q110">
            <v>1135.38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210.62</v>
          </cell>
          <cell r="X110">
            <v>1135.38</v>
          </cell>
        </row>
        <row r="111">
          <cell r="B111" t="str">
            <v>刘永兵</v>
          </cell>
        </row>
        <row r="111">
          <cell r="E111">
            <v>8000</v>
          </cell>
          <cell r="F111" t="str">
            <v>23d1h</v>
          </cell>
          <cell r="G111">
            <v>1400</v>
          </cell>
          <cell r="H111">
            <v>6600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8000</v>
          </cell>
          <cell r="O111">
            <v>0</v>
          </cell>
          <cell r="P111">
            <v>0</v>
          </cell>
          <cell r="Q111">
            <v>8000</v>
          </cell>
          <cell r="R111">
            <v>345</v>
          </cell>
          <cell r="S111">
            <v>70</v>
          </cell>
          <cell r="T111">
            <v>1.73</v>
          </cell>
          <cell r="U111">
            <v>12.82</v>
          </cell>
          <cell r="V111">
            <v>39</v>
          </cell>
          <cell r="W111">
            <v>468.55</v>
          </cell>
          <cell r="X111">
            <v>7531.45</v>
          </cell>
        </row>
        <row r="112">
          <cell r="B112" t="str">
            <v>杨晓文</v>
          </cell>
        </row>
        <row r="112">
          <cell r="E112">
            <v>1400</v>
          </cell>
          <cell r="F112" t="str">
            <v>19d7h</v>
          </cell>
          <cell r="G112">
            <v>1400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-64</v>
          </cell>
          <cell r="N112">
            <v>1336</v>
          </cell>
          <cell r="O112">
            <v>0</v>
          </cell>
          <cell r="P112">
            <v>0</v>
          </cell>
          <cell r="Q112">
            <v>1336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1336</v>
          </cell>
        </row>
        <row r="113">
          <cell r="B113" t="str">
            <v>林晓春</v>
          </cell>
        </row>
        <row r="113">
          <cell r="E113">
            <v>1400</v>
          </cell>
          <cell r="F113" t="str">
            <v>21d3h20m</v>
          </cell>
          <cell r="G113">
            <v>1400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1400</v>
          </cell>
          <cell r="O113">
            <v>0</v>
          </cell>
          <cell r="P113">
            <v>0</v>
          </cell>
          <cell r="Q113">
            <v>1400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1400</v>
          </cell>
        </row>
        <row r="114">
          <cell r="B114" t="str">
            <v>小计</v>
          </cell>
        </row>
        <row r="114">
          <cell r="E114">
            <v>79950</v>
          </cell>
          <cell r="F114">
            <v>130</v>
          </cell>
          <cell r="G114">
            <v>50400</v>
          </cell>
          <cell r="H114">
            <v>27950</v>
          </cell>
          <cell r="I114">
            <v>1600</v>
          </cell>
          <cell r="J114">
            <v>0</v>
          </cell>
          <cell r="K114">
            <v>0</v>
          </cell>
          <cell r="L114">
            <v>0</v>
          </cell>
          <cell r="M114">
            <v>-1185</v>
          </cell>
          <cell r="N114">
            <v>78765</v>
          </cell>
          <cell r="O114">
            <v>4851.8</v>
          </cell>
          <cell r="P114">
            <v>1898.24</v>
          </cell>
          <cell r="Q114">
            <v>72014.96</v>
          </cell>
          <cell r="R114">
            <v>439.28</v>
          </cell>
          <cell r="S114">
            <v>250</v>
          </cell>
          <cell r="T114">
            <v>37.52</v>
          </cell>
          <cell r="U114">
            <v>261.41</v>
          </cell>
          <cell r="V114">
            <v>195</v>
          </cell>
          <cell r="W114">
            <v>7933.25</v>
          </cell>
          <cell r="X114">
            <v>70831.75</v>
          </cell>
        </row>
        <row r="116">
          <cell r="B116" t="str">
            <v>姓 名</v>
          </cell>
          <cell r="C116" t="str">
            <v>部门</v>
          </cell>
          <cell r="D116" t="str">
            <v>职序</v>
          </cell>
          <cell r="E116" t="str">
            <v>实际工资</v>
          </cell>
          <cell r="F116" t="str">
            <v>出勤天数</v>
          </cell>
          <cell r="G116" t="str">
            <v>基本工资</v>
          </cell>
          <cell r="H116" t="str">
            <v>职级津贴</v>
          </cell>
          <cell r="I116" t="str">
            <v>保密津贴</v>
          </cell>
          <cell r="J116" t="str">
            <v>绩效奖金</v>
          </cell>
          <cell r="K116" t="str">
            <v>岗位补贴</v>
          </cell>
          <cell r="L116" t="str">
            <v>其它</v>
          </cell>
          <cell r="M116" t="str">
            <v>考勤</v>
          </cell>
          <cell r="N116" t="str">
            <v>应发工资</v>
          </cell>
          <cell r="O116" t="str">
            <v>养老保险</v>
          </cell>
          <cell r="P116" t="str">
            <v>医疗保险</v>
          </cell>
          <cell r="Q116" t="str">
            <v>扣除保险合计</v>
          </cell>
          <cell r="R116" t="str">
            <v>个所税</v>
          </cell>
          <cell r="S116" t="str">
            <v>住宿费</v>
          </cell>
          <cell r="T116" t="str">
            <v>水费</v>
          </cell>
          <cell r="U116" t="str">
            <v>电费</v>
          </cell>
          <cell r="V116" t="str">
            <v>其它</v>
          </cell>
          <cell r="W116" t="str">
            <v>扣款合计</v>
          </cell>
          <cell r="X116" t="str">
            <v>实发工资</v>
          </cell>
          <cell r="Y116" t="str">
            <v>备注</v>
          </cell>
        </row>
        <row r="117">
          <cell r="B117" t="str">
            <v>卢仁先</v>
          </cell>
          <cell r="C117" t="str">
            <v>生产部</v>
          </cell>
          <cell r="D117" t="str">
            <v>M3-2</v>
          </cell>
          <cell r="E117">
            <v>3300</v>
          </cell>
          <cell r="F117" t="str">
            <v>21d1h20m</v>
          </cell>
          <cell r="G117">
            <v>1400</v>
          </cell>
          <cell r="H117">
            <v>1700</v>
          </cell>
          <cell r="I117">
            <v>200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3300</v>
          </cell>
          <cell r="O117">
            <v>151.3</v>
          </cell>
          <cell r="P117">
            <v>59.32</v>
          </cell>
          <cell r="Q117">
            <v>3089.38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210.62</v>
          </cell>
          <cell r="X117">
            <v>3089.38</v>
          </cell>
        </row>
        <row r="118">
          <cell r="B118" t="str">
            <v>卢秀春</v>
          </cell>
          <cell r="C118" t="str">
            <v>生产部</v>
          </cell>
          <cell r="D118" t="str">
            <v>P1-2</v>
          </cell>
          <cell r="E118">
            <v>1800</v>
          </cell>
          <cell r="F118">
            <v>22</v>
          </cell>
          <cell r="G118">
            <v>1400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1800</v>
          </cell>
          <cell r="O118">
            <v>151.3</v>
          </cell>
          <cell r="P118">
            <v>59.32</v>
          </cell>
          <cell r="Q118">
            <v>1589.38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210.62</v>
          </cell>
          <cell r="X118">
            <v>1589.38</v>
          </cell>
        </row>
        <row r="119">
          <cell r="B119" t="str">
            <v>李泓鑫</v>
          </cell>
          <cell r="C119" t="str">
            <v>生产部</v>
          </cell>
        </row>
        <row r="119">
          <cell r="E119">
            <v>2400</v>
          </cell>
          <cell r="F119">
            <v>22</v>
          </cell>
          <cell r="G119">
            <v>1400</v>
          </cell>
          <cell r="H119">
            <v>800</v>
          </cell>
          <cell r="I119">
            <v>200</v>
          </cell>
          <cell r="J119">
            <v>0</v>
          </cell>
          <cell r="K119">
            <v>60</v>
          </cell>
          <cell r="L119">
            <v>0</v>
          </cell>
          <cell r="M119">
            <v>0</v>
          </cell>
          <cell r="N119">
            <v>2460</v>
          </cell>
          <cell r="O119">
            <v>151.3</v>
          </cell>
          <cell r="P119">
            <v>59.32</v>
          </cell>
          <cell r="Q119">
            <v>2249.38</v>
          </cell>
          <cell r="R119">
            <v>0</v>
          </cell>
          <cell r="S119">
            <v>30</v>
          </cell>
          <cell r="T119">
            <v>0.86</v>
          </cell>
          <cell r="U119">
            <v>22.32</v>
          </cell>
          <cell r="V119">
            <v>19.5</v>
          </cell>
          <cell r="W119">
            <v>283.3</v>
          </cell>
          <cell r="X119">
            <v>2176.7</v>
          </cell>
        </row>
        <row r="120">
          <cell r="B120" t="str">
            <v>刘如意</v>
          </cell>
          <cell r="C120" t="str">
            <v>生产部</v>
          </cell>
        </row>
        <row r="120">
          <cell r="E120">
            <v>2000</v>
          </cell>
          <cell r="F120" t="str">
            <v>21d7.5h</v>
          </cell>
          <cell r="G120">
            <v>1400</v>
          </cell>
          <cell r="H120">
            <v>600</v>
          </cell>
          <cell r="I120">
            <v>0</v>
          </cell>
          <cell r="J120">
            <v>0</v>
          </cell>
          <cell r="K120">
            <v>180</v>
          </cell>
          <cell r="L120">
            <v>0</v>
          </cell>
          <cell r="M120">
            <v>0</v>
          </cell>
          <cell r="N120">
            <v>2180</v>
          </cell>
          <cell r="O120">
            <v>151.3</v>
          </cell>
          <cell r="P120">
            <v>59.32</v>
          </cell>
          <cell r="Q120">
            <v>1969.38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210.62</v>
          </cell>
          <cell r="X120">
            <v>1969.38</v>
          </cell>
        </row>
        <row r="121">
          <cell r="B121" t="str">
            <v>杨金华</v>
          </cell>
          <cell r="C121" t="str">
            <v>生产部</v>
          </cell>
        </row>
        <row r="121">
          <cell r="E121">
            <v>2100</v>
          </cell>
          <cell r="F121">
            <v>22</v>
          </cell>
          <cell r="G121">
            <v>1400</v>
          </cell>
          <cell r="H121">
            <v>600</v>
          </cell>
          <cell r="I121">
            <v>100</v>
          </cell>
          <cell r="J121">
            <v>0</v>
          </cell>
          <cell r="K121">
            <v>220</v>
          </cell>
          <cell r="L121">
            <v>0</v>
          </cell>
          <cell r="M121">
            <v>0</v>
          </cell>
          <cell r="N121">
            <v>2320</v>
          </cell>
          <cell r="O121">
            <v>151.3</v>
          </cell>
          <cell r="P121">
            <v>59.32</v>
          </cell>
          <cell r="Q121">
            <v>2109.38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210.62</v>
          </cell>
          <cell r="X121">
            <v>2109.38</v>
          </cell>
        </row>
        <row r="122">
          <cell r="B122" t="str">
            <v>张荣彩</v>
          </cell>
          <cell r="C122" t="str">
            <v>生产部</v>
          </cell>
        </row>
        <row r="122">
          <cell r="E122">
            <v>2000</v>
          </cell>
          <cell r="F122">
            <v>22</v>
          </cell>
          <cell r="G122">
            <v>1400</v>
          </cell>
          <cell r="H122">
            <v>600</v>
          </cell>
          <cell r="I122">
            <v>0</v>
          </cell>
          <cell r="J122">
            <v>0</v>
          </cell>
          <cell r="K122">
            <v>190</v>
          </cell>
          <cell r="L122">
            <v>0</v>
          </cell>
          <cell r="M122">
            <v>0</v>
          </cell>
          <cell r="N122">
            <v>2190</v>
          </cell>
          <cell r="O122">
            <v>151.3</v>
          </cell>
          <cell r="P122">
            <v>59.32</v>
          </cell>
          <cell r="Q122">
            <v>1979.38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210.62</v>
          </cell>
          <cell r="X122">
            <v>1979.38</v>
          </cell>
        </row>
        <row r="123">
          <cell r="B123" t="str">
            <v>苏利钦</v>
          </cell>
          <cell r="C123" t="str">
            <v>生产部</v>
          </cell>
        </row>
        <row r="123">
          <cell r="E123">
            <v>2000</v>
          </cell>
          <cell r="F123">
            <v>22</v>
          </cell>
          <cell r="G123">
            <v>1400</v>
          </cell>
          <cell r="H123">
            <v>600</v>
          </cell>
          <cell r="I123">
            <v>0</v>
          </cell>
          <cell r="J123">
            <v>0</v>
          </cell>
          <cell r="K123">
            <v>260</v>
          </cell>
          <cell r="L123">
            <v>0</v>
          </cell>
          <cell r="M123">
            <v>0</v>
          </cell>
          <cell r="N123">
            <v>2260</v>
          </cell>
          <cell r="O123">
            <v>151.3</v>
          </cell>
          <cell r="P123">
            <v>59.32</v>
          </cell>
          <cell r="Q123">
            <v>2049.38</v>
          </cell>
          <cell r="R123">
            <v>0</v>
          </cell>
          <cell r="S123">
            <v>30</v>
          </cell>
          <cell r="T123">
            <v>0.86</v>
          </cell>
          <cell r="U123">
            <v>22.32</v>
          </cell>
          <cell r="V123">
            <v>19.5</v>
          </cell>
          <cell r="W123">
            <v>283.3</v>
          </cell>
          <cell r="X123">
            <v>1976.7</v>
          </cell>
        </row>
        <row r="124">
          <cell r="B124" t="str">
            <v>小计</v>
          </cell>
        </row>
        <row r="124">
          <cell r="E124">
            <v>15600</v>
          </cell>
          <cell r="F124">
            <v>110</v>
          </cell>
          <cell r="G124">
            <v>9800</v>
          </cell>
          <cell r="H124">
            <v>5300</v>
          </cell>
          <cell r="I124">
            <v>500</v>
          </cell>
          <cell r="J124">
            <v>0</v>
          </cell>
          <cell r="K124">
            <v>910</v>
          </cell>
          <cell r="L124">
            <v>0</v>
          </cell>
          <cell r="M124">
            <v>0</v>
          </cell>
          <cell r="N124">
            <v>16510</v>
          </cell>
          <cell r="O124">
            <v>1059.1</v>
          </cell>
          <cell r="P124">
            <v>415.24</v>
          </cell>
          <cell r="Q124">
            <v>15035.66</v>
          </cell>
          <cell r="R124">
            <v>0</v>
          </cell>
          <cell r="S124">
            <v>60</v>
          </cell>
          <cell r="T124">
            <v>1.72</v>
          </cell>
          <cell r="U124">
            <v>44.64</v>
          </cell>
          <cell r="V124">
            <v>39</v>
          </cell>
          <cell r="W124">
            <v>1619.7</v>
          </cell>
          <cell r="X124">
            <v>14890.3</v>
          </cell>
        </row>
        <row r="125">
          <cell r="B125" t="str">
            <v>生产部</v>
          </cell>
        </row>
        <row r="125">
          <cell r="E125">
            <v>95550</v>
          </cell>
        </row>
        <row r="125">
          <cell r="G125">
            <v>60200</v>
          </cell>
          <cell r="H125">
            <v>33250</v>
          </cell>
          <cell r="I125">
            <v>2100</v>
          </cell>
          <cell r="J125">
            <v>0</v>
          </cell>
          <cell r="K125">
            <v>910</v>
          </cell>
          <cell r="L125">
            <v>0</v>
          </cell>
          <cell r="M125">
            <v>-1185</v>
          </cell>
          <cell r="N125">
            <v>95275</v>
          </cell>
          <cell r="O125">
            <v>5910.9</v>
          </cell>
          <cell r="P125">
            <v>2313.48</v>
          </cell>
          <cell r="Q125">
            <v>87050.62</v>
          </cell>
          <cell r="R125">
            <v>439.28</v>
          </cell>
          <cell r="S125">
            <v>310</v>
          </cell>
          <cell r="T125">
            <v>39.24</v>
          </cell>
          <cell r="U125">
            <v>306.05</v>
          </cell>
          <cell r="V125">
            <v>234</v>
          </cell>
          <cell r="W125">
            <v>9552.95</v>
          </cell>
          <cell r="X125">
            <v>85722.05</v>
          </cell>
        </row>
        <row r="127">
          <cell r="B127" t="str">
            <v>姓 名</v>
          </cell>
          <cell r="C127" t="str">
            <v>部门</v>
          </cell>
          <cell r="D127" t="str">
            <v>职序</v>
          </cell>
          <cell r="E127" t="str">
            <v>实际工资</v>
          </cell>
          <cell r="F127" t="str">
            <v>出勤天数</v>
          </cell>
          <cell r="G127" t="str">
            <v>基本工资</v>
          </cell>
          <cell r="H127" t="str">
            <v>职级津贴</v>
          </cell>
          <cell r="I127" t="str">
            <v>保密津贴</v>
          </cell>
          <cell r="J127" t="str">
            <v>绩效奖金</v>
          </cell>
          <cell r="K127" t="str">
            <v>岗位补贴</v>
          </cell>
          <cell r="L127" t="str">
            <v>其它</v>
          </cell>
          <cell r="M127" t="str">
            <v>考勤</v>
          </cell>
          <cell r="N127" t="str">
            <v>应发工资</v>
          </cell>
          <cell r="O127" t="str">
            <v>养老保险</v>
          </cell>
          <cell r="P127" t="str">
            <v>医疗保险</v>
          </cell>
          <cell r="Q127" t="str">
            <v>扣除保险合计</v>
          </cell>
          <cell r="R127" t="str">
            <v>个所税</v>
          </cell>
          <cell r="S127" t="str">
            <v>住宿费</v>
          </cell>
          <cell r="T127" t="str">
            <v>水费</v>
          </cell>
          <cell r="U127" t="str">
            <v>电费</v>
          </cell>
          <cell r="V127" t="str">
            <v>其它</v>
          </cell>
          <cell r="W127" t="str">
            <v>扣款合计</v>
          </cell>
          <cell r="X127" t="str">
            <v>实发工资</v>
          </cell>
          <cell r="Y127" t="str">
            <v>备注</v>
          </cell>
        </row>
        <row r="128">
          <cell r="B128" t="str">
            <v>邓佳兴</v>
          </cell>
          <cell r="C128" t="str">
            <v>财务部</v>
          </cell>
          <cell r="D128" t="str">
            <v>M4</v>
          </cell>
          <cell r="E128">
            <v>3200</v>
          </cell>
          <cell r="F128">
            <v>21.5</v>
          </cell>
          <cell r="G128">
            <v>1400</v>
          </cell>
          <cell r="H128">
            <v>1800</v>
          </cell>
          <cell r="I128">
            <v>0</v>
          </cell>
          <cell r="J128">
            <v>0</v>
          </cell>
          <cell r="K128">
            <v>0</v>
          </cell>
          <cell r="L128">
            <v>100</v>
          </cell>
          <cell r="M128">
            <v>-74</v>
          </cell>
          <cell r="N128">
            <v>3226</v>
          </cell>
          <cell r="O128">
            <v>151.3</v>
          </cell>
          <cell r="P128">
            <v>59.32</v>
          </cell>
          <cell r="Q128">
            <v>3015.38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210.62</v>
          </cell>
          <cell r="X128">
            <v>3015.38</v>
          </cell>
        </row>
        <row r="129">
          <cell r="B129" t="str">
            <v>吕文金</v>
          </cell>
          <cell r="C129" t="str">
            <v>财务部</v>
          </cell>
          <cell r="D129" t="str">
            <v>M2-3</v>
          </cell>
          <cell r="E129">
            <v>3610</v>
          </cell>
          <cell r="F129" t="str">
            <v>21d4.5h</v>
          </cell>
          <cell r="G129">
            <v>1400</v>
          </cell>
          <cell r="H129">
            <v>2010</v>
          </cell>
          <cell r="I129">
            <v>200</v>
          </cell>
          <cell r="J129">
            <v>0</v>
          </cell>
          <cell r="K129">
            <v>0</v>
          </cell>
          <cell r="L129">
            <v>150</v>
          </cell>
          <cell r="M129">
            <v>0</v>
          </cell>
          <cell r="N129">
            <v>3760</v>
          </cell>
          <cell r="O129">
            <v>161.5</v>
          </cell>
          <cell r="P129">
            <v>59.32</v>
          </cell>
          <cell r="Q129">
            <v>3539.18</v>
          </cell>
          <cell r="R129">
            <v>1.18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222</v>
          </cell>
          <cell r="X129">
            <v>3538</v>
          </cell>
          <cell r="Y129" t="str">
            <v> </v>
          </cell>
        </row>
        <row r="130">
          <cell r="B130" t="str">
            <v>杨菀滢</v>
          </cell>
          <cell r="C130" t="str">
            <v>财务部</v>
          </cell>
        </row>
        <row r="130">
          <cell r="E130">
            <v>2900</v>
          </cell>
          <cell r="F130">
            <v>21</v>
          </cell>
          <cell r="G130">
            <v>1400</v>
          </cell>
          <cell r="H130">
            <v>1500</v>
          </cell>
          <cell r="I130">
            <v>0</v>
          </cell>
          <cell r="J130">
            <v>0</v>
          </cell>
          <cell r="K130">
            <v>0</v>
          </cell>
          <cell r="L130">
            <v>100</v>
          </cell>
          <cell r="M130">
            <v>0</v>
          </cell>
          <cell r="N130">
            <v>3000</v>
          </cell>
          <cell r="O130">
            <v>151.3</v>
          </cell>
          <cell r="P130">
            <v>59.32</v>
          </cell>
          <cell r="Q130">
            <v>2789.38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210.62</v>
          </cell>
          <cell r="X130">
            <v>2789.38</v>
          </cell>
        </row>
        <row r="131">
          <cell r="B131" t="str">
            <v>廖振发</v>
          </cell>
          <cell r="C131" t="str">
            <v>财务部</v>
          </cell>
        </row>
        <row r="131">
          <cell r="E131">
            <v>3300</v>
          </cell>
          <cell r="F131">
            <v>20.5</v>
          </cell>
          <cell r="G131">
            <v>1400</v>
          </cell>
          <cell r="H131">
            <v>1900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-228</v>
          </cell>
          <cell r="N131">
            <v>3072</v>
          </cell>
          <cell r="O131">
            <v>151.3</v>
          </cell>
          <cell r="P131">
            <v>59.32</v>
          </cell>
          <cell r="Q131">
            <v>2861.38</v>
          </cell>
          <cell r="R131">
            <v>0</v>
          </cell>
          <cell r="S131">
            <v>50</v>
          </cell>
          <cell r="T131">
            <v>2.7</v>
          </cell>
          <cell r="U131">
            <v>24.4</v>
          </cell>
          <cell r="V131">
            <v>39</v>
          </cell>
          <cell r="W131">
            <v>326.72</v>
          </cell>
          <cell r="X131">
            <v>2745.28</v>
          </cell>
        </row>
        <row r="132">
          <cell r="B132" t="str">
            <v>财务部</v>
          </cell>
        </row>
        <row r="132">
          <cell r="E132">
            <v>13010</v>
          </cell>
        </row>
        <row r="132">
          <cell r="G132">
            <v>5600</v>
          </cell>
          <cell r="H132">
            <v>7210</v>
          </cell>
          <cell r="I132">
            <v>200</v>
          </cell>
          <cell r="J132">
            <v>0</v>
          </cell>
          <cell r="K132">
            <v>0</v>
          </cell>
          <cell r="L132">
            <v>350</v>
          </cell>
          <cell r="M132">
            <v>-302</v>
          </cell>
          <cell r="N132">
            <v>13058</v>
          </cell>
          <cell r="O132">
            <v>615.4</v>
          </cell>
          <cell r="P132">
            <v>237.28</v>
          </cell>
          <cell r="Q132">
            <v>12205.32</v>
          </cell>
          <cell r="R132">
            <v>1.18</v>
          </cell>
          <cell r="S132">
            <v>50</v>
          </cell>
          <cell r="T132">
            <v>2.7</v>
          </cell>
          <cell r="U132">
            <v>24.4</v>
          </cell>
          <cell r="V132">
            <v>39</v>
          </cell>
          <cell r="W132">
            <v>969.96</v>
          </cell>
          <cell r="X132">
            <v>12088.04</v>
          </cell>
        </row>
        <row r="134">
          <cell r="B134" t="str">
            <v>姓 名</v>
          </cell>
          <cell r="C134" t="str">
            <v>部门</v>
          </cell>
          <cell r="D134" t="str">
            <v>职序</v>
          </cell>
          <cell r="E134" t="str">
            <v>实际工资</v>
          </cell>
          <cell r="F134" t="str">
            <v>出勤天数</v>
          </cell>
          <cell r="G134" t="str">
            <v>基本工资</v>
          </cell>
          <cell r="H134" t="str">
            <v>职级津贴</v>
          </cell>
          <cell r="I134" t="str">
            <v>保密津贴</v>
          </cell>
          <cell r="J134" t="str">
            <v>绩效奖金</v>
          </cell>
          <cell r="K134" t="str">
            <v>岗位补贴</v>
          </cell>
          <cell r="L134" t="str">
            <v>其它</v>
          </cell>
          <cell r="M134" t="str">
            <v>考勤</v>
          </cell>
          <cell r="N134" t="str">
            <v>应发工资</v>
          </cell>
          <cell r="O134" t="str">
            <v>养老保险</v>
          </cell>
          <cell r="P134" t="str">
            <v>医疗保险</v>
          </cell>
          <cell r="Q134" t="str">
            <v>扣除保险合计</v>
          </cell>
          <cell r="R134" t="str">
            <v>个所税</v>
          </cell>
          <cell r="S134" t="str">
            <v>住宿费</v>
          </cell>
          <cell r="T134" t="str">
            <v>水费</v>
          </cell>
          <cell r="U134" t="str">
            <v>电费</v>
          </cell>
          <cell r="V134" t="str">
            <v>其它</v>
          </cell>
          <cell r="W134" t="str">
            <v>扣款合计</v>
          </cell>
          <cell r="X134" t="str">
            <v>实发工资</v>
          </cell>
          <cell r="Y134" t="str">
            <v>备注</v>
          </cell>
        </row>
        <row r="135">
          <cell r="B135" t="str">
            <v>陈翀</v>
          </cell>
          <cell r="C135" t="str">
            <v>采购部</v>
          </cell>
          <cell r="D135" t="str">
            <v>M4</v>
          </cell>
          <cell r="E135">
            <v>3400</v>
          </cell>
          <cell r="F135">
            <v>21</v>
          </cell>
          <cell r="G135">
            <v>1400</v>
          </cell>
          <cell r="H135">
            <v>1900</v>
          </cell>
          <cell r="I135">
            <v>100</v>
          </cell>
          <cell r="J135">
            <v>0</v>
          </cell>
          <cell r="K135">
            <v>0</v>
          </cell>
          <cell r="L135">
            <v>0</v>
          </cell>
          <cell r="M135">
            <v>-156</v>
          </cell>
          <cell r="N135">
            <v>3244</v>
          </cell>
          <cell r="O135">
            <v>161.5</v>
          </cell>
          <cell r="P135">
            <v>59.32</v>
          </cell>
          <cell r="Q135">
            <v>3023.18</v>
          </cell>
          <cell r="R135">
            <v>0</v>
          </cell>
          <cell r="S135">
            <v>70</v>
          </cell>
          <cell r="T135">
            <v>0.23</v>
          </cell>
          <cell r="U135">
            <v>3.58</v>
          </cell>
          <cell r="V135">
            <v>0</v>
          </cell>
          <cell r="W135">
            <v>294.63</v>
          </cell>
          <cell r="X135">
            <v>2949.37</v>
          </cell>
        </row>
        <row r="136">
          <cell r="B136" t="str">
            <v>胡良沁</v>
          </cell>
          <cell r="C136" t="str">
            <v>采购部</v>
          </cell>
        </row>
        <row r="136">
          <cell r="E136">
            <v>2700</v>
          </cell>
          <cell r="F136" t="str">
            <v>20d2h</v>
          </cell>
          <cell r="G136">
            <v>1400</v>
          </cell>
          <cell r="H136">
            <v>1200</v>
          </cell>
          <cell r="I136">
            <v>100</v>
          </cell>
          <cell r="J136">
            <v>0</v>
          </cell>
          <cell r="K136">
            <v>0</v>
          </cell>
          <cell r="L136">
            <v>0</v>
          </cell>
          <cell r="M136">
            <v>-217</v>
          </cell>
          <cell r="N136">
            <v>2483</v>
          </cell>
          <cell r="O136">
            <v>151.3</v>
          </cell>
          <cell r="P136">
            <v>59.32</v>
          </cell>
          <cell r="Q136">
            <v>2272.38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210.62</v>
          </cell>
          <cell r="X136">
            <v>2272.38</v>
          </cell>
        </row>
        <row r="137">
          <cell r="B137" t="str">
            <v>郭美银</v>
          </cell>
          <cell r="C137" t="str">
            <v>采购部</v>
          </cell>
        </row>
        <row r="137">
          <cell r="E137">
            <v>2100</v>
          </cell>
          <cell r="F137">
            <v>22</v>
          </cell>
          <cell r="G137">
            <v>1400</v>
          </cell>
          <cell r="H137">
            <v>700</v>
          </cell>
          <cell r="I137">
            <v>0</v>
          </cell>
          <cell r="J137">
            <v>0</v>
          </cell>
          <cell r="K137">
            <v>500</v>
          </cell>
          <cell r="L137">
            <v>0</v>
          </cell>
          <cell r="M137">
            <v>0</v>
          </cell>
          <cell r="N137">
            <v>2600</v>
          </cell>
          <cell r="O137">
            <v>151.3</v>
          </cell>
          <cell r="P137">
            <v>59.32</v>
          </cell>
          <cell r="Q137">
            <v>2389.38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210.62</v>
          </cell>
          <cell r="X137">
            <v>2389.38</v>
          </cell>
        </row>
        <row r="138">
          <cell r="B138" t="str">
            <v>采购部</v>
          </cell>
        </row>
        <row r="138">
          <cell r="E138">
            <v>8200</v>
          </cell>
        </row>
        <row r="138">
          <cell r="G138">
            <v>4200</v>
          </cell>
          <cell r="H138">
            <v>3800</v>
          </cell>
          <cell r="I138">
            <v>200</v>
          </cell>
          <cell r="J138">
            <v>0</v>
          </cell>
          <cell r="K138">
            <v>500</v>
          </cell>
          <cell r="L138">
            <v>0</v>
          </cell>
          <cell r="M138">
            <v>-373</v>
          </cell>
          <cell r="N138">
            <v>8327</v>
          </cell>
          <cell r="O138">
            <v>464.1</v>
          </cell>
          <cell r="P138">
            <v>177.96</v>
          </cell>
          <cell r="Q138">
            <v>7684.94</v>
          </cell>
          <cell r="R138">
            <v>0</v>
          </cell>
          <cell r="S138">
            <v>70</v>
          </cell>
          <cell r="T138">
            <v>0.23</v>
          </cell>
          <cell r="U138">
            <v>3.58</v>
          </cell>
          <cell r="V138">
            <v>0</v>
          </cell>
          <cell r="W138">
            <v>715.87</v>
          </cell>
          <cell r="X138">
            <v>7611.13</v>
          </cell>
        </row>
        <row r="140">
          <cell r="B140" t="str">
            <v>姓 名</v>
          </cell>
          <cell r="C140" t="str">
            <v>部门</v>
          </cell>
          <cell r="D140" t="str">
            <v>职</v>
          </cell>
          <cell r="E140" t="str">
            <v>实际</v>
          </cell>
          <cell r="F140" t="str">
            <v>出勤</v>
          </cell>
          <cell r="G140" t="str">
            <v>应发工资</v>
          </cell>
        </row>
        <row r="140">
          <cell r="O140" t="str">
            <v>代  扣  款</v>
          </cell>
        </row>
        <row r="141">
          <cell r="D141" t="str">
            <v>序</v>
          </cell>
          <cell r="E141" t="str">
            <v>工资</v>
          </cell>
          <cell r="F141" t="str">
            <v>天数</v>
          </cell>
          <cell r="G141" t="str">
            <v>基本工资</v>
          </cell>
          <cell r="H141" t="str">
            <v>职级津贴</v>
          </cell>
          <cell r="I141" t="str">
            <v>保密津贴</v>
          </cell>
          <cell r="J141" t="str">
            <v>生活补贴</v>
          </cell>
          <cell r="K141" t="str">
            <v>绩效奖金</v>
          </cell>
          <cell r="L141" t="str">
            <v>岗位补贴</v>
          </cell>
          <cell r="M141" t="str">
            <v>其它</v>
          </cell>
          <cell r="N141" t="str">
            <v>合计</v>
          </cell>
          <cell r="O141" t="str">
            <v>养老保险</v>
          </cell>
          <cell r="P141" t="str">
            <v>医疗保险</v>
          </cell>
          <cell r="Q141" t="str">
            <v>扣除保险合计</v>
          </cell>
          <cell r="R141" t="str">
            <v>个所税</v>
          </cell>
          <cell r="S141" t="str">
            <v>住宿费</v>
          </cell>
          <cell r="T141" t="str">
            <v>水费</v>
          </cell>
          <cell r="U141" t="str">
            <v>电费</v>
          </cell>
          <cell r="V141" t="str">
            <v>其它</v>
          </cell>
        </row>
        <row r="142">
          <cell r="B142" t="str">
            <v>武桂元</v>
          </cell>
        </row>
        <row r="142">
          <cell r="F142">
            <v>2000</v>
          </cell>
          <cell r="G142">
            <v>930</v>
          </cell>
          <cell r="H142">
            <v>2700</v>
          </cell>
          <cell r="I142">
            <v>600</v>
          </cell>
          <cell r="J142">
            <v>270</v>
          </cell>
          <cell r="K142">
            <v>0</v>
          </cell>
          <cell r="L142">
            <v>0</v>
          </cell>
          <cell r="M142">
            <v>0</v>
          </cell>
          <cell r="N142">
            <v>4500</v>
          </cell>
          <cell r="O142">
            <v>0</v>
          </cell>
          <cell r="P142">
            <v>0</v>
          </cell>
          <cell r="Q142">
            <v>4500</v>
          </cell>
          <cell r="R142">
            <v>30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</row>
        <row r="143">
          <cell r="B143" t="str">
            <v>魏桂萍</v>
          </cell>
        </row>
        <row r="143">
          <cell r="F143">
            <v>2000</v>
          </cell>
          <cell r="G143">
            <v>930</v>
          </cell>
          <cell r="H143">
            <v>2700</v>
          </cell>
          <cell r="I143">
            <v>600</v>
          </cell>
          <cell r="J143">
            <v>270</v>
          </cell>
          <cell r="K143">
            <v>0</v>
          </cell>
          <cell r="L143">
            <v>0</v>
          </cell>
          <cell r="M143">
            <v>0</v>
          </cell>
          <cell r="N143">
            <v>4500</v>
          </cell>
          <cell r="O143">
            <v>0</v>
          </cell>
          <cell r="P143">
            <v>0</v>
          </cell>
          <cell r="Q143">
            <v>4500</v>
          </cell>
          <cell r="R143">
            <v>30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B144" t="str">
            <v>杨静</v>
          </cell>
        </row>
        <row r="144">
          <cell r="F144">
            <v>2000</v>
          </cell>
          <cell r="G144">
            <v>930</v>
          </cell>
          <cell r="H144">
            <v>1700</v>
          </cell>
          <cell r="I144">
            <v>600</v>
          </cell>
          <cell r="J144">
            <v>270</v>
          </cell>
          <cell r="K144">
            <v>0</v>
          </cell>
          <cell r="L144">
            <v>0</v>
          </cell>
          <cell r="M144">
            <v>0</v>
          </cell>
          <cell r="N144">
            <v>3500</v>
          </cell>
          <cell r="O144">
            <v>0</v>
          </cell>
          <cell r="P144">
            <v>0</v>
          </cell>
          <cell r="Q144">
            <v>3500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B145" t="str">
            <v>综合部</v>
          </cell>
        </row>
        <row r="145">
          <cell r="E145">
            <v>0</v>
          </cell>
          <cell r="F145">
            <v>6000</v>
          </cell>
          <cell r="G145">
            <v>2790</v>
          </cell>
          <cell r="H145">
            <v>7100</v>
          </cell>
          <cell r="I145">
            <v>1800</v>
          </cell>
          <cell r="J145">
            <v>810</v>
          </cell>
          <cell r="K145">
            <v>0</v>
          </cell>
          <cell r="L145">
            <v>0</v>
          </cell>
          <cell r="M145">
            <v>0</v>
          </cell>
          <cell r="N145">
            <v>12500</v>
          </cell>
          <cell r="O145">
            <v>0</v>
          </cell>
          <cell r="P145">
            <v>0</v>
          </cell>
          <cell r="Q145">
            <v>12500</v>
          </cell>
          <cell r="R145">
            <v>60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收入成本预测表"/>
      <sheetName val="人员费用"/>
      <sheetName val="经营费用"/>
      <sheetName val="管理费用"/>
      <sheetName val="折旧和资本化支出"/>
      <sheetName val="税金及附加"/>
      <sheetName val="利润表"/>
      <sheetName val="营运资金测算"/>
      <sheetName val="资金筹措测算"/>
      <sheetName val="评估值测算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3">
          <cell r="D33">
            <v>7576.61</v>
          </cell>
          <cell r="E33">
            <v>7576.61</v>
          </cell>
          <cell r="F33">
            <v>13646.92</v>
          </cell>
          <cell r="G33">
            <v>14458.94</v>
          </cell>
          <cell r="H33">
            <v>14944.77</v>
          </cell>
          <cell r="I33">
            <v>15484.75</v>
          </cell>
        </row>
        <row r="43">
          <cell r="D43">
            <v>7079.86</v>
          </cell>
          <cell r="E43">
            <v>13646.92</v>
          </cell>
          <cell r="F43">
            <v>14458.94</v>
          </cell>
          <cell r="G43">
            <v>14944.77</v>
          </cell>
          <cell r="H43">
            <v>15484.75</v>
          </cell>
          <cell r="I43">
            <v>15484.75</v>
          </cell>
        </row>
      </sheetData>
      <sheetData sheetId="8" refreshError="1"/>
      <sheetData sheetId="9">
        <row r="8">
          <cell r="B8">
            <v>3604.03310623433</v>
          </cell>
          <cell r="C8">
            <v>4762.74662398715</v>
          </cell>
          <cell r="D8">
            <v>11176.0358748773</v>
          </cell>
          <cell r="E8">
            <v>11983.849325819</v>
          </cell>
          <cell r="F8">
            <v>12463.9991248566</v>
          </cell>
          <cell r="G8">
            <v>13003.9791248566</v>
          </cell>
        </row>
        <row r="18">
          <cell r="N18">
            <v>10317.616493</v>
          </cell>
        </row>
      </sheetData>
      <sheetData sheetId="10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页面"/>
      <sheetName val="目录"/>
      <sheetName val="1-汇总表"/>
      <sheetName val="2-分类汇总"/>
      <sheetName val="3-流动汇总"/>
      <sheetName val="表3-1货币汇总表"/>
      <sheetName val="3-1-1现金"/>
      <sheetName val="3-1-2银行存款"/>
      <sheetName val="3-1-3其他货币资金"/>
      <sheetName val="3-2交易性金融资产汇总"/>
      <sheetName val="3-2-1交易性-股票"/>
      <sheetName val="3-2-2交易性-债券"/>
      <sheetName val="3-2-3交易性-基金"/>
      <sheetName val="3-3应收票据"/>
      <sheetName val="3-4应收账款"/>
      <sheetName val="3-5预付账款"/>
      <sheetName val="3-6应收利息"/>
      <sheetName val="3-7应收股利"/>
      <sheetName val="3-8其他应收款"/>
      <sheetName val="3-9存货汇总"/>
      <sheetName val="3-9-1材料采购（在途物资）"/>
      <sheetName val="3-9-2原材料"/>
      <sheetName val="3-9-3在产品（自制半成品）"/>
      <sheetName val="3-9-4产成品（库存商品）"/>
      <sheetName val="3-9-5发出商品"/>
      <sheetName val="3-9-6委托加工物资"/>
      <sheetName val="3-9-7在库周转材料"/>
      <sheetName val="3-9-8在用周转材料"/>
      <sheetName val="表3-9-9在用低值易耗品"/>
      <sheetName val="3-9-10包装物"/>
      <sheetName val="3-10一年到期非流动资产"/>
      <sheetName val="3-11其他流动资产"/>
      <sheetName val="4-非流动资产汇总"/>
      <sheetName val="4-1可供出售金融资产汇总"/>
      <sheetName val="4-1-1可出售-股票"/>
      <sheetName val="4-1-2可出售-债券"/>
      <sheetName val="4-1-3可出售-基金"/>
      <sheetName val="4-2持有到期投资"/>
      <sheetName val="4-3长期应收"/>
      <sheetName val="4-4股权投资"/>
      <sheetName val="4-5投资性房地产汇总 "/>
      <sheetName val="4-5-1投资性房地产"/>
      <sheetName val="4-5-2投资性房地产"/>
      <sheetName val="4-5-3投资性地产"/>
      <sheetName val="4-5-4投资性地产"/>
      <sheetName val="4-6固定资产汇总"/>
      <sheetName val="4-6-1房屋建筑物"/>
      <sheetName val="4-6-2构筑物"/>
      <sheetName val="4-6-3管道沟槽"/>
      <sheetName val="4-6-4机器设备"/>
      <sheetName val="4-6-5车辆"/>
      <sheetName val="4-6-6电子设备"/>
      <sheetName val="4-7在建工程汇总"/>
      <sheetName val="4-7-1在建（土建）"/>
      <sheetName val="4-7-2在建（设备）"/>
      <sheetName val="4-8工程物资"/>
      <sheetName val="4-9固定资产清理"/>
      <sheetName val="4-10生产性生物资产"/>
      <sheetName val="4-11油气资产"/>
      <sheetName val="4-12无形资产汇总"/>
      <sheetName val="4-12-1无形-土地"/>
      <sheetName val="4-12-2无形-矿业权"/>
      <sheetName val="4-12-3无形-其他"/>
      <sheetName val="4-13开发支出"/>
      <sheetName val="4-14商誉"/>
      <sheetName val="4-15长期待摊费用"/>
      <sheetName val="4-16递延所得税资产"/>
      <sheetName val="4-17其他非流动资产"/>
      <sheetName val="5-流动负债汇总"/>
      <sheetName val="5-1短期借款"/>
      <sheetName val="5-2交易性金融负债"/>
      <sheetName val="5-3应付票据"/>
      <sheetName val="5-4应付账款"/>
      <sheetName val="5-5预收账款"/>
      <sheetName val="5-6职工薪酬"/>
      <sheetName val="5-7应交税费"/>
      <sheetName val="5-8应付利息"/>
      <sheetName val="5-9应付股利（利润）"/>
      <sheetName val="5-10其他应付款"/>
      <sheetName val="5-11一年到期非流动负债"/>
      <sheetName val="5-12其他流动负债"/>
      <sheetName val="6-非流动负债汇总 "/>
      <sheetName val="6-1长期借款"/>
      <sheetName val="6-2应付债券"/>
      <sheetName val="6-3长期应付款"/>
      <sheetName val="6-4专项应付款"/>
      <sheetName val="6-5预计负债"/>
      <sheetName val="6-6递延所得税负债"/>
      <sheetName val="6-7其他非流动负债"/>
    </sheetNames>
    <sheetDataSet>
      <sheetData sheetId="0"/>
      <sheetData sheetId="1"/>
      <sheetData sheetId="2">
        <row r="29">
          <cell r="C29">
            <v>9552.94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10" workbookViewId="0">
      <selection activeCell="B2" sqref="B2:C2"/>
    </sheetView>
  </sheetViews>
  <sheetFormatPr defaultColWidth="8.7" defaultRowHeight="12.75"/>
  <cols>
    <col min="1" max="1" width="13.8" style="1324" customWidth="1"/>
    <col min="2" max="2" width="19.2" style="1324" customWidth="1"/>
    <col min="3" max="3" width="65.7" style="1324" customWidth="1"/>
    <col min="4" max="4" width="9" style="1324" customWidth="1"/>
    <col min="5" max="5" width="5.8" style="1324" customWidth="1"/>
    <col min="6" max="32" width="9" style="1324" customWidth="1"/>
    <col min="33" max="256" width="8.7" style="1324"/>
    <col min="257" max="257" width="13.8" style="1324" customWidth="1"/>
    <col min="258" max="258" width="19.2" style="1324" customWidth="1"/>
    <col min="259" max="259" width="65.7" style="1324" customWidth="1"/>
    <col min="260" max="260" width="9" style="1324" customWidth="1"/>
    <col min="261" max="261" width="5.8" style="1324" customWidth="1"/>
    <col min="262" max="288" width="9" style="1324" customWidth="1"/>
    <col min="289" max="512" width="8.7" style="1324"/>
    <col min="513" max="513" width="13.8" style="1324" customWidth="1"/>
    <col min="514" max="514" width="19.2" style="1324" customWidth="1"/>
    <col min="515" max="515" width="65.7" style="1324" customWidth="1"/>
    <col min="516" max="516" width="9" style="1324" customWidth="1"/>
    <col min="517" max="517" width="5.8" style="1324" customWidth="1"/>
    <col min="518" max="544" width="9" style="1324" customWidth="1"/>
    <col min="545" max="768" width="8.7" style="1324"/>
    <col min="769" max="769" width="13.8" style="1324" customWidth="1"/>
    <col min="770" max="770" width="19.2" style="1324" customWidth="1"/>
    <col min="771" max="771" width="65.7" style="1324" customWidth="1"/>
    <col min="772" max="772" width="9" style="1324" customWidth="1"/>
    <col min="773" max="773" width="5.8" style="1324" customWidth="1"/>
    <col min="774" max="800" width="9" style="1324" customWidth="1"/>
    <col min="801" max="1024" width="8.7" style="1324"/>
    <col min="1025" max="1025" width="13.8" style="1324" customWidth="1"/>
    <col min="1026" max="1026" width="19.2" style="1324" customWidth="1"/>
    <col min="1027" max="1027" width="65.7" style="1324" customWidth="1"/>
    <col min="1028" max="1028" width="9" style="1324" customWidth="1"/>
    <col min="1029" max="1029" width="5.8" style="1324" customWidth="1"/>
    <col min="1030" max="1056" width="9" style="1324" customWidth="1"/>
    <col min="1057" max="1280" width="8.7" style="1324"/>
    <col min="1281" max="1281" width="13.8" style="1324" customWidth="1"/>
    <col min="1282" max="1282" width="19.2" style="1324" customWidth="1"/>
    <col min="1283" max="1283" width="65.7" style="1324" customWidth="1"/>
    <col min="1284" max="1284" width="9" style="1324" customWidth="1"/>
    <col min="1285" max="1285" width="5.8" style="1324" customWidth="1"/>
    <col min="1286" max="1312" width="9" style="1324" customWidth="1"/>
    <col min="1313" max="1536" width="8.7" style="1324"/>
    <col min="1537" max="1537" width="13.8" style="1324" customWidth="1"/>
    <col min="1538" max="1538" width="19.2" style="1324" customWidth="1"/>
    <col min="1539" max="1539" width="65.7" style="1324" customWidth="1"/>
    <col min="1540" max="1540" width="9" style="1324" customWidth="1"/>
    <col min="1541" max="1541" width="5.8" style="1324" customWidth="1"/>
    <col min="1542" max="1568" width="9" style="1324" customWidth="1"/>
    <col min="1569" max="1792" width="8.7" style="1324"/>
    <col min="1793" max="1793" width="13.8" style="1324" customWidth="1"/>
    <col min="1794" max="1794" width="19.2" style="1324" customWidth="1"/>
    <col min="1795" max="1795" width="65.7" style="1324" customWidth="1"/>
    <col min="1796" max="1796" width="9" style="1324" customWidth="1"/>
    <col min="1797" max="1797" width="5.8" style="1324" customWidth="1"/>
    <col min="1798" max="1824" width="9" style="1324" customWidth="1"/>
    <col min="1825" max="2048" width="8.7" style="1324"/>
    <col min="2049" max="2049" width="13.8" style="1324" customWidth="1"/>
    <col min="2050" max="2050" width="19.2" style="1324" customWidth="1"/>
    <col min="2051" max="2051" width="65.7" style="1324" customWidth="1"/>
    <col min="2052" max="2052" width="9" style="1324" customWidth="1"/>
    <col min="2053" max="2053" width="5.8" style="1324" customWidth="1"/>
    <col min="2054" max="2080" width="9" style="1324" customWidth="1"/>
    <col min="2081" max="2304" width="8.7" style="1324"/>
    <col min="2305" max="2305" width="13.8" style="1324" customWidth="1"/>
    <col min="2306" max="2306" width="19.2" style="1324" customWidth="1"/>
    <col min="2307" max="2307" width="65.7" style="1324" customWidth="1"/>
    <col min="2308" max="2308" width="9" style="1324" customWidth="1"/>
    <col min="2309" max="2309" width="5.8" style="1324" customWidth="1"/>
    <col min="2310" max="2336" width="9" style="1324" customWidth="1"/>
    <col min="2337" max="2560" width="8.7" style="1324"/>
    <col min="2561" max="2561" width="13.8" style="1324" customWidth="1"/>
    <col min="2562" max="2562" width="19.2" style="1324" customWidth="1"/>
    <col min="2563" max="2563" width="65.7" style="1324" customWidth="1"/>
    <col min="2564" max="2564" width="9" style="1324" customWidth="1"/>
    <col min="2565" max="2565" width="5.8" style="1324" customWidth="1"/>
    <col min="2566" max="2592" width="9" style="1324" customWidth="1"/>
    <col min="2593" max="2816" width="8.7" style="1324"/>
    <col min="2817" max="2817" width="13.8" style="1324" customWidth="1"/>
    <col min="2818" max="2818" width="19.2" style="1324" customWidth="1"/>
    <col min="2819" max="2819" width="65.7" style="1324" customWidth="1"/>
    <col min="2820" max="2820" width="9" style="1324" customWidth="1"/>
    <col min="2821" max="2821" width="5.8" style="1324" customWidth="1"/>
    <col min="2822" max="2848" width="9" style="1324" customWidth="1"/>
    <col min="2849" max="3072" width="8.7" style="1324"/>
    <col min="3073" max="3073" width="13.8" style="1324" customWidth="1"/>
    <col min="3074" max="3074" width="19.2" style="1324" customWidth="1"/>
    <col min="3075" max="3075" width="65.7" style="1324" customWidth="1"/>
    <col min="3076" max="3076" width="9" style="1324" customWidth="1"/>
    <col min="3077" max="3077" width="5.8" style="1324" customWidth="1"/>
    <col min="3078" max="3104" width="9" style="1324" customWidth="1"/>
    <col min="3105" max="3328" width="8.7" style="1324"/>
    <col min="3329" max="3329" width="13.8" style="1324" customWidth="1"/>
    <col min="3330" max="3330" width="19.2" style="1324" customWidth="1"/>
    <col min="3331" max="3331" width="65.7" style="1324" customWidth="1"/>
    <col min="3332" max="3332" width="9" style="1324" customWidth="1"/>
    <col min="3333" max="3333" width="5.8" style="1324" customWidth="1"/>
    <col min="3334" max="3360" width="9" style="1324" customWidth="1"/>
    <col min="3361" max="3584" width="8.7" style="1324"/>
    <col min="3585" max="3585" width="13.8" style="1324" customWidth="1"/>
    <col min="3586" max="3586" width="19.2" style="1324" customWidth="1"/>
    <col min="3587" max="3587" width="65.7" style="1324" customWidth="1"/>
    <col min="3588" max="3588" width="9" style="1324" customWidth="1"/>
    <col min="3589" max="3589" width="5.8" style="1324" customWidth="1"/>
    <col min="3590" max="3616" width="9" style="1324" customWidth="1"/>
    <col min="3617" max="3840" width="8.7" style="1324"/>
    <col min="3841" max="3841" width="13.8" style="1324" customWidth="1"/>
    <col min="3842" max="3842" width="19.2" style="1324" customWidth="1"/>
    <col min="3843" max="3843" width="65.7" style="1324" customWidth="1"/>
    <col min="3844" max="3844" width="9" style="1324" customWidth="1"/>
    <col min="3845" max="3845" width="5.8" style="1324" customWidth="1"/>
    <col min="3846" max="3872" width="9" style="1324" customWidth="1"/>
    <col min="3873" max="4096" width="8.7" style="1324"/>
    <col min="4097" max="4097" width="13.8" style="1324" customWidth="1"/>
    <col min="4098" max="4098" width="19.2" style="1324" customWidth="1"/>
    <col min="4099" max="4099" width="65.7" style="1324" customWidth="1"/>
    <col min="4100" max="4100" width="9" style="1324" customWidth="1"/>
    <col min="4101" max="4101" width="5.8" style="1324" customWidth="1"/>
    <col min="4102" max="4128" width="9" style="1324" customWidth="1"/>
    <col min="4129" max="4352" width="8.7" style="1324"/>
    <col min="4353" max="4353" width="13.8" style="1324" customWidth="1"/>
    <col min="4354" max="4354" width="19.2" style="1324" customWidth="1"/>
    <col min="4355" max="4355" width="65.7" style="1324" customWidth="1"/>
    <col min="4356" max="4356" width="9" style="1324" customWidth="1"/>
    <col min="4357" max="4357" width="5.8" style="1324" customWidth="1"/>
    <col min="4358" max="4384" width="9" style="1324" customWidth="1"/>
    <col min="4385" max="4608" width="8.7" style="1324"/>
    <col min="4609" max="4609" width="13.8" style="1324" customWidth="1"/>
    <col min="4610" max="4610" width="19.2" style="1324" customWidth="1"/>
    <col min="4611" max="4611" width="65.7" style="1324" customWidth="1"/>
    <col min="4612" max="4612" width="9" style="1324" customWidth="1"/>
    <col min="4613" max="4613" width="5.8" style="1324" customWidth="1"/>
    <col min="4614" max="4640" width="9" style="1324" customWidth="1"/>
    <col min="4641" max="4864" width="8.7" style="1324"/>
    <col min="4865" max="4865" width="13.8" style="1324" customWidth="1"/>
    <col min="4866" max="4866" width="19.2" style="1324" customWidth="1"/>
    <col min="4867" max="4867" width="65.7" style="1324" customWidth="1"/>
    <col min="4868" max="4868" width="9" style="1324" customWidth="1"/>
    <col min="4869" max="4869" width="5.8" style="1324" customWidth="1"/>
    <col min="4870" max="4896" width="9" style="1324" customWidth="1"/>
    <col min="4897" max="5120" width="8.7" style="1324"/>
    <col min="5121" max="5121" width="13.8" style="1324" customWidth="1"/>
    <col min="5122" max="5122" width="19.2" style="1324" customWidth="1"/>
    <col min="5123" max="5123" width="65.7" style="1324" customWidth="1"/>
    <col min="5124" max="5124" width="9" style="1324" customWidth="1"/>
    <col min="5125" max="5125" width="5.8" style="1324" customWidth="1"/>
    <col min="5126" max="5152" width="9" style="1324" customWidth="1"/>
    <col min="5153" max="5376" width="8.7" style="1324"/>
    <col min="5377" max="5377" width="13.8" style="1324" customWidth="1"/>
    <col min="5378" max="5378" width="19.2" style="1324" customWidth="1"/>
    <col min="5379" max="5379" width="65.7" style="1324" customWidth="1"/>
    <col min="5380" max="5380" width="9" style="1324" customWidth="1"/>
    <col min="5381" max="5381" width="5.8" style="1324" customWidth="1"/>
    <col min="5382" max="5408" width="9" style="1324" customWidth="1"/>
    <col min="5409" max="5632" width="8.7" style="1324"/>
    <col min="5633" max="5633" width="13.8" style="1324" customWidth="1"/>
    <col min="5634" max="5634" width="19.2" style="1324" customWidth="1"/>
    <col min="5635" max="5635" width="65.7" style="1324" customWidth="1"/>
    <col min="5636" max="5636" width="9" style="1324" customWidth="1"/>
    <col min="5637" max="5637" width="5.8" style="1324" customWidth="1"/>
    <col min="5638" max="5664" width="9" style="1324" customWidth="1"/>
    <col min="5665" max="5888" width="8.7" style="1324"/>
    <col min="5889" max="5889" width="13.8" style="1324" customWidth="1"/>
    <col min="5890" max="5890" width="19.2" style="1324" customWidth="1"/>
    <col min="5891" max="5891" width="65.7" style="1324" customWidth="1"/>
    <col min="5892" max="5892" width="9" style="1324" customWidth="1"/>
    <col min="5893" max="5893" width="5.8" style="1324" customWidth="1"/>
    <col min="5894" max="5920" width="9" style="1324" customWidth="1"/>
    <col min="5921" max="6144" width="8.7" style="1324"/>
    <col min="6145" max="6145" width="13.8" style="1324" customWidth="1"/>
    <col min="6146" max="6146" width="19.2" style="1324" customWidth="1"/>
    <col min="6147" max="6147" width="65.7" style="1324" customWidth="1"/>
    <col min="6148" max="6148" width="9" style="1324" customWidth="1"/>
    <col min="6149" max="6149" width="5.8" style="1324" customWidth="1"/>
    <col min="6150" max="6176" width="9" style="1324" customWidth="1"/>
    <col min="6177" max="6400" width="8.7" style="1324"/>
    <col min="6401" max="6401" width="13.8" style="1324" customWidth="1"/>
    <col min="6402" max="6402" width="19.2" style="1324" customWidth="1"/>
    <col min="6403" max="6403" width="65.7" style="1324" customWidth="1"/>
    <col min="6404" max="6404" width="9" style="1324" customWidth="1"/>
    <col min="6405" max="6405" width="5.8" style="1324" customWidth="1"/>
    <col min="6406" max="6432" width="9" style="1324" customWidth="1"/>
    <col min="6433" max="6656" width="8.7" style="1324"/>
    <col min="6657" max="6657" width="13.8" style="1324" customWidth="1"/>
    <col min="6658" max="6658" width="19.2" style="1324" customWidth="1"/>
    <col min="6659" max="6659" width="65.7" style="1324" customWidth="1"/>
    <col min="6660" max="6660" width="9" style="1324" customWidth="1"/>
    <col min="6661" max="6661" width="5.8" style="1324" customWidth="1"/>
    <col min="6662" max="6688" width="9" style="1324" customWidth="1"/>
    <col min="6689" max="6912" width="8.7" style="1324"/>
    <col min="6913" max="6913" width="13.8" style="1324" customWidth="1"/>
    <col min="6914" max="6914" width="19.2" style="1324" customWidth="1"/>
    <col min="6915" max="6915" width="65.7" style="1324" customWidth="1"/>
    <col min="6916" max="6916" width="9" style="1324" customWidth="1"/>
    <col min="6917" max="6917" width="5.8" style="1324" customWidth="1"/>
    <col min="6918" max="6944" width="9" style="1324" customWidth="1"/>
    <col min="6945" max="7168" width="8.7" style="1324"/>
    <col min="7169" max="7169" width="13.8" style="1324" customWidth="1"/>
    <col min="7170" max="7170" width="19.2" style="1324" customWidth="1"/>
    <col min="7171" max="7171" width="65.7" style="1324" customWidth="1"/>
    <col min="7172" max="7172" width="9" style="1324" customWidth="1"/>
    <col min="7173" max="7173" width="5.8" style="1324" customWidth="1"/>
    <col min="7174" max="7200" width="9" style="1324" customWidth="1"/>
    <col min="7201" max="7424" width="8.7" style="1324"/>
    <col min="7425" max="7425" width="13.8" style="1324" customWidth="1"/>
    <col min="7426" max="7426" width="19.2" style="1324" customWidth="1"/>
    <col min="7427" max="7427" width="65.7" style="1324" customWidth="1"/>
    <col min="7428" max="7428" width="9" style="1324" customWidth="1"/>
    <col min="7429" max="7429" width="5.8" style="1324" customWidth="1"/>
    <col min="7430" max="7456" width="9" style="1324" customWidth="1"/>
    <col min="7457" max="7680" width="8.7" style="1324"/>
    <col min="7681" max="7681" width="13.8" style="1324" customWidth="1"/>
    <col min="7682" max="7682" width="19.2" style="1324" customWidth="1"/>
    <col min="7683" max="7683" width="65.7" style="1324" customWidth="1"/>
    <col min="7684" max="7684" width="9" style="1324" customWidth="1"/>
    <col min="7685" max="7685" width="5.8" style="1324" customWidth="1"/>
    <col min="7686" max="7712" width="9" style="1324" customWidth="1"/>
    <col min="7713" max="7936" width="8.7" style="1324"/>
    <col min="7937" max="7937" width="13.8" style="1324" customWidth="1"/>
    <col min="7938" max="7938" width="19.2" style="1324" customWidth="1"/>
    <col min="7939" max="7939" width="65.7" style="1324" customWidth="1"/>
    <col min="7940" max="7940" width="9" style="1324" customWidth="1"/>
    <col min="7941" max="7941" width="5.8" style="1324" customWidth="1"/>
    <col min="7942" max="7968" width="9" style="1324" customWidth="1"/>
    <col min="7969" max="8192" width="8.7" style="1324"/>
    <col min="8193" max="8193" width="13.8" style="1324" customWidth="1"/>
    <col min="8194" max="8194" width="19.2" style="1324" customWidth="1"/>
    <col min="8195" max="8195" width="65.7" style="1324" customWidth="1"/>
    <col min="8196" max="8196" width="9" style="1324" customWidth="1"/>
    <col min="8197" max="8197" width="5.8" style="1324" customWidth="1"/>
    <col min="8198" max="8224" width="9" style="1324" customWidth="1"/>
    <col min="8225" max="8448" width="8.7" style="1324"/>
    <col min="8449" max="8449" width="13.8" style="1324" customWidth="1"/>
    <col min="8450" max="8450" width="19.2" style="1324" customWidth="1"/>
    <col min="8451" max="8451" width="65.7" style="1324" customWidth="1"/>
    <col min="8452" max="8452" width="9" style="1324" customWidth="1"/>
    <col min="8453" max="8453" width="5.8" style="1324" customWidth="1"/>
    <col min="8454" max="8480" width="9" style="1324" customWidth="1"/>
    <col min="8481" max="8704" width="8.7" style="1324"/>
    <col min="8705" max="8705" width="13.8" style="1324" customWidth="1"/>
    <col min="8706" max="8706" width="19.2" style="1324" customWidth="1"/>
    <col min="8707" max="8707" width="65.7" style="1324" customWidth="1"/>
    <col min="8708" max="8708" width="9" style="1324" customWidth="1"/>
    <col min="8709" max="8709" width="5.8" style="1324" customWidth="1"/>
    <col min="8710" max="8736" width="9" style="1324" customWidth="1"/>
    <col min="8737" max="8960" width="8.7" style="1324"/>
    <col min="8961" max="8961" width="13.8" style="1324" customWidth="1"/>
    <col min="8962" max="8962" width="19.2" style="1324" customWidth="1"/>
    <col min="8963" max="8963" width="65.7" style="1324" customWidth="1"/>
    <col min="8964" max="8964" width="9" style="1324" customWidth="1"/>
    <col min="8965" max="8965" width="5.8" style="1324" customWidth="1"/>
    <col min="8966" max="8992" width="9" style="1324" customWidth="1"/>
    <col min="8993" max="9216" width="8.7" style="1324"/>
    <col min="9217" max="9217" width="13.8" style="1324" customWidth="1"/>
    <col min="9218" max="9218" width="19.2" style="1324" customWidth="1"/>
    <col min="9219" max="9219" width="65.7" style="1324" customWidth="1"/>
    <col min="9220" max="9220" width="9" style="1324" customWidth="1"/>
    <col min="9221" max="9221" width="5.8" style="1324" customWidth="1"/>
    <col min="9222" max="9248" width="9" style="1324" customWidth="1"/>
    <col min="9249" max="9472" width="8.7" style="1324"/>
    <col min="9473" max="9473" width="13.8" style="1324" customWidth="1"/>
    <col min="9474" max="9474" width="19.2" style="1324" customWidth="1"/>
    <col min="9475" max="9475" width="65.7" style="1324" customWidth="1"/>
    <col min="9476" max="9476" width="9" style="1324" customWidth="1"/>
    <col min="9477" max="9477" width="5.8" style="1324" customWidth="1"/>
    <col min="9478" max="9504" width="9" style="1324" customWidth="1"/>
    <col min="9505" max="9728" width="8.7" style="1324"/>
    <col min="9729" max="9729" width="13.8" style="1324" customWidth="1"/>
    <col min="9730" max="9730" width="19.2" style="1324" customWidth="1"/>
    <col min="9731" max="9731" width="65.7" style="1324" customWidth="1"/>
    <col min="9732" max="9732" width="9" style="1324" customWidth="1"/>
    <col min="9733" max="9733" width="5.8" style="1324" customWidth="1"/>
    <col min="9734" max="9760" width="9" style="1324" customWidth="1"/>
    <col min="9761" max="9984" width="8.7" style="1324"/>
    <col min="9985" max="9985" width="13.8" style="1324" customWidth="1"/>
    <col min="9986" max="9986" width="19.2" style="1324" customWidth="1"/>
    <col min="9987" max="9987" width="65.7" style="1324" customWidth="1"/>
    <col min="9988" max="9988" width="9" style="1324" customWidth="1"/>
    <col min="9989" max="9989" width="5.8" style="1324" customWidth="1"/>
    <col min="9990" max="10016" width="9" style="1324" customWidth="1"/>
    <col min="10017" max="10240" width="8.7" style="1324"/>
    <col min="10241" max="10241" width="13.8" style="1324" customWidth="1"/>
    <col min="10242" max="10242" width="19.2" style="1324" customWidth="1"/>
    <col min="10243" max="10243" width="65.7" style="1324" customWidth="1"/>
    <col min="10244" max="10244" width="9" style="1324" customWidth="1"/>
    <col min="10245" max="10245" width="5.8" style="1324" customWidth="1"/>
    <col min="10246" max="10272" width="9" style="1324" customWidth="1"/>
    <col min="10273" max="10496" width="8.7" style="1324"/>
    <col min="10497" max="10497" width="13.8" style="1324" customWidth="1"/>
    <col min="10498" max="10498" width="19.2" style="1324" customWidth="1"/>
    <col min="10499" max="10499" width="65.7" style="1324" customWidth="1"/>
    <col min="10500" max="10500" width="9" style="1324" customWidth="1"/>
    <col min="10501" max="10501" width="5.8" style="1324" customWidth="1"/>
    <col min="10502" max="10528" width="9" style="1324" customWidth="1"/>
    <col min="10529" max="10752" width="8.7" style="1324"/>
    <col min="10753" max="10753" width="13.8" style="1324" customWidth="1"/>
    <col min="10754" max="10754" width="19.2" style="1324" customWidth="1"/>
    <col min="10755" max="10755" width="65.7" style="1324" customWidth="1"/>
    <col min="10756" max="10756" width="9" style="1324" customWidth="1"/>
    <col min="10757" max="10757" width="5.8" style="1324" customWidth="1"/>
    <col min="10758" max="10784" width="9" style="1324" customWidth="1"/>
    <col min="10785" max="11008" width="8.7" style="1324"/>
    <col min="11009" max="11009" width="13.8" style="1324" customWidth="1"/>
    <col min="11010" max="11010" width="19.2" style="1324" customWidth="1"/>
    <col min="11011" max="11011" width="65.7" style="1324" customWidth="1"/>
    <col min="11012" max="11012" width="9" style="1324" customWidth="1"/>
    <col min="11013" max="11013" width="5.8" style="1324" customWidth="1"/>
    <col min="11014" max="11040" width="9" style="1324" customWidth="1"/>
    <col min="11041" max="11264" width="8.7" style="1324"/>
    <col min="11265" max="11265" width="13.8" style="1324" customWidth="1"/>
    <col min="11266" max="11266" width="19.2" style="1324" customWidth="1"/>
    <col min="11267" max="11267" width="65.7" style="1324" customWidth="1"/>
    <col min="11268" max="11268" width="9" style="1324" customWidth="1"/>
    <col min="11269" max="11269" width="5.8" style="1324" customWidth="1"/>
    <col min="11270" max="11296" width="9" style="1324" customWidth="1"/>
    <col min="11297" max="11520" width="8.7" style="1324"/>
    <col min="11521" max="11521" width="13.8" style="1324" customWidth="1"/>
    <col min="11522" max="11522" width="19.2" style="1324" customWidth="1"/>
    <col min="11523" max="11523" width="65.7" style="1324" customWidth="1"/>
    <col min="11524" max="11524" width="9" style="1324" customWidth="1"/>
    <col min="11525" max="11525" width="5.8" style="1324" customWidth="1"/>
    <col min="11526" max="11552" width="9" style="1324" customWidth="1"/>
    <col min="11553" max="11776" width="8.7" style="1324"/>
    <col min="11777" max="11777" width="13.8" style="1324" customWidth="1"/>
    <col min="11778" max="11778" width="19.2" style="1324" customWidth="1"/>
    <col min="11779" max="11779" width="65.7" style="1324" customWidth="1"/>
    <col min="11780" max="11780" width="9" style="1324" customWidth="1"/>
    <col min="11781" max="11781" width="5.8" style="1324" customWidth="1"/>
    <col min="11782" max="11808" width="9" style="1324" customWidth="1"/>
    <col min="11809" max="12032" width="8.7" style="1324"/>
    <col min="12033" max="12033" width="13.8" style="1324" customWidth="1"/>
    <col min="12034" max="12034" width="19.2" style="1324" customWidth="1"/>
    <col min="12035" max="12035" width="65.7" style="1324" customWidth="1"/>
    <col min="12036" max="12036" width="9" style="1324" customWidth="1"/>
    <col min="12037" max="12037" width="5.8" style="1324" customWidth="1"/>
    <col min="12038" max="12064" width="9" style="1324" customWidth="1"/>
    <col min="12065" max="12288" width="8.7" style="1324"/>
    <col min="12289" max="12289" width="13.8" style="1324" customWidth="1"/>
    <col min="12290" max="12290" width="19.2" style="1324" customWidth="1"/>
    <col min="12291" max="12291" width="65.7" style="1324" customWidth="1"/>
    <col min="12292" max="12292" width="9" style="1324" customWidth="1"/>
    <col min="12293" max="12293" width="5.8" style="1324" customWidth="1"/>
    <col min="12294" max="12320" width="9" style="1324" customWidth="1"/>
    <col min="12321" max="12544" width="8.7" style="1324"/>
    <col min="12545" max="12545" width="13.8" style="1324" customWidth="1"/>
    <col min="12546" max="12546" width="19.2" style="1324" customWidth="1"/>
    <col min="12547" max="12547" width="65.7" style="1324" customWidth="1"/>
    <col min="12548" max="12548" width="9" style="1324" customWidth="1"/>
    <col min="12549" max="12549" width="5.8" style="1324" customWidth="1"/>
    <col min="12550" max="12576" width="9" style="1324" customWidth="1"/>
    <col min="12577" max="12800" width="8.7" style="1324"/>
    <col min="12801" max="12801" width="13.8" style="1324" customWidth="1"/>
    <col min="12802" max="12802" width="19.2" style="1324" customWidth="1"/>
    <col min="12803" max="12803" width="65.7" style="1324" customWidth="1"/>
    <col min="12804" max="12804" width="9" style="1324" customWidth="1"/>
    <col min="12805" max="12805" width="5.8" style="1324" customWidth="1"/>
    <col min="12806" max="12832" width="9" style="1324" customWidth="1"/>
    <col min="12833" max="13056" width="8.7" style="1324"/>
    <col min="13057" max="13057" width="13.8" style="1324" customWidth="1"/>
    <col min="13058" max="13058" width="19.2" style="1324" customWidth="1"/>
    <col min="13059" max="13059" width="65.7" style="1324" customWidth="1"/>
    <col min="13060" max="13060" width="9" style="1324" customWidth="1"/>
    <col min="13061" max="13061" width="5.8" style="1324" customWidth="1"/>
    <col min="13062" max="13088" width="9" style="1324" customWidth="1"/>
    <col min="13089" max="13312" width="8.7" style="1324"/>
    <col min="13313" max="13313" width="13.8" style="1324" customWidth="1"/>
    <col min="13314" max="13314" width="19.2" style="1324" customWidth="1"/>
    <col min="13315" max="13315" width="65.7" style="1324" customWidth="1"/>
    <col min="13316" max="13316" width="9" style="1324" customWidth="1"/>
    <col min="13317" max="13317" width="5.8" style="1324" customWidth="1"/>
    <col min="13318" max="13344" width="9" style="1324" customWidth="1"/>
    <col min="13345" max="13568" width="8.7" style="1324"/>
    <col min="13569" max="13569" width="13.8" style="1324" customWidth="1"/>
    <col min="13570" max="13570" width="19.2" style="1324" customWidth="1"/>
    <col min="13571" max="13571" width="65.7" style="1324" customWidth="1"/>
    <col min="13572" max="13572" width="9" style="1324" customWidth="1"/>
    <col min="13573" max="13573" width="5.8" style="1324" customWidth="1"/>
    <col min="13574" max="13600" width="9" style="1324" customWidth="1"/>
    <col min="13601" max="13824" width="8.7" style="1324"/>
    <col min="13825" max="13825" width="13.8" style="1324" customWidth="1"/>
    <col min="13826" max="13826" width="19.2" style="1324" customWidth="1"/>
    <col min="13827" max="13827" width="65.7" style="1324" customWidth="1"/>
    <col min="13828" max="13828" width="9" style="1324" customWidth="1"/>
    <col min="13829" max="13829" width="5.8" style="1324" customWidth="1"/>
    <col min="13830" max="13856" width="9" style="1324" customWidth="1"/>
    <col min="13857" max="14080" width="8.7" style="1324"/>
    <col min="14081" max="14081" width="13.8" style="1324" customWidth="1"/>
    <col min="14082" max="14082" width="19.2" style="1324" customWidth="1"/>
    <col min="14083" max="14083" width="65.7" style="1324" customWidth="1"/>
    <col min="14084" max="14084" width="9" style="1324" customWidth="1"/>
    <col min="14085" max="14085" width="5.8" style="1324" customWidth="1"/>
    <col min="14086" max="14112" width="9" style="1324" customWidth="1"/>
    <col min="14113" max="14336" width="8.7" style="1324"/>
    <col min="14337" max="14337" width="13.8" style="1324" customWidth="1"/>
    <col min="14338" max="14338" width="19.2" style="1324" customWidth="1"/>
    <col min="14339" max="14339" width="65.7" style="1324" customWidth="1"/>
    <col min="14340" max="14340" width="9" style="1324" customWidth="1"/>
    <col min="14341" max="14341" width="5.8" style="1324" customWidth="1"/>
    <col min="14342" max="14368" width="9" style="1324" customWidth="1"/>
    <col min="14369" max="14592" width="8.7" style="1324"/>
    <col min="14593" max="14593" width="13.8" style="1324" customWidth="1"/>
    <col min="14594" max="14594" width="19.2" style="1324" customWidth="1"/>
    <col min="14595" max="14595" width="65.7" style="1324" customWidth="1"/>
    <col min="14596" max="14596" width="9" style="1324" customWidth="1"/>
    <col min="14597" max="14597" width="5.8" style="1324" customWidth="1"/>
    <col min="14598" max="14624" width="9" style="1324" customWidth="1"/>
    <col min="14625" max="14848" width="8.7" style="1324"/>
    <col min="14849" max="14849" width="13.8" style="1324" customWidth="1"/>
    <col min="14850" max="14850" width="19.2" style="1324" customWidth="1"/>
    <col min="14851" max="14851" width="65.7" style="1324" customWidth="1"/>
    <col min="14852" max="14852" width="9" style="1324" customWidth="1"/>
    <col min="14853" max="14853" width="5.8" style="1324" customWidth="1"/>
    <col min="14854" max="14880" width="9" style="1324" customWidth="1"/>
    <col min="14881" max="15104" width="8.7" style="1324"/>
    <col min="15105" max="15105" width="13.8" style="1324" customWidth="1"/>
    <col min="15106" max="15106" width="19.2" style="1324" customWidth="1"/>
    <col min="15107" max="15107" width="65.7" style="1324" customWidth="1"/>
    <col min="15108" max="15108" width="9" style="1324" customWidth="1"/>
    <col min="15109" max="15109" width="5.8" style="1324" customWidth="1"/>
    <col min="15110" max="15136" width="9" style="1324" customWidth="1"/>
    <col min="15137" max="15360" width="8.7" style="1324"/>
    <col min="15361" max="15361" width="13.8" style="1324" customWidth="1"/>
    <col min="15362" max="15362" width="19.2" style="1324" customWidth="1"/>
    <col min="15363" max="15363" width="65.7" style="1324" customWidth="1"/>
    <col min="15364" max="15364" width="9" style="1324" customWidth="1"/>
    <col min="15365" max="15365" width="5.8" style="1324" customWidth="1"/>
    <col min="15366" max="15392" width="9" style="1324" customWidth="1"/>
    <col min="15393" max="15616" width="8.7" style="1324"/>
    <col min="15617" max="15617" width="13.8" style="1324" customWidth="1"/>
    <col min="15618" max="15618" width="19.2" style="1324" customWidth="1"/>
    <col min="15619" max="15619" width="65.7" style="1324" customWidth="1"/>
    <col min="15620" max="15620" width="9" style="1324" customWidth="1"/>
    <col min="15621" max="15621" width="5.8" style="1324" customWidth="1"/>
    <col min="15622" max="15648" width="9" style="1324" customWidth="1"/>
    <col min="15649" max="15872" width="8.7" style="1324"/>
    <col min="15873" max="15873" width="13.8" style="1324" customWidth="1"/>
    <col min="15874" max="15874" width="19.2" style="1324" customWidth="1"/>
    <col min="15875" max="15875" width="65.7" style="1324" customWidth="1"/>
    <col min="15876" max="15876" width="9" style="1324" customWidth="1"/>
    <col min="15877" max="15877" width="5.8" style="1324" customWidth="1"/>
    <col min="15878" max="15904" width="9" style="1324" customWidth="1"/>
    <col min="15905" max="16128" width="8.7" style="1324"/>
    <col min="16129" max="16129" width="13.8" style="1324" customWidth="1"/>
    <col min="16130" max="16130" width="19.2" style="1324" customWidth="1"/>
    <col min="16131" max="16131" width="65.7" style="1324" customWidth="1"/>
    <col min="16132" max="16132" width="9" style="1324" customWidth="1"/>
    <col min="16133" max="16133" width="5.8" style="1324" customWidth="1"/>
    <col min="16134" max="16160" width="9" style="1324" customWidth="1"/>
    <col min="16161" max="16384" width="8.7" style="1324"/>
  </cols>
  <sheetData>
    <row r="1" ht="39.75" customHeight="1" spans="1:12">
      <c r="A1" s="1325" t="s">
        <v>0</v>
      </c>
      <c r="B1" s="1326"/>
      <c r="C1" s="1327"/>
      <c r="D1" s="1328"/>
      <c r="E1" s="1328"/>
      <c r="F1" s="1328"/>
      <c r="G1" s="1328"/>
      <c r="H1" s="1328"/>
      <c r="I1" s="1328"/>
      <c r="J1" s="1328"/>
      <c r="K1" s="1328"/>
      <c r="L1" s="1328"/>
    </row>
    <row r="2" s="1323" customFormat="1" ht="29.25" customHeight="1" spans="1:12">
      <c r="A2" s="1329">
        <v>1</v>
      </c>
      <c r="B2" s="1330" t="s">
        <v>1</v>
      </c>
      <c r="C2" s="1331"/>
      <c r="D2" s="1328"/>
      <c r="E2" s="1328"/>
      <c r="F2" s="1328"/>
      <c r="G2" s="1328"/>
      <c r="H2" s="1328"/>
      <c r="I2" s="1328"/>
      <c r="J2" s="1328"/>
      <c r="K2" s="1328"/>
      <c r="L2" s="1328"/>
    </row>
    <row r="3" s="1323" customFormat="1" ht="23.25" customHeight="1" spans="1:12">
      <c r="A3" s="1329">
        <v>2</v>
      </c>
      <c r="B3" s="1332" t="s">
        <v>2</v>
      </c>
      <c r="C3" s="1333" t="s">
        <v>3</v>
      </c>
      <c r="D3" s="1328"/>
      <c r="E3" s="1328"/>
      <c r="F3" s="1328"/>
      <c r="G3" s="1328"/>
      <c r="H3" s="1328"/>
      <c r="I3" s="1328"/>
      <c r="J3" s="1328"/>
      <c r="K3" s="1328"/>
      <c r="L3" s="1328"/>
    </row>
    <row r="4" s="1323" customFormat="1" ht="23.25" customHeight="1" spans="1:12">
      <c r="A4" s="1329">
        <v>3</v>
      </c>
      <c r="B4" s="1332" t="s">
        <v>4</v>
      </c>
      <c r="C4" s="1334" t="s">
        <v>5</v>
      </c>
      <c r="D4" s="1328"/>
      <c r="E4" s="1328"/>
      <c r="F4" s="1328"/>
      <c r="G4" s="1328"/>
      <c r="H4" s="1328"/>
      <c r="I4" s="1328"/>
      <c r="J4" s="1328"/>
      <c r="K4" s="1328"/>
      <c r="L4" s="1328"/>
    </row>
    <row r="5" s="1323" customFormat="1" ht="23.25" customHeight="1" spans="1:12">
      <c r="A5" s="1329">
        <v>4</v>
      </c>
      <c r="B5" s="1332" t="s">
        <v>6</v>
      </c>
      <c r="C5" s="1334" t="s">
        <v>7</v>
      </c>
      <c r="D5" s="1328"/>
      <c r="E5" s="1328"/>
      <c r="F5" s="1328"/>
      <c r="G5" s="1328"/>
      <c r="H5" s="1328"/>
      <c r="I5" s="1328"/>
      <c r="J5" s="1328"/>
      <c r="K5" s="1328"/>
      <c r="L5" s="1328"/>
    </row>
    <row r="6" s="1323" customFormat="1" ht="23.25" customHeight="1" spans="1:12">
      <c r="A6" s="1329">
        <v>5</v>
      </c>
      <c r="B6" s="1332" t="s">
        <v>8</v>
      </c>
      <c r="C6" s="1334" t="s">
        <v>7</v>
      </c>
      <c r="D6" s="1328"/>
      <c r="E6" s="1328"/>
      <c r="F6" s="1328"/>
      <c r="G6" s="1328"/>
      <c r="H6" s="1328"/>
      <c r="I6" s="1328"/>
      <c r="J6" s="1328"/>
      <c r="K6" s="1328"/>
      <c r="L6" s="1328"/>
    </row>
    <row r="7" s="1323" customFormat="1" ht="23.25" customHeight="1" spans="1:12">
      <c r="A7" s="1329">
        <v>6</v>
      </c>
      <c r="B7" s="1335" t="s">
        <v>9</v>
      </c>
      <c r="C7" s="1336">
        <v>43179</v>
      </c>
      <c r="D7" s="1328"/>
      <c r="E7" s="1328"/>
      <c r="F7" s="1328"/>
      <c r="G7" s="1328"/>
      <c r="H7" s="1328"/>
      <c r="I7" s="1328"/>
      <c r="J7" s="1328"/>
      <c r="K7" s="1328"/>
      <c r="L7" s="1328"/>
    </row>
    <row r="8" ht="23.25" customHeight="1" spans="1:12">
      <c r="A8" s="1337"/>
      <c r="B8" s="1338"/>
      <c r="C8" s="1339"/>
      <c r="D8" s="1328"/>
      <c r="E8" s="1328"/>
      <c r="F8" s="1328"/>
      <c r="G8" s="1328"/>
      <c r="H8" s="1328"/>
      <c r="I8" s="1328"/>
      <c r="J8" s="1328"/>
      <c r="K8" s="1328"/>
      <c r="L8" s="1328"/>
    </row>
    <row r="9" s="1323" customFormat="1" ht="23.25" customHeight="1" spans="1:12">
      <c r="A9" s="1329">
        <v>7</v>
      </c>
      <c r="B9" s="1332" t="s">
        <v>10</v>
      </c>
      <c r="C9" s="1334" t="s">
        <v>11</v>
      </c>
      <c r="D9" s="1328"/>
      <c r="E9" s="1328"/>
      <c r="F9" s="1328"/>
      <c r="G9" s="1328"/>
      <c r="H9" s="1328"/>
      <c r="I9" s="1328"/>
      <c r="J9" s="1328"/>
      <c r="K9" s="1328"/>
      <c r="L9" s="1328"/>
    </row>
    <row r="10" s="1323" customFormat="1" ht="23.25" customHeight="1" spans="1:12">
      <c r="A10" s="1329">
        <v>8</v>
      </c>
      <c r="B10" s="1332" t="s">
        <v>12</v>
      </c>
      <c r="C10" s="1334" t="s">
        <v>13</v>
      </c>
      <c r="D10" s="1328"/>
      <c r="E10" s="1328"/>
      <c r="F10" s="1328"/>
      <c r="G10" s="1328"/>
      <c r="H10" s="1328"/>
      <c r="I10" s="1328"/>
      <c r="J10" s="1328"/>
      <c r="K10" s="1328"/>
      <c r="L10" s="1328"/>
    </row>
    <row r="11" s="1323" customFormat="1" ht="23.25" customHeight="1" spans="1:12">
      <c r="A11" s="1329">
        <v>9</v>
      </c>
      <c r="B11" s="1332" t="s">
        <v>14</v>
      </c>
      <c r="C11" s="1334"/>
      <c r="D11" s="1328"/>
      <c r="E11" s="1328"/>
      <c r="F11" s="1328"/>
      <c r="G11" s="1328"/>
      <c r="H11" s="1328"/>
      <c r="I11" s="1328"/>
      <c r="J11" s="1328"/>
      <c r="K11" s="1328"/>
      <c r="L11" s="1328"/>
    </row>
    <row r="12" s="1323" customFormat="1" ht="18" customHeight="1" spans="1:12">
      <c r="A12" s="1329">
        <v>10</v>
      </c>
      <c r="B12" s="1340" t="s">
        <v>15</v>
      </c>
      <c r="C12" s="1341"/>
      <c r="D12" s="1328"/>
      <c r="E12" s="1328"/>
      <c r="F12" s="1328"/>
      <c r="G12" s="1328"/>
      <c r="H12" s="1328"/>
      <c r="I12" s="1328"/>
      <c r="J12" s="1328"/>
      <c r="K12" s="1328"/>
      <c r="L12" s="1328"/>
    </row>
    <row r="13" ht="18" customHeight="1" spans="2:12">
      <c r="B13" s="1328"/>
      <c r="C13" s="1328"/>
      <c r="E13" s="1328"/>
      <c r="F13" s="1328"/>
      <c r="G13" s="1328"/>
      <c r="H13" s="1328"/>
      <c r="J13" s="1328"/>
      <c r="K13" s="1328"/>
      <c r="L13" s="1328"/>
    </row>
    <row r="14" ht="18" customHeight="1" spans="2:12">
      <c r="B14" s="1328"/>
      <c r="C14" s="1328"/>
      <c r="D14" s="1328"/>
      <c r="E14" s="1328"/>
      <c r="F14" s="1328"/>
      <c r="G14" s="1328"/>
      <c r="H14" s="1328"/>
      <c r="I14" s="1328"/>
      <c r="J14" s="1328"/>
      <c r="K14" s="1328"/>
      <c r="L14" s="1328"/>
    </row>
    <row r="15" s="1323" customFormat="1" ht="18" customHeight="1" spans="1:12">
      <c r="A15" s="1342"/>
      <c r="B15" s="1343" t="s">
        <v>16</v>
      </c>
      <c r="C15" s="1344"/>
      <c r="D15" s="1328"/>
      <c r="G15" s="1328"/>
      <c r="H15" s="1328"/>
      <c r="I15" s="1328"/>
      <c r="J15" s="1328"/>
      <c r="K15" s="1328"/>
      <c r="L15" s="1328"/>
    </row>
    <row r="16" s="1323" customFormat="1" ht="18" customHeight="1" spans="1:12">
      <c r="A16" s="1329">
        <v>1</v>
      </c>
      <c r="B16" s="1345" t="s">
        <v>17</v>
      </c>
      <c r="C16" s="1344"/>
      <c r="G16" s="1328"/>
      <c r="H16" s="1328"/>
      <c r="I16" s="1328"/>
      <c r="J16" s="1328"/>
      <c r="K16" s="1328"/>
      <c r="L16" s="1328"/>
    </row>
    <row r="17" ht="18" customHeight="1" spans="1:3">
      <c r="A17" s="1346">
        <v>2</v>
      </c>
      <c r="B17" s="1347" t="s">
        <v>18</v>
      </c>
      <c r="C17" s="1348"/>
    </row>
    <row r="18" ht="18" customHeight="1" spans="1:3">
      <c r="A18" s="1349">
        <v>3</v>
      </c>
      <c r="B18" s="1347" t="s">
        <v>19</v>
      </c>
      <c r="C18" s="1350" t="s">
        <v>20</v>
      </c>
    </row>
    <row r="19" ht="18" customHeight="1" spans="1:3">
      <c r="A19" s="1351"/>
      <c r="B19" s="1347" t="s">
        <v>21</v>
      </c>
      <c r="C19" s="1350" t="s">
        <v>22</v>
      </c>
    </row>
    <row r="20" ht="18" customHeight="1" spans="1:3">
      <c r="A20" s="1351"/>
      <c r="B20" s="1347" t="s">
        <v>23</v>
      </c>
      <c r="C20" s="1347" t="s">
        <v>24</v>
      </c>
    </row>
    <row r="21" ht="18" customHeight="1" spans="1:3">
      <c r="A21" s="1351"/>
      <c r="B21" s="1347" t="s">
        <v>25</v>
      </c>
      <c r="C21" s="1347" t="s">
        <v>26</v>
      </c>
    </row>
    <row r="22" ht="18" customHeight="1" spans="1:3">
      <c r="A22" s="1352"/>
      <c r="B22" s="1348"/>
      <c r="C22" s="1347" t="s">
        <v>27</v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</sheetData>
  <mergeCells count="4">
    <mergeCell ref="A1:C1"/>
    <mergeCell ref="B2:C2"/>
    <mergeCell ref="A8:C8"/>
    <mergeCell ref="A18:A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382"/>
  <sheetViews>
    <sheetView topLeftCell="A46" workbookViewId="0">
      <selection activeCell="F52" sqref="F52"/>
    </sheetView>
  </sheetViews>
  <sheetFormatPr defaultColWidth="8.1" defaultRowHeight="14.25"/>
  <cols>
    <col min="1" max="1" width="6.1" style="1262" customWidth="1"/>
    <col min="2" max="2" width="22" style="1262" customWidth="1"/>
    <col min="3" max="5" width="14.7" style="1262" customWidth="1"/>
    <col min="6" max="6" width="17.3" style="1262" customWidth="1"/>
    <col min="7" max="7" width="14.7" style="1262" customWidth="1"/>
    <col min="8" max="8" width="8.1" style="1261"/>
    <col min="9" max="11" width="10.6" style="1261" customWidth="1"/>
    <col min="12" max="12" width="8.1" style="1261"/>
    <col min="13" max="14" width="11.7" style="1261" customWidth="1"/>
    <col min="15" max="15" width="10.6" style="1261" customWidth="1"/>
    <col min="16" max="81" width="8.1" style="1261"/>
    <col min="82" max="16384" width="8.1" style="1262"/>
  </cols>
  <sheetData>
    <row r="1" s="1164" customFormat="1" ht="22.5" spans="1:81">
      <c r="A1" s="1263"/>
      <c r="B1" s="1263"/>
      <c r="C1" s="1263"/>
      <c r="D1" s="1214" t="s">
        <v>28</v>
      </c>
      <c r="E1" s="1263"/>
      <c r="F1" s="1263"/>
      <c r="G1" s="1263"/>
      <c r="H1" s="1264"/>
      <c r="I1" s="1264"/>
      <c r="J1" s="1264"/>
      <c r="K1" s="1264"/>
      <c r="L1" s="1264"/>
      <c r="M1" s="1264"/>
      <c r="N1" s="1264"/>
      <c r="O1" s="1264"/>
      <c r="P1" s="1264"/>
      <c r="Q1" s="1264"/>
      <c r="R1" s="1264"/>
      <c r="S1" s="1264"/>
      <c r="T1" s="1264"/>
      <c r="U1" s="1264"/>
      <c r="V1" s="1264"/>
      <c r="W1" s="1264"/>
      <c r="X1" s="1264"/>
      <c r="Y1" s="1264"/>
      <c r="Z1" s="1264"/>
      <c r="AA1" s="1264"/>
      <c r="AB1" s="1264"/>
      <c r="AC1" s="1264"/>
      <c r="AD1" s="1264"/>
      <c r="AE1" s="1264"/>
      <c r="AF1" s="1264"/>
      <c r="AG1" s="1264"/>
      <c r="AH1" s="1264"/>
      <c r="AI1" s="1264"/>
      <c r="AJ1" s="1264"/>
      <c r="AK1" s="1264"/>
      <c r="AL1" s="1264"/>
      <c r="AM1" s="1264"/>
      <c r="AN1" s="1264"/>
      <c r="AO1" s="1264"/>
      <c r="AP1" s="1264"/>
      <c r="AQ1" s="1264"/>
      <c r="AR1" s="1264"/>
      <c r="AS1" s="1264"/>
      <c r="AT1" s="1264"/>
      <c r="AU1" s="1264"/>
      <c r="AV1" s="1264"/>
      <c r="AW1" s="1264"/>
      <c r="AX1" s="1264"/>
      <c r="AY1" s="1264"/>
      <c r="AZ1" s="1264"/>
      <c r="BA1" s="1264"/>
      <c r="BB1" s="1264"/>
      <c r="BC1" s="1264"/>
      <c r="BD1" s="1264"/>
      <c r="BE1" s="1264"/>
      <c r="BF1" s="1264"/>
      <c r="BG1" s="1264"/>
      <c r="BH1" s="1264"/>
      <c r="BI1" s="1264"/>
      <c r="BJ1" s="1264"/>
      <c r="BK1" s="1264"/>
      <c r="BL1" s="1264"/>
      <c r="BM1" s="1264"/>
      <c r="BN1" s="1264"/>
      <c r="BO1" s="1264"/>
      <c r="BP1" s="1264"/>
      <c r="BQ1" s="1264"/>
      <c r="BR1" s="1264"/>
      <c r="BS1" s="1264"/>
      <c r="BT1" s="1264"/>
      <c r="BU1" s="1264"/>
      <c r="BV1" s="1264"/>
      <c r="BW1" s="1264"/>
      <c r="BX1" s="1264"/>
      <c r="BY1" s="1264"/>
      <c r="BZ1" s="1264"/>
      <c r="CA1" s="1264"/>
      <c r="CB1" s="1264"/>
      <c r="CC1" s="1264"/>
    </row>
    <row r="2" s="1164" customFormat="1" ht="18" customHeight="1" spans="1:81">
      <c r="A2" s="1167" t="str">
        <f>封面!B2</f>
        <v>被评估单位：福建卫东新能源股份有限公司</v>
      </c>
      <c r="C2" s="1169"/>
      <c r="F2" s="1265" t="s">
        <v>2</v>
      </c>
      <c r="G2" s="1266" t="str">
        <f>封面!C3</f>
        <v>2017年12月31日</v>
      </c>
      <c r="H2" s="1264"/>
      <c r="I2" s="1264"/>
      <c r="J2" s="1264"/>
      <c r="K2" s="1264"/>
      <c r="L2" s="1264"/>
      <c r="M2" s="1264"/>
      <c r="N2" s="1264"/>
      <c r="O2" s="1264"/>
      <c r="P2" s="1264"/>
      <c r="Q2" s="1264"/>
      <c r="R2" s="1264"/>
      <c r="S2" s="1264"/>
      <c r="T2" s="1264"/>
      <c r="U2" s="1264"/>
      <c r="V2" s="1264"/>
      <c r="W2" s="1264"/>
      <c r="X2" s="1264"/>
      <c r="Y2" s="1264"/>
      <c r="Z2" s="1264"/>
      <c r="AA2" s="1264"/>
      <c r="AB2" s="1264"/>
      <c r="AC2" s="1264"/>
      <c r="AD2" s="1264"/>
      <c r="AE2" s="1264"/>
      <c r="AF2" s="1264"/>
      <c r="AG2" s="1264"/>
      <c r="AH2" s="1264"/>
      <c r="AI2" s="1264"/>
      <c r="AJ2" s="1264"/>
      <c r="AK2" s="1264"/>
      <c r="AL2" s="1264"/>
      <c r="AM2" s="1264"/>
      <c r="AN2" s="1264"/>
      <c r="AO2" s="1264"/>
      <c r="AP2" s="1264"/>
      <c r="AQ2" s="1264"/>
      <c r="AR2" s="1264"/>
      <c r="AS2" s="1264"/>
      <c r="AT2" s="1264"/>
      <c r="AU2" s="1264"/>
      <c r="AV2" s="1264"/>
      <c r="AW2" s="1264"/>
      <c r="AX2" s="1264"/>
      <c r="AY2" s="1264"/>
      <c r="AZ2" s="1264"/>
      <c r="BA2" s="1264"/>
      <c r="BB2" s="1264"/>
      <c r="BC2" s="1264"/>
      <c r="BD2" s="1264"/>
      <c r="BE2" s="1264"/>
      <c r="BF2" s="1264"/>
      <c r="BG2" s="1264"/>
      <c r="BH2" s="1264"/>
      <c r="BI2" s="1264"/>
      <c r="BJ2" s="1264"/>
      <c r="BK2" s="1264"/>
      <c r="BL2" s="1264"/>
      <c r="BM2" s="1264"/>
      <c r="BN2" s="1264"/>
      <c r="BO2" s="1264"/>
      <c r="BP2" s="1264"/>
      <c r="BQ2" s="1264"/>
      <c r="BR2" s="1264"/>
      <c r="BS2" s="1264"/>
      <c r="BT2" s="1264"/>
      <c r="BU2" s="1264"/>
      <c r="BV2" s="1264"/>
      <c r="BW2" s="1264"/>
      <c r="BX2" s="1264"/>
      <c r="BY2" s="1264"/>
      <c r="BZ2" s="1264"/>
      <c r="CA2" s="1264"/>
      <c r="CB2" s="1264"/>
      <c r="CC2" s="1264"/>
    </row>
    <row r="3" s="1164" customFormat="1" ht="18" customHeight="1" spans="1:81">
      <c r="A3" s="1267"/>
      <c r="H3" s="1264"/>
      <c r="I3" s="1264"/>
      <c r="J3" s="1264"/>
      <c r="K3" s="1264"/>
      <c r="L3" s="1264"/>
      <c r="M3" s="1264"/>
      <c r="N3" s="1264"/>
      <c r="O3" s="1264"/>
      <c r="P3" s="1264"/>
      <c r="Q3" s="1264"/>
      <c r="R3" s="1264"/>
      <c r="S3" s="1264"/>
      <c r="T3" s="1264"/>
      <c r="U3" s="1264"/>
      <c r="V3" s="1264"/>
      <c r="W3" s="1264"/>
      <c r="X3" s="1264"/>
      <c r="Y3" s="1264"/>
      <c r="Z3" s="1264"/>
      <c r="AA3" s="1264"/>
      <c r="AB3" s="1264"/>
      <c r="AC3" s="1264"/>
      <c r="AD3" s="1264"/>
      <c r="AE3" s="1264"/>
      <c r="AF3" s="1264"/>
      <c r="AG3" s="1264"/>
      <c r="AH3" s="1264"/>
      <c r="AI3" s="1264"/>
      <c r="AJ3" s="1264"/>
      <c r="AK3" s="1264"/>
      <c r="AL3" s="1264"/>
      <c r="AM3" s="1264"/>
      <c r="AN3" s="1264"/>
      <c r="AO3" s="1264"/>
      <c r="AP3" s="1264"/>
      <c r="AQ3" s="1264"/>
      <c r="AR3" s="1264"/>
      <c r="AS3" s="1264"/>
      <c r="AT3" s="1264"/>
      <c r="AU3" s="1264"/>
      <c r="AV3" s="1264"/>
      <c r="AW3" s="1264"/>
      <c r="AX3" s="1264"/>
      <c r="AY3" s="1264"/>
      <c r="AZ3" s="1264"/>
      <c r="BA3" s="1264"/>
      <c r="BB3" s="1264"/>
      <c r="BC3" s="1264"/>
      <c r="BD3" s="1264"/>
      <c r="BE3" s="1264"/>
      <c r="BF3" s="1264"/>
      <c r="BG3" s="1264"/>
      <c r="BH3" s="1264"/>
      <c r="BI3" s="1264"/>
      <c r="BJ3" s="1264"/>
      <c r="BK3" s="1264"/>
      <c r="BL3" s="1264"/>
      <c r="BM3" s="1264"/>
      <c r="BN3" s="1264"/>
      <c r="BO3" s="1264"/>
      <c r="BP3" s="1264"/>
      <c r="BQ3" s="1264"/>
      <c r="BR3" s="1264"/>
      <c r="BS3" s="1264"/>
      <c r="BT3" s="1264"/>
      <c r="BU3" s="1264"/>
      <c r="BV3" s="1264"/>
      <c r="BW3" s="1264"/>
      <c r="BX3" s="1264"/>
      <c r="BY3" s="1264"/>
      <c r="BZ3" s="1264"/>
      <c r="CA3" s="1264"/>
      <c r="CB3" s="1264"/>
      <c r="CC3" s="1264"/>
    </row>
    <row r="4" ht="15" customHeight="1" spans="1:7">
      <c r="A4" s="1268" t="s">
        <v>29</v>
      </c>
      <c r="B4" s="1269" t="s">
        <v>30</v>
      </c>
      <c r="C4" s="1270" t="str">
        <f>'[34]表I-2调整后利润表'!B6&amp;"年12月31日"</f>
        <v>2015年12月31日</v>
      </c>
      <c r="D4" s="1270" t="str">
        <f>'[34]表I-2调整后利润表'!C6&amp;"年12月31日"</f>
        <v>2016年12月31日</v>
      </c>
      <c r="E4" s="1271" t="str">
        <f>'[34]表I-1近年利润表'!D6&amp;"年12月31日"</f>
        <v>2017年12月31日</v>
      </c>
      <c r="F4" s="1272"/>
      <c r="G4" s="1270"/>
    </row>
    <row r="5" ht="19.5" customHeight="1" spans="1:7">
      <c r="A5" s="1273"/>
      <c r="B5" s="1274"/>
      <c r="C5" s="1275" t="s">
        <v>31</v>
      </c>
      <c r="D5" s="1275" t="s">
        <v>31</v>
      </c>
      <c r="E5" s="1276" t="s">
        <v>31</v>
      </c>
      <c r="F5" s="1277" t="s">
        <v>32</v>
      </c>
      <c r="G5" s="1275" t="s">
        <v>33</v>
      </c>
    </row>
    <row r="6" ht="15.75" customHeight="1" spans="1:7">
      <c r="A6" s="1278">
        <v>1</v>
      </c>
      <c r="B6" s="1279" t="s">
        <v>34</v>
      </c>
      <c r="C6" s="1280">
        <f>C7+C8+C9+C10+C11+C12+C14+C15+C13+C16+C17+C18+C19</f>
        <v>83116651.43</v>
      </c>
      <c r="D6" s="1280">
        <f t="shared" ref="D6" si="0">D7+D8+D9+D10+D11+D12+D14+D15+D13+D16+D17+D18+D19</f>
        <v>76673212.87</v>
      </c>
      <c r="E6" s="1280">
        <f>SUM(E7:E19)</f>
        <v>70610292.04</v>
      </c>
      <c r="F6" s="1281">
        <f t="shared" ref="F6" si="1">F7+F8+F9+F10+F11+F12+F13+F14+F15+F16+F17+F18+F19</f>
        <v>60511670</v>
      </c>
      <c r="G6" s="1282">
        <f t="shared" ref="G6:G65" si="2">E6-F6</f>
        <v>10098622.04</v>
      </c>
    </row>
    <row r="7" ht="15.75" customHeight="1" spans="1:17">
      <c r="A7" s="1283">
        <v>2</v>
      </c>
      <c r="B7" s="1284" t="s">
        <v>35</v>
      </c>
      <c r="C7" s="1285">
        <v>6628414.34</v>
      </c>
      <c r="D7" s="1285">
        <v>117476.61</v>
      </c>
      <c r="E7" s="1285">
        <v>64080.64</v>
      </c>
      <c r="F7" s="1286"/>
      <c r="G7" s="1287">
        <f t="shared" si="2"/>
        <v>64080.64</v>
      </c>
      <c r="I7" s="1313"/>
      <c r="J7" s="1313"/>
      <c r="K7" s="1313"/>
      <c r="L7" s="1313"/>
      <c r="M7" s="1313"/>
      <c r="N7" s="1313"/>
      <c r="O7" s="1313"/>
      <c r="P7" s="1313"/>
      <c r="Q7" s="1313"/>
    </row>
    <row r="8" ht="15.75" customHeight="1" spans="1:17">
      <c r="A8" s="1283">
        <v>3</v>
      </c>
      <c r="B8" s="1284" t="s">
        <v>36</v>
      </c>
      <c r="C8" s="1285">
        <v>619575</v>
      </c>
      <c r="D8" s="1285">
        <v>0</v>
      </c>
      <c r="E8" s="1285">
        <v>0</v>
      </c>
      <c r="F8" s="1286"/>
      <c r="G8" s="1287">
        <f t="shared" si="2"/>
        <v>0</v>
      </c>
      <c r="I8" s="1313"/>
      <c r="J8" s="1313"/>
      <c r="K8" s="1313"/>
      <c r="L8" s="1313"/>
      <c r="M8" s="1313"/>
      <c r="N8" s="1313"/>
      <c r="O8" s="1313"/>
      <c r="P8" s="1313"/>
      <c r="Q8" s="1313"/>
    </row>
    <row r="9" ht="15.75" customHeight="1" spans="1:17">
      <c r="A9" s="1283">
        <v>4</v>
      </c>
      <c r="B9" s="1284" t="s">
        <v>37</v>
      </c>
      <c r="C9" s="1285"/>
      <c r="D9" s="1285">
        <v>1900000</v>
      </c>
      <c r="E9" s="1285">
        <v>0</v>
      </c>
      <c r="F9" s="1286"/>
      <c r="G9" s="1287">
        <f t="shared" si="2"/>
        <v>0</v>
      </c>
      <c r="I9" s="1313"/>
      <c r="J9" s="1313"/>
      <c r="K9" s="1313"/>
      <c r="L9" s="1313"/>
      <c r="M9" s="1313"/>
      <c r="N9" s="1313"/>
      <c r="O9" s="1313"/>
      <c r="P9" s="1313"/>
      <c r="Q9" s="1313"/>
    </row>
    <row r="10" ht="15.75" customHeight="1" spans="1:17">
      <c r="A10" s="1283">
        <v>5</v>
      </c>
      <c r="B10" s="1284" t="s">
        <v>38</v>
      </c>
      <c r="C10" s="1285"/>
      <c r="D10" s="1285">
        <v>0</v>
      </c>
      <c r="E10" s="1285">
        <v>0</v>
      </c>
      <c r="F10" s="1286"/>
      <c r="G10" s="1287">
        <f t="shared" si="2"/>
        <v>0</v>
      </c>
      <c r="I10" s="1313"/>
      <c r="J10" s="1313"/>
      <c r="K10" s="1313"/>
      <c r="L10" s="1313"/>
      <c r="M10" s="1313"/>
      <c r="N10" s="1313"/>
      <c r="O10" s="1313"/>
      <c r="P10" s="1313"/>
      <c r="Q10" s="1313"/>
    </row>
    <row r="11" ht="15.75" customHeight="1" spans="1:17">
      <c r="A11" s="1283">
        <v>6</v>
      </c>
      <c r="B11" s="1284" t="s">
        <v>39</v>
      </c>
      <c r="C11" s="1285"/>
      <c r="D11" s="1285">
        <v>0</v>
      </c>
      <c r="E11" s="1285">
        <v>0</v>
      </c>
      <c r="F11" s="1286"/>
      <c r="G11" s="1287">
        <f t="shared" si="2"/>
        <v>0</v>
      </c>
      <c r="I11" s="1313"/>
      <c r="J11" s="1313"/>
      <c r="K11" s="1313"/>
      <c r="L11" s="1313"/>
      <c r="M11" s="1313"/>
      <c r="N11" s="1313"/>
      <c r="O11" s="1313"/>
      <c r="P11" s="1313"/>
      <c r="Q11" s="1313"/>
    </row>
    <row r="12" ht="15.75" customHeight="1" spans="1:17">
      <c r="A12" s="1283">
        <v>7</v>
      </c>
      <c r="B12" s="1288" t="s">
        <v>40</v>
      </c>
      <c r="C12" s="1285">
        <v>3440854.09</v>
      </c>
      <c r="D12" s="1285">
        <v>8809335.87</v>
      </c>
      <c r="E12" s="1285">
        <v>3259831.79</v>
      </c>
      <c r="F12" s="1289"/>
      <c r="G12" s="1290">
        <f t="shared" si="2"/>
        <v>3259831.79</v>
      </c>
      <c r="I12" s="1313"/>
      <c r="J12" s="1313"/>
      <c r="K12" s="1313"/>
      <c r="L12" s="1313"/>
      <c r="M12" s="1313"/>
      <c r="N12" s="1313"/>
      <c r="O12" s="1313"/>
      <c r="P12" s="1313"/>
      <c r="Q12" s="1313"/>
    </row>
    <row r="13" ht="15.75" customHeight="1" spans="1:17">
      <c r="A13" s="1283">
        <v>8</v>
      </c>
      <c r="B13" s="1288" t="s">
        <v>41</v>
      </c>
      <c r="C13" s="1285">
        <v>64618992.62</v>
      </c>
      <c r="D13" s="1285">
        <v>62267599.33</v>
      </c>
      <c r="E13" s="1285">
        <v>59701034.64</v>
      </c>
      <c r="F13" s="1291">
        <v>60511670</v>
      </c>
      <c r="G13" s="1290">
        <f>E14-F13</f>
        <v>-58230226.59</v>
      </c>
      <c r="I13" s="1313"/>
      <c r="J13" s="1313"/>
      <c r="K13" s="1313"/>
      <c r="L13" s="1313"/>
      <c r="M13" s="1313"/>
      <c r="N13" s="1313"/>
      <c r="O13" s="1313"/>
      <c r="P13" s="1313"/>
      <c r="Q13" s="1313"/>
    </row>
    <row r="14" ht="15.75" customHeight="1" spans="1:17">
      <c r="A14" s="1283">
        <v>9</v>
      </c>
      <c r="B14" s="1284" t="s">
        <v>42</v>
      </c>
      <c r="C14" s="1285">
        <v>4346083.55</v>
      </c>
      <c r="D14" s="1285">
        <v>896722.35</v>
      </c>
      <c r="E14" s="1285">
        <v>2281443.41</v>
      </c>
      <c r="F14" s="1286"/>
      <c r="G14" s="1287">
        <f>E14-F14</f>
        <v>2281443.41</v>
      </c>
      <c r="I14" s="1313"/>
      <c r="J14" s="1313"/>
      <c r="K14" s="1313"/>
      <c r="L14" s="1313"/>
      <c r="M14" s="1313"/>
      <c r="N14" s="1313"/>
      <c r="O14" s="1313"/>
      <c r="P14" s="1313"/>
      <c r="Q14" s="1313"/>
    </row>
    <row r="15" ht="15.75" customHeight="1" spans="1:17">
      <c r="A15" s="1283">
        <v>10</v>
      </c>
      <c r="B15" s="1284" t="s">
        <v>43</v>
      </c>
      <c r="F15" s="1286"/>
      <c r="G15" s="1287">
        <f>E13-F15</f>
        <v>59701034.64</v>
      </c>
      <c r="I15" s="1313"/>
      <c r="J15" s="1313"/>
      <c r="K15" s="1313"/>
      <c r="L15" s="1313"/>
      <c r="M15" s="1313"/>
      <c r="N15" s="1313"/>
      <c r="O15" s="1313"/>
      <c r="P15" s="1313"/>
      <c r="Q15" s="1313"/>
    </row>
    <row r="16" ht="15.75" customHeight="1" spans="1:17">
      <c r="A16" s="1283">
        <v>11</v>
      </c>
      <c r="B16" s="1284" t="s">
        <v>44</v>
      </c>
      <c r="C16" s="1285">
        <v>3462731.83</v>
      </c>
      <c r="D16" s="1285">
        <v>2682078.71</v>
      </c>
      <c r="E16" s="1285">
        <v>5303901.56</v>
      </c>
      <c r="F16" s="1289"/>
      <c r="G16" s="1290">
        <f t="shared" si="2"/>
        <v>5303901.56</v>
      </c>
      <c r="I16" s="1313"/>
      <c r="J16" s="1313"/>
      <c r="K16" s="1313"/>
      <c r="L16" s="1313"/>
      <c r="M16" s="1313"/>
      <c r="N16" s="1313"/>
      <c r="O16" s="1313"/>
      <c r="P16" s="1313"/>
      <c r="Q16" s="1313"/>
    </row>
    <row r="17" ht="15.75" customHeight="1" spans="1:17">
      <c r="A17" s="1283">
        <v>12</v>
      </c>
      <c r="B17" s="1284" t="s">
        <v>45</v>
      </c>
      <c r="C17" s="1285"/>
      <c r="D17" s="1285"/>
      <c r="E17" s="1285">
        <v>0</v>
      </c>
      <c r="F17" s="1286"/>
      <c r="G17" s="1287">
        <f t="shared" si="2"/>
        <v>0</v>
      </c>
      <c r="I17" s="1313"/>
      <c r="J17" s="1313"/>
      <c r="K17" s="1313"/>
      <c r="L17" s="1313"/>
      <c r="M17" s="1313"/>
      <c r="N17" s="1313"/>
      <c r="O17" s="1313"/>
      <c r="P17" s="1313"/>
      <c r="Q17" s="1313"/>
    </row>
    <row r="18" ht="15.75" customHeight="1" spans="1:17">
      <c r="A18" s="1283">
        <v>13</v>
      </c>
      <c r="B18" s="1292" t="s">
        <v>46</v>
      </c>
      <c r="C18" s="1285"/>
      <c r="D18" s="1285"/>
      <c r="E18" s="1285" t="s">
        <v>47</v>
      </c>
      <c r="F18" s="1286"/>
      <c r="G18" s="1287"/>
      <c r="I18" s="1313"/>
      <c r="J18" s="1313"/>
      <c r="K18" s="1313"/>
      <c r="L18" s="1313"/>
      <c r="M18" s="1313"/>
      <c r="N18" s="1313"/>
      <c r="O18" s="1313"/>
      <c r="P18" s="1313"/>
      <c r="Q18" s="1313"/>
    </row>
    <row r="19" ht="15.75" customHeight="1" spans="1:17">
      <c r="A19" s="1283">
        <v>14</v>
      </c>
      <c r="B19" s="1284" t="s">
        <v>48</v>
      </c>
      <c r="C19" s="1285"/>
      <c r="D19" s="1285"/>
      <c r="E19" s="1285"/>
      <c r="F19" s="1286"/>
      <c r="G19" s="1287">
        <f t="shared" si="2"/>
        <v>0</v>
      </c>
      <c r="I19" s="1313"/>
      <c r="J19" s="1313"/>
      <c r="K19" s="1313"/>
      <c r="L19" s="1313"/>
      <c r="M19" s="1313"/>
      <c r="N19" s="1313"/>
      <c r="O19" s="1313"/>
      <c r="P19" s="1313"/>
      <c r="Q19" s="1313"/>
    </row>
    <row r="20" ht="15.75" customHeight="1" spans="1:17">
      <c r="A20" s="1283">
        <v>15</v>
      </c>
      <c r="B20" s="1293" t="s">
        <v>49</v>
      </c>
      <c r="C20" s="1280">
        <f t="shared" ref="C20:F20" si="3">C21+C22+C23+C24+C25+C26+C32+C33+C34+C35+C36+C37+C38+C39+C40+C41+C42</f>
        <v>19411960.29</v>
      </c>
      <c r="D20" s="1280">
        <f t="shared" si="3"/>
        <v>35364860.33</v>
      </c>
      <c r="E20" s="1280">
        <f t="shared" si="3"/>
        <v>34674500.27</v>
      </c>
      <c r="F20" s="1280">
        <f t="shared" si="3"/>
        <v>15000000</v>
      </c>
      <c r="G20" s="1280">
        <f t="shared" si="2"/>
        <v>19674500.27</v>
      </c>
      <c r="I20" s="1313"/>
      <c r="J20" s="1313"/>
      <c r="K20" s="1313"/>
      <c r="L20" s="1313"/>
      <c r="M20" s="1313"/>
      <c r="N20" s="1313"/>
      <c r="O20" s="1313"/>
      <c r="P20" s="1313"/>
      <c r="Q20" s="1313"/>
    </row>
    <row r="21" ht="15.75" customHeight="1" spans="1:17">
      <c r="A21" s="1283">
        <v>16</v>
      </c>
      <c r="B21" s="1284" t="s">
        <v>50</v>
      </c>
      <c r="C21" s="1285">
        <v>0</v>
      </c>
      <c r="D21" s="1285">
        <v>0</v>
      </c>
      <c r="E21" s="1285">
        <v>0</v>
      </c>
      <c r="F21" s="1286"/>
      <c r="G21" s="1287">
        <f t="shared" si="2"/>
        <v>0</v>
      </c>
      <c r="I21" s="1313"/>
      <c r="J21" s="1313"/>
      <c r="K21" s="1313"/>
      <c r="L21" s="1313"/>
      <c r="M21" s="1313"/>
      <c r="N21" s="1313"/>
      <c r="O21" s="1313"/>
      <c r="P21" s="1313"/>
      <c r="Q21" s="1313"/>
    </row>
    <row r="22" ht="15.75" customHeight="1" spans="1:17">
      <c r="A22" s="1283">
        <v>17</v>
      </c>
      <c r="B22" s="1284" t="s">
        <v>51</v>
      </c>
      <c r="C22" s="1285">
        <v>0</v>
      </c>
      <c r="D22" s="1285">
        <v>0</v>
      </c>
      <c r="E22" s="1285">
        <v>0</v>
      </c>
      <c r="F22" s="1286"/>
      <c r="G22" s="1287">
        <f t="shared" si="2"/>
        <v>0</v>
      </c>
      <c r="I22" s="1313"/>
      <c r="J22" s="1313"/>
      <c r="K22" s="1313"/>
      <c r="L22" s="1313"/>
      <c r="M22" s="1313"/>
      <c r="N22" s="1313"/>
      <c r="O22" s="1313"/>
      <c r="P22" s="1313"/>
      <c r="Q22" s="1313"/>
    </row>
    <row r="23" ht="15.75" customHeight="1" spans="1:17">
      <c r="A23" s="1283">
        <v>18</v>
      </c>
      <c r="B23" s="1284" t="s">
        <v>52</v>
      </c>
      <c r="C23" s="1285">
        <v>0</v>
      </c>
      <c r="D23" s="1285">
        <v>15000000</v>
      </c>
      <c r="E23" s="1285">
        <v>15000000</v>
      </c>
      <c r="F23" s="1294">
        <f>E23</f>
        <v>15000000</v>
      </c>
      <c r="G23" s="1287">
        <f t="shared" si="2"/>
        <v>0</v>
      </c>
      <c r="I23" s="1313"/>
      <c r="J23" s="1313"/>
      <c r="K23" s="1313"/>
      <c r="L23" s="1313"/>
      <c r="M23" s="1313"/>
      <c r="N23" s="1313"/>
      <c r="O23" s="1313"/>
      <c r="P23" s="1313"/>
      <c r="Q23" s="1313"/>
    </row>
    <row r="24" ht="15.75" customHeight="1" spans="1:17">
      <c r="A24" s="1283">
        <v>19</v>
      </c>
      <c r="B24" s="1284" t="s">
        <v>53</v>
      </c>
      <c r="C24" s="1295">
        <v>0</v>
      </c>
      <c r="D24" s="1295">
        <v>0</v>
      </c>
      <c r="E24" s="1295">
        <v>0</v>
      </c>
      <c r="F24" s="1286"/>
      <c r="G24" s="1287">
        <f t="shared" si="2"/>
        <v>0</v>
      </c>
      <c r="I24" s="1313"/>
      <c r="J24" s="1313"/>
      <c r="K24" s="1313"/>
      <c r="L24" s="1313"/>
      <c r="M24" s="1313"/>
      <c r="N24" s="1313"/>
      <c r="O24" s="1313"/>
      <c r="P24" s="1313"/>
      <c r="Q24" s="1313"/>
    </row>
    <row r="25" ht="15.75" customHeight="1" spans="1:17">
      <c r="A25" s="1283">
        <v>20</v>
      </c>
      <c r="B25" s="1284" t="s">
        <v>54</v>
      </c>
      <c r="C25" s="1295">
        <v>0</v>
      </c>
      <c r="D25" s="1295"/>
      <c r="E25" s="1295"/>
      <c r="F25" s="1286"/>
      <c r="G25" s="1287">
        <f t="shared" si="2"/>
        <v>0</v>
      </c>
      <c r="I25" s="1313"/>
      <c r="J25" s="1313"/>
      <c r="K25" s="1313"/>
      <c r="L25" s="1313"/>
      <c r="M25" s="1313"/>
      <c r="N25" s="1313"/>
      <c r="O25" s="1313"/>
      <c r="P25" s="1313"/>
      <c r="Q25" s="1313"/>
    </row>
    <row r="26" ht="15.75" customHeight="1" spans="1:17">
      <c r="A26" s="1283">
        <v>21</v>
      </c>
      <c r="B26" s="1284" t="s">
        <v>55</v>
      </c>
      <c r="C26" s="1296">
        <f>C31</f>
        <v>11310293.89</v>
      </c>
      <c r="D26" s="1296">
        <f t="shared" ref="D26:E26" si="4">D31</f>
        <v>12444367.52</v>
      </c>
      <c r="E26" s="1296">
        <f t="shared" si="4"/>
        <v>11938055.58</v>
      </c>
      <c r="F26" s="1286"/>
      <c r="G26" s="1287">
        <f t="shared" si="2"/>
        <v>11938055.58</v>
      </c>
      <c r="I26" s="1313"/>
      <c r="J26" s="1313"/>
      <c r="K26" s="1313"/>
      <c r="L26" s="1313"/>
      <c r="M26" s="1313"/>
      <c r="N26" s="1313"/>
      <c r="O26" s="1313"/>
      <c r="P26" s="1313"/>
      <c r="Q26" s="1313"/>
    </row>
    <row r="27" s="1259" customFormat="1" ht="15.75" customHeight="1" spans="1:81">
      <c r="A27" s="1283">
        <v>22</v>
      </c>
      <c r="B27" s="1297" t="s">
        <v>56</v>
      </c>
      <c r="C27" s="1295">
        <v>11942890.15</v>
      </c>
      <c r="D27" s="1295">
        <v>14780443.08</v>
      </c>
      <c r="E27" s="1295">
        <v>16120369.1</v>
      </c>
      <c r="F27" s="1298"/>
      <c r="G27" s="1287">
        <f t="shared" si="2"/>
        <v>16120369.1</v>
      </c>
      <c r="H27" s="1260"/>
      <c r="I27" s="1313"/>
      <c r="J27" s="1313"/>
      <c r="K27" s="1313"/>
      <c r="L27" s="1313"/>
      <c r="M27" s="1313"/>
      <c r="N27" s="1313"/>
      <c r="O27" s="1313"/>
      <c r="P27" s="1313"/>
      <c r="Q27" s="1313"/>
      <c r="R27" s="1260"/>
      <c r="S27" s="1260"/>
      <c r="T27" s="1260"/>
      <c r="U27" s="1260"/>
      <c r="V27" s="1260"/>
      <c r="W27" s="1260"/>
      <c r="X27" s="1260"/>
      <c r="Y27" s="1260"/>
      <c r="Z27" s="1260"/>
      <c r="AA27" s="1260"/>
      <c r="AB27" s="1260"/>
      <c r="AC27" s="1260"/>
      <c r="AD27" s="1260"/>
      <c r="AE27" s="1260"/>
      <c r="AF27" s="1260"/>
      <c r="AG27" s="1260"/>
      <c r="AH27" s="1260"/>
      <c r="AI27" s="1260"/>
      <c r="AJ27" s="1260"/>
      <c r="AK27" s="1260"/>
      <c r="AL27" s="1260"/>
      <c r="AM27" s="1260"/>
      <c r="AN27" s="1260"/>
      <c r="AO27" s="1260"/>
      <c r="AP27" s="1260"/>
      <c r="AQ27" s="1260"/>
      <c r="AR27" s="1260"/>
      <c r="AS27" s="1260"/>
      <c r="AT27" s="1260"/>
      <c r="AU27" s="1260"/>
      <c r="AV27" s="1260"/>
      <c r="AW27" s="1260"/>
      <c r="AX27" s="1260"/>
      <c r="AY27" s="1260"/>
      <c r="AZ27" s="1260"/>
      <c r="BA27" s="1260"/>
      <c r="BB27" s="1260"/>
      <c r="BC27" s="1260"/>
      <c r="BD27" s="1260"/>
      <c r="BE27" s="1260"/>
      <c r="BF27" s="1260"/>
      <c r="BG27" s="1260"/>
      <c r="BH27" s="1260"/>
      <c r="BI27" s="1260"/>
      <c r="BJ27" s="1260"/>
      <c r="BK27" s="1260"/>
      <c r="BL27" s="1260"/>
      <c r="BM27" s="1260"/>
      <c r="BN27" s="1260"/>
      <c r="BO27" s="1260"/>
      <c r="BP27" s="1260"/>
      <c r="BQ27" s="1260"/>
      <c r="BR27" s="1260"/>
      <c r="BS27" s="1260"/>
      <c r="BT27" s="1260"/>
      <c r="BU27" s="1260"/>
      <c r="BV27" s="1260"/>
      <c r="BW27" s="1260"/>
      <c r="BX27" s="1260"/>
      <c r="BY27" s="1260"/>
      <c r="BZ27" s="1260"/>
      <c r="CA27" s="1260"/>
      <c r="CB27" s="1260"/>
      <c r="CC27" s="1260"/>
    </row>
    <row r="28" s="1259" customFormat="1" ht="15.75" customHeight="1" spans="1:81">
      <c r="A28" s="1283">
        <v>23</v>
      </c>
      <c r="B28" s="1297" t="s">
        <v>57</v>
      </c>
      <c r="C28" s="1295">
        <v>632596.26</v>
      </c>
      <c r="D28" s="1295">
        <v>2336075.56</v>
      </c>
      <c r="E28" s="1295">
        <v>4182313.52</v>
      </c>
      <c r="F28" s="1286"/>
      <c r="G28" s="1287">
        <f t="shared" si="2"/>
        <v>4182313.52</v>
      </c>
      <c r="H28" s="1260"/>
      <c r="I28" s="1313"/>
      <c r="J28" s="1313"/>
      <c r="K28" s="1313"/>
      <c r="L28" s="1313"/>
      <c r="M28" s="1313"/>
      <c r="N28" s="1313"/>
      <c r="O28" s="1313"/>
      <c r="P28" s="1313"/>
      <c r="Q28" s="1313"/>
      <c r="R28" s="1260"/>
      <c r="S28" s="1260"/>
      <c r="T28" s="1260"/>
      <c r="U28" s="1260"/>
      <c r="V28" s="1260"/>
      <c r="W28" s="1260"/>
      <c r="X28" s="1260"/>
      <c r="Y28" s="1260"/>
      <c r="Z28" s="1260"/>
      <c r="AA28" s="1260"/>
      <c r="AB28" s="1260"/>
      <c r="AC28" s="1260"/>
      <c r="AD28" s="1260"/>
      <c r="AE28" s="1260"/>
      <c r="AF28" s="1260"/>
      <c r="AG28" s="1260"/>
      <c r="AH28" s="1260"/>
      <c r="AI28" s="1260"/>
      <c r="AJ28" s="1260"/>
      <c r="AK28" s="1260"/>
      <c r="AL28" s="1260"/>
      <c r="AM28" s="1260"/>
      <c r="AN28" s="1260"/>
      <c r="AO28" s="1260"/>
      <c r="AP28" s="1260"/>
      <c r="AQ28" s="1260"/>
      <c r="AR28" s="1260"/>
      <c r="AS28" s="1260"/>
      <c r="AT28" s="1260"/>
      <c r="AU28" s="1260"/>
      <c r="AV28" s="1260"/>
      <c r="AW28" s="1260"/>
      <c r="AX28" s="1260"/>
      <c r="AY28" s="1260"/>
      <c r="AZ28" s="1260"/>
      <c r="BA28" s="1260"/>
      <c r="BB28" s="1260"/>
      <c r="BC28" s="1260"/>
      <c r="BD28" s="1260"/>
      <c r="BE28" s="1260"/>
      <c r="BF28" s="1260"/>
      <c r="BG28" s="1260"/>
      <c r="BH28" s="1260"/>
      <c r="BI28" s="1260"/>
      <c r="BJ28" s="1260"/>
      <c r="BK28" s="1260"/>
      <c r="BL28" s="1260"/>
      <c r="BM28" s="1260"/>
      <c r="BN28" s="1260"/>
      <c r="BO28" s="1260"/>
      <c r="BP28" s="1260"/>
      <c r="BQ28" s="1260"/>
      <c r="BR28" s="1260"/>
      <c r="BS28" s="1260"/>
      <c r="BT28" s="1260"/>
      <c r="BU28" s="1260"/>
      <c r="BV28" s="1260"/>
      <c r="BW28" s="1260"/>
      <c r="BX28" s="1260"/>
      <c r="BY28" s="1260"/>
      <c r="BZ28" s="1260"/>
      <c r="CA28" s="1260"/>
      <c r="CB28" s="1260"/>
      <c r="CC28" s="1260"/>
    </row>
    <row r="29" s="1259" customFormat="1" ht="15.75" customHeight="1" spans="1:81">
      <c r="A29" s="1283">
        <v>24</v>
      </c>
      <c r="B29" s="1297" t="s">
        <v>58</v>
      </c>
      <c r="C29" s="1296">
        <f>C27-C28</f>
        <v>11310293.89</v>
      </c>
      <c r="D29" s="1296">
        <f>D27-D28</f>
        <v>12444367.52</v>
      </c>
      <c r="E29" s="1296">
        <f>E27-E28</f>
        <v>11938055.58</v>
      </c>
      <c r="F29" s="1286"/>
      <c r="G29" s="1287">
        <f t="shared" si="2"/>
        <v>11938055.58</v>
      </c>
      <c r="H29" s="1260"/>
      <c r="I29" s="1313"/>
      <c r="J29" s="1313"/>
      <c r="K29" s="1313"/>
      <c r="L29" s="1313"/>
      <c r="M29" s="1313"/>
      <c r="N29" s="1313"/>
      <c r="O29" s="1313"/>
      <c r="P29" s="1313"/>
      <c r="Q29" s="1313"/>
      <c r="R29" s="1260"/>
      <c r="S29" s="1260"/>
      <c r="T29" s="1260"/>
      <c r="U29" s="1260"/>
      <c r="V29" s="1260"/>
      <c r="W29" s="1260"/>
      <c r="X29" s="1260"/>
      <c r="Y29" s="1260"/>
      <c r="Z29" s="1260"/>
      <c r="AA29" s="1260"/>
      <c r="AB29" s="1260"/>
      <c r="AC29" s="1260"/>
      <c r="AD29" s="1260"/>
      <c r="AE29" s="1260"/>
      <c r="AF29" s="1260"/>
      <c r="AG29" s="1260"/>
      <c r="AH29" s="1260"/>
      <c r="AI29" s="1260"/>
      <c r="AJ29" s="1260"/>
      <c r="AK29" s="1260"/>
      <c r="AL29" s="1260"/>
      <c r="AM29" s="1260"/>
      <c r="AN29" s="1260"/>
      <c r="AO29" s="1260"/>
      <c r="AP29" s="1260"/>
      <c r="AQ29" s="1260"/>
      <c r="AR29" s="1260"/>
      <c r="AS29" s="1260"/>
      <c r="AT29" s="1260"/>
      <c r="AU29" s="1260"/>
      <c r="AV29" s="1260"/>
      <c r="AW29" s="1260"/>
      <c r="AX29" s="1260"/>
      <c r="AY29" s="1260"/>
      <c r="AZ29" s="1260"/>
      <c r="BA29" s="1260"/>
      <c r="BB29" s="1260"/>
      <c r="BC29" s="1260"/>
      <c r="BD29" s="1260"/>
      <c r="BE29" s="1260"/>
      <c r="BF29" s="1260"/>
      <c r="BG29" s="1260"/>
      <c r="BH29" s="1260"/>
      <c r="BI29" s="1260"/>
      <c r="BJ29" s="1260"/>
      <c r="BK29" s="1260"/>
      <c r="BL29" s="1260"/>
      <c r="BM29" s="1260"/>
      <c r="BN29" s="1260"/>
      <c r="BO29" s="1260"/>
      <c r="BP29" s="1260"/>
      <c r="BQ29" s="1260"/>
      <c r="BR29" s="1260"/>
      <c r="BS29" s="1260"/>
      <c r="BT29" s="1260"/>
      <c r="BU29" s="1260"/>
      <c r="BV29" s="1260"/>
      <c r="BW29" s="1260"/>
      <c r="BX29" s="1260"/>
      <c r="BY29" s="1260"/>
      <c r="BZ29" s="1260"/>
      <c r="CA29" s="1260"/>
      <c r="CB29" s="1260"/>
      <c r="CC29" s="1260"/>
    </row>
    <row r="30" ht="15.75" customHeight="1" spans="1:17">
      <c r="A30" s="1283">
        <v>25</v>
      </c>
      <c r="B30" s="1297" t="s">
        <v>59</v>
      </c>
      <c r="C30" s="1295">
        <v>0</v>
      </c>
      <c r="D30" s="1295">
        <v>0</v>
      </c>
      <c r="E30" s="1295">
        <v>0</v>
      </c>
      <c r="F30" s="1286"/>
      <c r="G30" s="1287">
        <f t="shared" si="2"/>
        <v>0</v>
      </c>
      <c r="I30" s="1313"/>
      <c r="J30" s="1313"/>
      <c r="K30" s="1313"/>
      <c r="L30" s="1313"/>
      <c r="M30" s="1313"/>
      <c r="N30" s="1313"/>
      <c r="O30" s="1313"/>
      <c r="P30" s="1313"/>
      <c r="Q30" s="1313"/>
    </row>
    <row r="31" s="1259" customFormat="1" ht="15.75" customHeight="1" spans="1:81">
      <c r="A31" s="1283">
        <v>26</v>
      </c>
      <c r="B31" s="1297" t="s">
        <v>60</v>
      </c>
      <c r="C31" s="1296">
        <f t="shared" ref="C31:F31" si="5">C29-C30</f>
        <v>11310293.89</v>
      </c>
      <c r="D31" s="1296">
        <f t="shared" si="5"/>
        <v>12444367.52</v>
      </c>
      <c r="E31" s="1296">
        <f t="shared" si="5"/>
        <v>11938055.58</v>
      </c>
      <c r="F31" s="1299">
        <f t="shared" si="5"/>
        <v>0</v>
      </c>
      <c r="G31" s="1287">
        <f t="shared" si="2"/>
        <v>11938055.58</v>
      </c>
      <c r="H31" s="1260"/>
      <c r="I31" s="1313"/>
      <c r="J31" s="1313"/>
      <c r="K31" s="1313"/>
      <c r="L31" s="1313"/>
      <c r="M31" s="1313"/>
      <c r="N31" s="1313"/>
      <c r="O31" s="1313"/>
      <c r="P31" s="1313"/>
      <c r="Q31" s="1313"/>
      <c r="R31" s="1260"/>
      <c r="S31" s="1260"/>
      <c r="T31" s="1260"/>
      <c r="U31" s="1260"/>
      <c r="V31" s="1260"/>
      <c r="W31" s="1260"/>
      <c r="X31" s="1260"/>
      <c r="Y31" s="1260"/>
      <c r="Z31" s="1260"/>
      <c r="AA31" s="1260"/>
      <c r="AB31" s="1260"/>
      <c r="AC31" s="1260"/>
      <c r="AD31" s="1260"/>
      <c r="AE31" s="1260"/>
      <c r="AF31" s="1260"/>
      <c r="AG31" s="1260"/>
      <c r="AH31" s="1260"/>
      <c r="AI31" s="1260"/>
      <c r="AJ31" s="1260"/>
      <c r="AK31" s="1260"/>
      <c r="AL31" s="1260"/>
      <c r="AM31" s="1260"/>
      <c r="AN31" s="1260"/>
      <c r="AO31" s="1260"/>
      <c r="AP31" s="1260"/>
      <c r="AQ31" s="1260"/>
      <c r="AR31" s="1260"/>
      <c r="AS31" s="1260"/>
      <c r="AT31" s="1260"/>
      <c r="AU31" s="1260"/>
      <c r="AV31" s="1260"/>
      <c r="AW31" s="1260"/>
      <c r="AX31" s="1260"/>
      <c r="AY31" s="1260"/>
      <c r="AZ31" s="1260"/>
      <c r="BA31" s="1260"/>
      <c r="BB31" s="1260"/>
      <c r="BC31" s="1260"/>
      <c r="BD31" s="1260"/>
      <c r="BE31" s="1260"/>
      <c r="BF31" s="1260"/>
      <c r="BG31" s="1260"/>
      <c r="BH31" s="1260"/>
      <c r="BI31" s="1260"/>
      <c r="BJ31" s="1260"/>
      <c r="BK31" s="1260"/>
      <c r="BL31" s="1260"/>
      <c r="BM31" s="1260"/>
      <c r="BN31" s="1260"/>
      <c r="BO31" s="1260"/>
      <c r="BP31" s="1260"/>
      <c r="BQ31" s="1260"/>
      <c r="BR31" s="1260"/>
      <c r="BS31" s="1260"/>
      <c r="BT31" s="1260"/>
      <c r="BU31" s="1260"/>
      <c r="BV31" s="1260"/>
      <c r="BW31" s="1260"/>
      <c r="BX31" s="1260"/>
      <c r="BY31" s="1260"/>
      <c r="BZ31" s="1260"/>
      <c r="CA31" s="1260"/>
      <c r="CB31" s="1260"/>
      <c r="CC31" s="1260"/>
    </row>
    <row r="32" ht="15.75" customHeight="1" spans="1:17">
      <c r="A32" s="1283">
        <v>27</v>
      </c>
      <c r="B32" s="1284" t="s">
        <v>61</v>
      </c>
      <c r="C32" s="1295">
        <v>0</v>
      </c>
      <c r="D32" s="1295">
        <v>0</v>
      </c>
      <c r="E32" s="1295">
        <v>0</v>
      </c>
      <c r="F32" s="1286"/>
      <c r="G32" s="1287">
        <f t="shared" si="2"/>
        <v>0</v>
      </c>
      <c r="I32" s="1313"/>
      <c r="J32" s="1313"/>
      <c r="K32" s="1313"/>
      <c r="L32" s="1313"/>
      <c r="M32" s="1313"/>
      <c r="N32" s="1313"/>
      <c r="O32" s="1313"/>
      <c r="P32" s="1313"/>
      <c r="Q32" s="1313"/>
    </row>
    <row r="33" ht="15.75" customHeight="1" spans="1:17">
      <c r="A33" s="1283">
        <v>28</v>
      </c>
      <c r="B33" s="1284" t="s">
        <v>62</v>
      </c>
      <c r="C33" s="1295"/>
      <c r="D33" s="1295"/>
      <c r="E33" s="1295"/>
      <c r="F33" s="1286"/>
      <c r="G33" s="1287">
        <f t="shared" si="2"/>
        <v>0</v>
      </c>
      <c r="I33" s="1313"/>
      <c r="J33" s="1313"/>
      <c r="K33" s="1313"/>
      <c r="L33" s="1313"/>
      <c r="M33" s="1313"/>
      <c r="N33" s="1313"/>
      <c r="O33" s="1313"/>
      <c r="P33" s="1313"/>
      <c r="Q33" s="1313"/>
    </row>
    <row r="34" ht="15.75" customHeight="1" spans="1:17">
      <c r="A34" s="1283">
        <v>29</v>
      </c>
      <c r="B34" s="1284" t="s">
        <v>63</v>
      </c>
      <c r="C34" s="1295">
        <v>0</v>
      </c>
      <c r="D34" s="1295">
        <v>0</v>
      </c>
      <c r="E34" s="1295">
        <v>0</v>
      </c>
      <c r="F34" s="1286"/>
      <c r="G34" s="1287">
        <f t="shared" si="2"/>
        <v>0</v>
      </c>
      <c r="I34" s="1313"/>
      <c r="J34" s="1313"/>
      <c r="K34" s="1313"/>
      <c r="L34" s="1313"/>
      <c r="M34" s="1313"/>
      <c r="N34" s="1313"/>
      <c r="O34" s="1313"/>
      <c r="P34" s="1313"/>
      <c r="Q34" s="1313"/>
    </row>
    <row r="35" ht="15.75" customHeight="1" spans="1:17">
      <c r="A35" s="1283">
        <v>30</v>
      </c>
      <c r="B35" s="1284" t="s">
        <v>64</v>
      </c>
      <c r="C35" s="1285">
        <v>0</v>
      </c>
      <c r="D35" s="1285">
        <v>0</v>
      </c>
      <c r="E35" s="1285">
        <v>0</v>
      </c>
      <c r="F35" s="1286"/>
      <c r="G35" s="1287">
        <f t="shared" si="2"/>
        <v>0</v>
      </c>
      <c r="I35" s="1313"/>
      <c r="J35" s="1313"/>
      <c r="K35" s="1313"/>
      <c r="L35" s="1313"/>
      <c r="M35" s="1313"/>
      <c r="N35" s="1313"/>
      <c r="O35" s="1313"/>
      <c r="P35" s="1313"/>
      <c r="Q35" s="1313"/>
    </row>
    <row r="36" ht="15.75" customHeight="1" spans="1:17">
      <c r="A36" s="1283">
        <v>31</v>
      </c>
      <c r="B36" s="1284" t="s">
        <v>65</v>
      </c>
      <c r="C36" s="1285">
        <v>0</v>
      </c>
      <c r="D36" s="1285">
        <v>0</v>
      </c>
      <c r="E36" s="1285">
        <v>0</v>
      </c>
      <c r="F36" s="1286"/>
      <c r="G36" s="1287">
        <f t="shared" si="2"/>
        <v>0</v>
      </c>
      <c r="I36" s="1313"/>
      <c r="J36" s="1313"/>
      <c r="K36" s="1313"/>
      <c r="L36" s="1313"/>
      <c r="M36" s="1313"/>
      <c r="N36" s="1313"/>
      <c r="O36" s="1313"/>
      <c r="P36" s="1313"/>
      <c r="Q36" s="1313"/>
    </row>
    <row r="37" ht="15.75" customHeight="1" spans="1:17">
      <c r="A37" s="1283">
        <v>32</v>
      </c>
      <c r="B37" s="1284" t="s">
        <v>66</v>
      </c>
      <c r="C37" s="1285">
        <v>0</v>
      </c>
      <c r="D37" s="1285">
        <v>0</v>
      </c>
      <c r="E37" s="1285">
        <v>0</v>
      </c>
      <c r="F37" s="1286"/>
      <c r="G37" s="1287">
        <f t="shared" si="2"/>
        <v>0</v>
      </c>
      <c r="I37" s="1313"/>
      <c r="J37" s="1313"/>
      <c r="K37" s="1313"/>
      <c r="L37" s="1313"/>
      <c r="M37" s="1313"/>
      <c r="N37" s="1313"/>
      <c r="O37" s="1313"/>
      <c r="P37" s="1313"/>
      <c r="Q37" s="1313"/>
    </row>
    <row r="38" ht="15.75" customHeight="1" spans="1:17">
      <c r="A38" s="1283">
        <v>33</v>
      </c>
      <c r="B38" s="1284" t="s">
        <v>67</v>
      </c>
      <c r="C38" s="1285">
        <v>0</v>
      </c>
      <c r="D38" s="1285">
        <v>0</v>
      </c>
      <c r="E38" s="1285">
        <v>0</v>
      </c>
      <c r="F38" s="1286"/>
      <c r="G38" s="1287">
        <f t="shared" si="2"/>
        <v>0</v>
      </c>
      <c r="I38" s="1313"/>
      <c r="J38" s="1313"/>
      <c r="K38" s="1313"/>
      <c r="L38" s="1313"/>
      <c r="M38" s="1313"/>
      <c r="N38" s="1313"/>
      <c r="O38" s="1313"/>
      <c r="P38" s="1313"/>
      <c r="Q38" s="1313"/>
    </row>
    <row r="39" ht="15.75" customHeight="1" spans="1:17">
      <c r="A39" s="1283">
        <v>34</v>
      </c>
      <c r="B39" s="1284" t="s">
        <v>68</v>
      </c>
      <c r="C39" s="1285">
        <v>4812245.4</v>
      </c>
      <c r="D39" s="1285">
        <v>4496075.77</v>
      </c>
      <c r="E39" s="1285">
        <v>4165377.71</v>
      </c>
      <c r="F39" s="1286"/>
      <c r="G39" s="1287">
        <f t="shared" si="2"/>
        <v>4165377.71</v>
      </c>
      <c r="I39" s="1313"/>
      <c r="J39" s="1313"/>
      <c r="K39" s="1313"/>
      <c r="L39" s="1313"/>
      <c r="M39" s="1313"/>
      <c r="N39" s="1313"/>
      <c r="O39" s="1313"/>
      <c r="P39" s="1313"/>
      <c r="Q39" s="1313"/>
    </row>
    <row r="40" ht="15.75" customHeight="1" spans="1:17">
      <c r="A40" s="1283">
        <v>35</v>
      </c>
      <c r="B40" s="1284" t="s">
        <v>69</v>
      </c>
      <c r="C40" s="1285"/>
      <c r="D40" s="1285"/>
      <c r="E40" s="1285"/>
      <c r="F40" s="1286"/>
      <c r="G40" s="1287">
        <f t="shared" si="2"/>
        <v>0</v>
      </c>
      <c r="I40" s="1313"/>
      <c r="J40" s="1313"/>
      <c r="K40" s="1313"/>
      <c r="L40" s="1313"/>
      <c r="M40" s="1313"/>
      <c r="N40" s="1313"/>
      <c r="O40" s="1313"/>
      <c r="P40" s="1313"/>
      <c r="Q40" s="1313"/>
    </row>
    <row r="41" ht="15.75" customHeight="1" spans="1:17">
      <c r="A41" s="1283">
        <v>36</v>
      </c>
      <c r="B41" s="1284" t="s">
        <v>70</v>
      </c>
      <c r="C41" s="1285">
        <v>0</v>
      </c>
      <c r="D41" s="1285">
        <v>0</v>
      </c>
      <c r="E41" s="1285">
        <v>0</v>
      </c>
      <c r="F41" s="1286"/>
      <c r="G41" s="1287">
        <f t="shared" si="2"/>
        <v>0</v>
      </c>
      <c r="I41" s="1313"/>
      <c r="J41" s="1313"/>
      <c r="K41" s="1313"/>
      <c r="L41" s="1313"/>
      <c r="M41" s="1313"/>
      <c r="N41" s="1313"/>
      <c r="O41" s="1313"/>
      <c r="P41" s="1313"/>
      <c r="Q41" s="1313"/>
    </row>
    <row r="42" ht="15.75" customHeight="1" spans="1:17">
      <c r="A42" s="1283">
        <v>37</v>
      </c>
      <c r="B42" s="1284" t="s">
        <v>71</v>
      </c>
      <c r="C42" s="1285">
        <v>3289421</v>
      </c>
      <c r="D42" s="1285">
        <v>3424417.04</v>
      </c>
      <c r="E42" s="1285">
        <v>3571066.98</v>
      </c>
      <c r="F42" s="1286"/>
      <c r="G42" s="1287">
        <f t="shared" si="2"/>
        <v>3571066.98</v>
      </c>
      <c r="I42" s="1313"/>
      <c r="J42" s="1313"/>
      <c r="K42" s="1313"/>
      <c r="L42" s="1313"/>
      <c r="M42" s="1313"/>
      <c r="N42" s="1313"/>
      <c r="O42" s="1313"/>
      <c r="P42" s="1313"/>
      <c r="Q42" s="1313"/>
    </row>
    <row r="43" s="1259" customFormat="1" ht="15.75" customHeight="1" spans="1:81">
      <c r="A43" s="1300">
        <v>38</v>
      </c>
      <c r="B43" s="1301" t="s">
        <v>72</v>
      </c>
      <c r="C43" s="1302">
        <f t="shared" ref="C43:F43" si="6">C6+C20</f>
        <v>102528611.72</v>
      </c>
      <c r="D43" s="1302">
        <f t="shared" si="6"/>
        <v>112038073.2</v>
      </c>
      <c r="E43" s="1302">
        <f t="shared" si="6"/>
        <v>105284792.31</v>
      </c>
      <c r="F43" s="1303">
        <f t="shared" si="6"/>
        <v>75511670</v>
      </c>
      <c r="G43" s="1304">
        <f t="shared" si="2"/>
        <v>29773122.31</v>
      </c>
      <c r="H43" s="1260"/>
      <c r="I43" s="1313"/>
      <c r="J43" s="1313"/>
      <c r="K43" s="1313"/>
      <c r="L43" s="1313"/>
      <c r="M43" s="1313"/>
      <c r="N43" s="1313"/>
      <c r="O43" s="1313"/>
      <c r="P43" s="1313"/>
      <c r="Q43" s="1313"/>
      <c r="R43" s="1260"/>
      <c r="S43" s="1260"/>
      <c r="T43" s="1260"/>
      <c r="U43" s="1260"/>
      <c r="V43" s="1260"/>
      <c r="W43" s="1260"/>
      <c r="X43" s="1260"/>
      <c r="Y43" s="1260"/>
      <c r="Z43" s="1260"/>
      <c r="AA43" s="1260"/>
      <c r="AB43" s="1260"/>
      <c r="AC43" s="1260"/>
      <c r="AD43" s="1260"/>
      <c r="AE43" s="1260"/>
      <c r="AF43" s="1260"/>
      <c r="AG43" s="1260"/>
      <c r="AH43" s="1260"/>
      <c r="AI43" s="1260"/>
      <c r="AJ43" s="1260"/>
      <c r="AK43" s="1260"/>
      <c r="AL43" s="1260"/>
      <c r="AM43" s="1260"/>
      <c r="AN43" s="1260"/>
      <c r="AO43" s="1260"/>
      <c r="AP43" s="1260"/>
      <c r="AQ43" s="1260"/>
      <c r="AR43" s="1260"/>
      <c r="AS43" s="1260"/>
      <c r="AT43" s="1260"/>
      <c r="AU43" s="1260"/>
      <c r="AV43" s="1260"/>
      <c r="AW43" s="1260"/>
      <c r="AX43" s="1260"/>
      <c r="AY43" s="1260"/>
      <c r="AZ43" s="1260"/>
      <c r="BA43" s="1260"/>
      <c r="BB43" s="1260"/>
      <c r="BC43" s="1260"/>
      <c r="BD43" s="1260"/>
      <c r="BE43" s="1260"/>
      <c r="BF43" s="1260"/>
      <c r="BG43" s="1260"/>
      <c r="BH43" s="1260"/>
      <c r="BI43" s="1260"/>
      <c r="BJ43" s="1260"/>
      <c r="BK43" s="1260"/>
      <c r="BL43" s="1260"/>
      <c r="BM43" s="1260"/>
      <c r="BN43" s="1260"/>
      <c r="BO43" s="1260"/>
      <c r="BP43" s="1260"/>
      <c r="BQ43" s="1260"/>
      <c r="BR43" s="1260"/>
      <c r="BS43" s="1260"/>
      <c r="BT43" s="1260"/>
      <c r="BU43" s="1260"/>
      <c r="BV43" s="1260"/>
      <c r="BW43" s="1260"/>
      <c r="BX43" s="1260"/>
      <c r="BY43" s="1260"/>
      <c r="BZ43" s="1260"/>
      <c r="CA43" s="1260"/>
      <c r="CB43" s="1260"/>
      <c r="CC43" s="1260"/>
    </row>
    <row r="44" s="1259" customFormat="1" ht="18" customHeight="1" spans="1:81">
      <c r="A44" s="1305">
        <v>39</v>
      </c>
      <c r="B44" s="1306" t="s">
        <v>73</v>
      </c>
      <c r="C44" s="1307">
        <f t="shared" ref="C44:F44" si="7">C45+C46+C47+C48+C49+C50+C51+C52+C53+C54+C55+C56+C57</f>
        <v>-2320238.6</v>
      </c>
      <c r="D44" s="1307">
        <f t="shared" si="7"/>
        <v>10622800.96</v>
      </c>
      <c r="E44" s="1307">
        <f t="shared" si="7"/>
        <v>11115104.38</v>
      </c>
      <c r="F44" s="1308">
        <f t="shared" si="7"/>
        <v>11525000</v>
      </c>
      <c r="G44" s="1309">
        <f t="shared" si="2"/>
        <v>-409895.620000001</v>
      </c>
      <c r="H44" s="1260"/>
      <c r="I44" s="1313"/>
      <c r="J44" s="1313"/>
      <c r="K44" s="1313"/>
      <c r="L44" s="1313"/>
      <c r="M44" s="1313"/>
      <c r="N44" s="1313"/>
      <c r="O44" s="1313"/>
      <c r="P44" s="1313"/>
      <c r="Q44" s="1313"/>
      <c r="R44" s="1260"/>
      <c r="S44" s="1260"/>
      <c r="T44" s="1260"/>
      <c r="U44" s="1260"/>
      <c r="V44" s="1260"/>
      <c r="W44" s="1260"/>
      <c r="X44" s="1260"/>
      <c r="Y44" s="1260"/>
      <c r="Z44" s="1260"/>
      <c r="AA44" s="1260"/>
      <c r="AB44" s="1260"/>
      <c r="AC44" s="1260"/>
      <c r="AD44" s="1260"/>
      <c r="AE44" s="1260"/>
      <c r="AF44" s="1260"/>
      <c r="AG44" s="1260"/>
      <c r="AH44" s="1260"/>
      <c r="AI44" s="1260"/>
      <c r="AJ44" s="1260"/>
      <c r="AK44" s="1260"/>
      <c r="AL44" s="1260"/>
      <c r="AM44" s="1260"/>
      <c r="AN44" s="1260"/>
      <c r="AO44" s="1260"/>
      <c r="AP44" s="1260"/>
      <c r="AQ44" s="1260"/>
      <c r="AR44" s="1260"/>
      <c r="AS44" s="1260"/>
      <c r="AT44" s="1260"/>
      <c r="AU44" s="1260"/>
      <c r="AV44" s="1260"/>
      <c r="AW44" s="1260"/>
      <c r="AX44" s="1260"/>
      <c r="AY44" s="1260"/>
      <c r="AZ44" s="1260"/>
      <c r="BA44" s="1260"/>
      <c r="BB44" s="1260"/>
      <c r="BC44" s="1260"/>
      <c r="BD44" s="1260"/>
      <c r="BE44" s="1260"/>
      <c r="BF44" s="1260"/>
      <c r="BG44" s="1260"/>
      <c r="BH44" s="1260"/>
      <c r="BI44" s="1260"/>
      <c r="BJ44" s="1260"/>
      <c r="BK44" s="1260"/>
      <c r="BL44" s="1260"/>
      <c r="BM44" s="1260"/>
      <c r="BN44" s="1260"/>
      <c r="BO44" s="1260"/>
      <c r="BP44" s="1260"/>
      <c r="BQ44" s="1260"/>
      <c r="BR44" s="1260"/>
      <c r="BS44" s="1260"/>
      <c r="BT44" s="1260"/>
      <c r="BU44" s="1260"/>
      <c r="BV44" s="1260"/>
      <c r="BW44" s="1260"/>
      <c r="BX44" s="1260"/>
      <c r="BY44" s="1260"/>
      <c r="BZ44" s="1260"/>
      <c r="CA44" s="1260"/>
      <c r="CB44" s="1260"/>
      <c r="CC44" s="1260"/>
    </row>
    <row r="45" ht="18" customHeight="1" spans="1:17">
      <c r="A45" s="1283">
        <v>40</v>
      </c>
      <c r="B45" s="1284" t="s">
        <v>74</v>
      </c>
      <c r="C45" s="1285">
        <v>0</v>
      </c>
      <c r="D45" s="1285">
        <v>0</v>
      </c>
      <c r="E45" s="1285"/>
      <c r="F45" s="1286"/>
      <c r="G45" s="1287">
        <f t="shared" si="2"/>
        <v>0</v>
      </c>
      <c r="I45" s="1313"/>
      <c r="J45" s="1313"/>
      <c r="K45" s="1313"/>
      <c r="L45" s="1313"/>
      <c r="M45" s="1313"/>
      <c r="N45" s="1313"/>
      <c r="O45" s="1313"/>
      <c r="P45" s="1313"/>
      <c r="Q45" s="1313"/>
    </row>
    <row r="46" ht="18" customHeight="1" spans="1:17">
      <c r="A46" s="1283">
        <v>41</v>
      </c>
      <c r="B46" s="1284" t="s">
        <v>75</v>
      </c>
      <c r="C46" s="1285"/>
      <c r="D46" s="1285"/>
      <c r="E46" s="1285"/>
      <c r="F46" s="1286"/>
      <c r="G46" s="1287">
        <f t="shared" si="2"/>
        <v>0</v>
      </c>
      <c r="I46" s="1313"/>
      <c r="J46" s="1313"/>
      <c r="K46" s="1313"/>
      <c r="L46" s="1313"/>
      <c r="M46" s="1313"/>
      <c r="N46" s="1313"/>
      <c r="O46" s="1313"/>
      <c r="P46" s="1313"/>
      <c r="Q46" s="1313"/>
    </row>
    <row r="47" ht="18" customHeight="1" spans="1:17">
      <c r="A47" s="1283">
        <v>42</v>
      </c>
      <c r="B47" s="1284" t="s">
        <v>76</v>
      </c>
      <c r="C47" s="1285">
        <v>0</v>
      </c>
      <c r="D47" s="1285">
        <v>0</v>
      </c>
      <c r="E47" s="1285"/>
      <c r="F47" s="1286"/>
      <c r="G47" s="1287">
        <f t="shared" si="2"/>
        <v>0</v>
      </c>
      <c r="I47" s="1313"/>
      <c r="J47" s="1313"/>
      <c r="K47" s="1313"/>
      <c r="L47" s="1313"/>
      <c r="M47" s="1313"/>
      <c r="N47" s="1313"/>
      <c r="O47" s="1313"/>
      <c r="P47" s="1313"/>
      <c r="Q47" s="1313"/>
    </row>
    <row r="48" ht="18" customHeight="1" spans="1:17">
      <c r="A48" s="1283">
        <v>43</v>
      </c>
      <c r="B48" s="1284" t="s">
        <v>77</v>
      </c>
      <c r="C48" s="1285">
        <v>372935.94</v>
      </c>
      <c r="D48" s="1285">
        <v>2000239.37</v>
      </c>
      <c r="E48" s="1285">
        <v>2014399.48</v>
      </c>
      <c r="F48" s="1286"/>
      <c r="G48" s="1287">
        <f t="shared" si="2"/>
        <v>2014399.48</v>
      </c>
      <c r="I48" s="1313"/>
      <c r="J48" s="1313"/>
      <c r="K48" s="1313"/>
      <c r="L48" s="1313"/>
      <c r="M48" s="1313"/>
      <c r="N48" s="1313"/>
      <c r="O48" s="1313"/>
      <c r="P48" s="1313"/>
      <c r="Q48" s="1313"/>
    </row>
    <row r="49" ht="18" customHeight="1" spans="1:17">
      <c r="A49" s="1283">
        <v>44</v>
      </c>
      <c r="B49" s="1284" t="s">
        <v>78</v>
      </c>
      <c r="C49" s="1285">
        <v>0</v>
      </c>
      <c r="D49" s="1285">
        <v>60417.5</v>
      </c>
      <c r="E49" s="1285">
        <v>240455.6</v>
      </c>
      <c r="F49" s="1286"/>
      <c r="G49" s="1287">
        <f t="shared" si="2"/>
        <v>240455.6</v>
      </c>
      <c r="I49" s="1313"/>
      <c r="J49" s="1313"/>
      <c r="K49" s="1313"/>
      <c r="L49" s="1313"/>
      <c r="M49" s="1313"/>
      <c r="N49" s="1313"/>
      <c r="O49" s="1313"/>
      <c r="P49" s="1313"/>
      <c r="Q49" s="1313"/>
    </row>
    <row r="50" ht="18" customHeight="1" spans="1:17">
      <c r="A50" s="1283">
        <v>45</v>
      </c>
      <c r="B50" s="1284" t="s">
        <v>79</v>
      </c>
      <c r="C50" s="1285"/>
      <c r="D50" s="1285"/>
      <c r="E50" s="1285"/>
      <c r="F50" s="1286"/>
      <c r="G50" s="1287">
        <f t="shared" si="2"/>
        <v>0</v>
      </c>
      <c r="I50" s="1313"/>
      <c r="J50" s="1313"/>
      <c r="K50" s="1313"/>
      <c r="L50" s="1313"/>
      <c r="M50" s="1313"/>
      <c r="N50" s="1313"/>
      <c r="O50" s="1313"/>
      <c r="P50" s="1313"/>
      <c r="Q50" s="1313"/>
    </row>
    <row r="51" ht="18" customHeight="1" spans="1:17">
      <c r="A51" s="1283">
        <v>46</v>
      </c>
      <c r="B51" s="1284" t="s">
        <v>80</v>
      </c>
      <c r="C51" s="1285"/>
      <c r="D51" s="1285"/>
      <c r="E51" s="1285"/>
      <c r="F51" s="1286"/>
      <c r="G51" s="1287">
        <f t="shared" si="2"/>
        <v>0</v>
      </c>
      <c r="I51" s="1313"/>
      <c r="J51" s="1313"/>
      <c r="K51" s="1313"/>
      <c r="L51" s="1313"/>
      <c r="M51" s="1313"/>
      <c r="N51" s="1313"/>
      <c r="O51" s="1313"/>
      <c r="P51" s="1313"/>
      <c r="Q51" s="1313"/>
    </row>
    <row r="52" ht="18" customHeight="1" spans="1:17">
      <c r="A52" s="1283">
        <v>47</v>
      </c>
      <c r="B52" s="1284" t="s">
        <v>81</v>
      </c>
      <c r="C52" s="1285">
        <v>-2732732.28</v>
      </c>
      <c r="D52" s="1285">
        <v>-2337671.05</v>
      </c>
      <c r="E52" s="1285">
        <v>-2708268.12</v>
      </c>
      <c r="F52" s="1294"/>
      <c r="G52" s="1287">
        <f t="shared" si="2"/>
        <v>-2708268.12</v>
      </c>
      <c r="I52" s="1313"/>
      <c r="J52" s="1313"/>
      <c r="K52" s="1313"/>
      <c r="L52" s="1313"/>
      <c r="M52" s="1313"/>
      <c r="N52" s="1313"/>
      <c r="O52" s="1313"/>
      <c r="P52" s="1313"/>
      <c r="Q52" s="1313"/>
    </row>
    <row r="53" ht="18" customHeight="1" spans="1:17">
      <c r="A53" s="1283">
        <v>48</v>
      </c>
      <c r="B53" s="1284" t="s">
        <v>82</v>
      </c>
      <c r="C53" s="1285">
        <v>0</v>
      </c>
      <c r="D53" s="1285">
        <v>0</v>
      </c>
      <c r="E53" s="1285"/>
      <c r="F53" s="1286"/>
      <c r="G53" s="1287">
        <f t="shared" si="2"/>
        <v>0</v>
      </c>
      <c r="I53" s="1313"/>
      <c r="J53" s="1313"/>
      <c r="K53" s="1313"/>
      <c r="L53" s="1313"/>
      <c r="M53" s="1313"/>
      <c r="N53" s="1313"/>
      <c r="O53" s="1313"/>
      <c r="P53" s="1313"/>
      <c r="Q53" s="1313"/>
    </row>
    <row r="54" ht="18" customHeight="1" spans="1:17">
      <c r="A54" s="1283">
        <v>49</v>
      </c>
      <c r="B54" s="1284" t="s">
        <v>83</v>
      </c>
      <c r="C54" s="1285">
        <v>39557.74</v>
      </c>
      <c r="D54" s="1285">
        <v>10899815.14</v>
      </c>
      <c r="E54" s="1285">
        <v>11568517.42</v>
      </c>
      <c r="F54" s="1294">
        <v>11525000</v>
      </c>
      <c r="G54" s="1287">
        <f t="shared" si="2"/>
        <v>43517.4199999999</v>
      </c>
      <c r="I54" s="1313"/>
      <c r="J54" s="1313"/>
      <c r="K54" s="1313"/>
      <c r="L54" s="1313"/>
      <c r="M54" s="1313"/>
      <c r="N54" s="1313"/>
      <c r="O54" s="1313"/>
      <c r="P54" s="1313"/>
      <c r="Q54" s="1313"/>
    </row>
    <row r="55" ht="18" customHeight="1" spans="1:17">
      <c r="A55" s="1283">
        <v>50</v>
      </c>
      <c r="B55" s="1284" t="s">
        <v>84</v>
      </c>
      <c r="C55" s="1285">
        <v>0</v>
      </c>
      <c r="D55" s="1285">
        <v>0</v>
      </c>
      <c r="E55" s="1285"/>
      <c r="F55" s="1286"/>
      <c r="G55" s="1287">
        <f t="shared" si="2"/>
        <v>0</v>
      </c>
      <c r="I55" s="1313"/>
      <c r="J55" s="1313"/>
      <c r="K55" s="1313"/>
      <c r="L55" s="1313"/>
      <c r="M55" s="1313"/>
      <c r="N55" s="1313"/>
      <c r="O55" s="1313"/>
      <c r="P55" s="1313"/>
      <c r="Q55" s="1313"/>
    </row>
    <row r="56" ht="18" customHeight="1" spans="1:17">
      <c r="A56" s="1283">
        <v>51</v>
      </c>
      <c r="B56" s="1292" t="s">
        <v>85</v>
      </c>
      <c r="C56" s="1285">
        <v>0</v>
      </c>
      <c r="D56" s="1285">
        <v>0</v>
      </c>
      <c r="E56" s="1285"/>
      <c r="F56" s="1286"/>
      <c r="G56" s="1287">
        <f t="shared" si="2"/>
        <v>0</v>
      </c>
      <c r="I56" s="1313"/>
      <c r="J56" s="1313"/>
      <c r="K56" s="1313"/>
      <c r="L56" s="1313"/>
      <c r="M56" s="1313"/>
      <c r="N56" s="1313"/>
      <c r="O56" s="1313"/>
      <c r="P56" s="1313"/>
      <c r="Q56" s="1313"/>
    </row>
    <row r="57" ht="18" customHeight="1" spans="1:17">
      <c r="A57" s="1283">
        <v>52</v>
      </c>
      <c r="B57" s="1284" t="s">
        <v>86</v>
      </c>
      <c r="C57" s="1285">
        <v>0</v>
      </c>
      <c r="D57" s="1285">
        <v>0</v>
      </c>
      <c r="E57" s="1285"/>
      <c r="F57" s="1286"/>
      <c r="G57" s="1287">
        <f t="shared" si="2"/>
        <v>0</v>
      </c>
      <c r="I57" s="1313"/>
      <c r="J57" s="1313"/>
      <c r="K57" s="1313"/>
      <c r="L57" s="1313"/>
      <c r="M57" s="1313"/>
      <c r="N57" s="1313"/>
      <c r="O57" s="1313"/>
      <c r="P57" s="1313"/>
      <c r="Q57" s="1313"/>
    </row>
    <row r="58" s="1259" customFormat="1" ht="18" customHeight="1" spans="1:81">
      <c r="A58" s="1283">
        <v>53</v>
      </c>
      <c r="B58" s="1310" t="s">
        <v>87</v>
      </c>
      <c r="C58" s="1311">
        <f t="shared" ref="C58:F58" si="8">C59+C60+C61+C62+C63+C64+C65</f>
        <v>0</v>
      </c>
      <c r="D58" s="1311">
        <f t="shared" si="8"/>
        <v>0</v>
      </c>
      <c r="E58" s="1311">
        <f t="shared" si="8"/>
        <v>0</v>
      </c>
      <c r="F58" s="1312">
        <f t="shared" si="8"/>
        <v>0</v>
      </c>
      <c r="G58" s="1282">
        <f t="shared" si="2"/>
        <v>0</v>
      </c>
      <c r="H58" s="1260"/>
      <c r="I58" s="1313"/>
      <c r="J58" s="1313"/>
      <c r="K58" s="1313"/>
      <c r="L58" s="1313"/>
      <c r="M58" s="1313"/>
      <c r="N58" s="1313"/>
      <c r="O58" s="1313"/>
      <c r="P58" s="1313"/>
      <c r="Q58" s="1313"/>
      <c r="R58" s="1260"/>
      <c r="S58" s="1260"/>
      <c r="T58" s="1260"/>
      <c r="U58" s="1260"/>
      <c r="V58" s="1260"/>
      <c r="W58" s="1260"/>
      <c r="X58" s="1260"/>
      <c r="Y58" s="1260"/>
      <c r="Z58" s="1260"/>
      <c r="AA58" s="1260"/>
      <c r="AB58" s="1260"/>
      <c r="AC58" s="1260"/>
      <c r="AD58" s="1260"/>
      <c r="AE58" s="1260"/>
      <c r="AF58" s="1260"/>
      <c r="AG58" s="1260"/>
      <c r="AH58" s="1260"/>
      <c r="AI58" s="1260"/>
      <c r="AJ58" s="1260"/>
      <c r="AK58" s="1260"/>
      <c r="AL58" s="1260"/>
      <c r="AM58" s="1260"/>
      <c r="AN58" s="1260"/>
      <c r="AO58" s="1260"/>
      <c r="AP58" s="1260"/>
      <c r="AQ58" s="1260"/>
      <c r="AR58" s="1260"/>
      <c r="AS58" s="1260"/>
      <c r="AT58" s="1260"/>
      <c r="AU58" s="1260"/>
      <c r="AV58" s="1260"/>
      <c r="AW58" s="1260"/>
      <c r="AX58" s="1260"/>
      <c r="AY58" s="1260"/>
      <c r="AZ58" s="1260"/>
      <c r="BA58" s="1260"/>
      <c r="BB58" s="1260"/>
      <c r="BC58" s="1260"/>
      <c r="BD58" s="1260"/>
      <c r="BE58" s="1260"/>
      <c r="BF58" s="1260"/>
      <c r="BG58" s="1260"/>
      <c r="BH58" s="1260"/>
      <c r="BI58" s="1260"/>
      <c r="BJ58" s="1260"/>
      <c r="BK58" s="1260"/>
      <c r="BL58" s="1260"/>
      <c r="BM58" s="1260"/>
      <c r="BN58" s="1260"/>
      <c r="BO58" s="1260"/>
      <c r="BP58" s="1260"/>
      <c r="BQ58" s="1260"/>
      <c r="BR58" s="1260"/>
      <c r="BS58" s="1260"/>
      <c r="BT58" s="1260"/>
      <c r="BU58" s="1260"/>
      <c r="BV58" s="1260"/>
      <c r="BW58" s="1260"/>
      <c r="BX58" s="1260"/>
      <c r="BY58" s="1260"/>
      <c r="BZ58" s="1260"/>
      <c r="CA58" s="1260"/>
      <c r="CB58" s="1260"/>
      <c r="CC58" s="1260"/>
    </row>
    <row r="59" ht="18" customHeight="1" spans="1:17">
      <c r="A59" s="1283">
        <v>54</v>
      </c>
      <c r="B59" s="1284" t="s">
        <v>88</v>
      </c>
      <c r="C59" s="1285"/>
      <c r="D59" s="1285"/>
      <c r="E59" s="1285"/>
      <c r="F59" s="1285">
        <v>0</v>
      </c>
      <c r="G59" s="1287">
        <f t="shared" si="2"/>
        <v>0</v>
      </c>
      <c r="I59" s="1313"/>
      <c r="J59" s="1313"/>
      <c r="K59" s="1313"/>
      <c r="L59" s="1313"/>
      <c r="M59" s="1313"/>
      <c r="N59" s="1313"/>
      <c r="O59" s="1313"/>
      <c r="P59" s="1313"/>
      <c r="Q59" s="1313"/>
    </row>
    <row r="60" ht="18" customHeight="1" spans="1:17">
      <c r="A60" s="1283">
        <v>55</v>
      </c>
      <c r="B60" s="1284" t="s">
        <v>89</v>
      </c>
      <c r="C60" s="1285">
        <v>0</v>
      </c>
      <c r="D60" s="1285">
        <v>0</v>
      </c>
      <c r="E60" s="1285">
        <v>0</v>
      </c>
      <c r="F60" s="1285">
        <v>0</v>
      </c>
      <c r="G60" s="1287">
        <f t="shared" si="2"/>
        <v>0</v>
      </c>
      <c r="I60" s="1313"/>
      <c r="J60" s="1313"/>
      <c r="K60" s="1313"/>
      <c r="L60" s="1313"/>
      <c r="M60" s="1313"/>
      <c r="N60" s="1313"/>
      <c r="O60" s="1313"/>
      <c r="P60" s="1313"/>
      <c r="Q60" s="1313"/>
    </row>
    <row r="61" ht="18" customHeight="1" spans="1:17">
      <c r="A61" s="1283">
        <v>56</v>
      </c>
      <c r="B61" s="1284" t="s">
        <v>90</v>
      </c>
      <c r="C61" s="1285">
        <v>0</v>
      </c>
      <c r="D61" s="1285">
        <v>0</v>
      </c>
      <c r="E61" s="1285">
        <v>0</v>
      </c>
      <c r="F61" s="1285">
        <v>0</v>
      </c>
      <c r="G61" s="1287">
        <f t="shared" si="2"/>
        <v>0</v>
      </c>
      <c r="I61" s="1313"/>
      <c r="J61" s="1313"/>
      <c r="K61" s="1313"/>
      <c r="L61" s="1313"/>
      <c r="M61" s="1313"/>
      <c r="N61" s="1313"/>
      <c r="O61" s="1313"/>
      <c r="P61" s="1313"/>
      <c r="Q61" s="1313"/>
    </row>
    <row r="62" ht="18" customHeight="1" spans="1:17">
      <c r="A62" s="1283">
        <v>57</v>
      </c>
      <c r="B62" s="1284" t="s">
        <v>91</v>
      </c>
      <c r="C62" s="1285">
        <v>0</v>
      </c>
      <c r="D62" s="1285">
        <v>0</v>
      </c>
      <c r="E62" s="1285">
        <v>0</v>
      </c>
      <c r="F62" s="1285">
        <v>0</v>
      </c>
      <c r="G62" s="1287">
        <f t="shared" si="2"/>
        <v>0</v>
      </c>
      <c r="I62" s="1313"/>
      <c r="J62" s="1313"/>
      <c r="K62" s="1313"/>
      <c r="L62" s="1313"/>
      <c r="M62" s="1313"/>
      <c r="N62" s="1313"/>
      <c r="O62" s="1313"/>
      <c r="P62" s="1313"/>
      <c r="Q62" s="1313"/>
    </row>
    <row r="63" ht="18" customHeight="1" spans="1:17">
      <c r="A63" s="1283">
        <v>58</v>
      </c>
      <c r="B63" s="1284" t="s">
        <v>92</v>
      </c>
      <c r="C63" s="1285"/>
      <c r="D63" s="1285"/>
      <c r="E63" s="1286"/>
      <c r="F63" s="1286"/>
      <c r="G63" s="1287">
        <f t="shared" si="2"/>
        <v>0</v>
      </c>
      <c r="I63" s="1313"/>
      <c r="J63" s="1313"/>
      <c r="K63" s="1313"/>
      <c r="L63" s="1313"/>
      <c r="M63" s="1313"/>
      <c r="N63" s="1313"/>
      <c r="O63" s="1313"/>
      <c r="P63" s="1313"/>
      <c r="Q63" s="1313"/>
    </row>
    <row r="64" ht="18" customHeight="1" spans="1:17">
      <c r="A64" s="1283">
        <v>59</v>
      </c>
      <c r="B64" s="1284" t="s">
        <v>93</v>
      </c>
      <c r="C64" s="1285"/>
      <c r="D64" s="1285"/>
      <c r="E64" s="1285"/>
      <c r="F64" s="1286"/>
      <c r="G64" s="1287">
        <f t="shared" si="2"/>
        <v>0</v>
      </c>
      <c r="I64" s="1313"/>
      <c r="J64" s="1313"/>
      <c r="K64" s="1313"/>
      <c r="L64" s="1313"/>
      <c r="M64" s="1313"/>
      <c r="N64" s="1313"/>
      <c r="O64" s="1313"/>
      <c r="P64" s="1313"/>
      <c r="Q64" s="1313"/>
    </row>
    <row r="65" ht="18" customHeight="1" spans="1:17">
      <c r="A65" s="1283">
        <v>60</v>
      </c>
      <c r="B65" s="1284" t="s">
        <v>94</v>
      </c>
      <c r="C65" s="1285"/>
      <c r="D65" s="1285"/>
      <c r="E65" s="1286"/>
      <c r="F65" s="1286"/>
      <c r="G65" s="1287">
        <f t="shared" si="2"/>
        <v>0</v>
      </c>
      <c r="I65" s="1313"/>
      <c r="J65" s="1313"/>
      <c r="K65" s="1313"/>
      <c r="L65" s="1313"/>
      <c r="M65" s="1313"/>
      <c r="N65" s="1313"/>
      <c r="O65" s="1313"/>
      <c r="P65" s="1313"/>
      <c r="Q65" s="1313"/>
    </row>
    <row r="66" s="1259" customFormat="1" ht="18" customHeight="1" spans="1:81">
      <c r="A66" s="1300">
        <v>61</v>
      </c>
      <c r="B66" s="1301" t="s">
        <v>95</v>
      </c>
      <c r="C66" s="1302">
        <f t="shared" ref="C66:G66" si="9">C58+C44</f>
        <v>-2320238.6</v>
      </c>
      <c r="D66" s="1302">
        <f t="shared" si="9"/>
        <v>10622800.96</v>
      </c>
      <c r="E66" s="1302">
        <f t="shared" si="9"/>
        <v>11115104.38</v>
      </c>
      <c r="F66" s="1303">
        <f t="shared" si="9"/>
        <v>11525000</v>
      </c>
      <c r="G66" s="1304">
        <f t="shared" si="9"/>
        <v>-409895.620000001</v>
      </c>
      <c r="H66" s="1260"/>
      <c r="I66" s="1313"/>
      <c r="J66" s="1313"/>
      <c r="K66" s="1313"/>
      <c r="L66" s="1313"/>
      <c r="M66" s="1313"/>
      <c r="N66" s="1313"/>
      <c r="O66" s="1313"/>
      <c r="P66" s="1313"/>
      <c r="Q66" s="1313"/>
      <c r="R66" s="1260"/>
      <c r="S66" s="1260"/>
      <c r="T66" s="1260"/>
      <c r="U66" s="1260"/>
      <c r="V66" s="1260"/>
      <c r="W66" s="1260"/>
      <c r="X66" s="1260"/>
      <c r="Y66" s="1260"/>
      <c r="Z66" s="1260"/>
      <c r="AA66" s="1260"/>
      <c r="AB66" s="1260"/>
      <c r="AC66" s="1260"/>
      <c r="AD66" s="1260"/>
      <c r="AE66" s="1260"/>
      <c r="AF66" s="1260"/>
      <c r="AG66" s="1260"/>
      <c r="AH66" s="1260"/>
      <c r="AI66" s="1260"/>
      <c r="AJ66" s="1260"/>
      <c r="AK66" s="1260"/>
      <c r="AL66" s="1260"/>
      <c r="AM66" s="1260"/>
      <c r="AN66" s="1260"/>
      <c r="AO66" s="1260"/>
      <c r="AP66" s="1260"/>
      <c r="AQ66" s="1260"/>
      <c r="AR66" s="1260"/>
      <c r="AS66" s="1260"/>
      <c r="AT66" s="1260"/>
      <c r="AU66" s="1260"/>
      <c r="AV66" s="1260"/>
      <c r="AW66" s="1260"/>
      <c r="AX66" s="1260"/>
      <c r="AY66" s="1260"/>
      <c r="AZ66" s="1260"/>
      <c r="BA66" s="1260"/>
      <c r="BB66" s="1260"/>
      <c r="BC66" s="1260"/>
      <c r="BD66" s="1260"/>
      <c r="BE66" s="1260"/>
      <c r="BF66" s="1260"/>
      <c r="BG66" s="1260"/>
      <c r="BH66" s="1260"/>
      <c r="BI66" s="1260"/>
      <c r="BJ66" s="1260"/>
      <c r="BK66" s="1260"/>
      <c r="BL66" s="1260"/>
      <c r="BM66" s="1260"/>
      <c r="BN66" s="1260"/>
      <c r="BO66" s="1260"/>
      <c r="BP66" s="1260"/>
      <c r="BQ66" s="1260"/>
      <c r="BR66" s="1260"/>
      <c r="BS66" s="1260"/>
      <c r="BT66" s="1260"/>
      <c r="BU66" s="1260"/>
      <c r="BV66" s="1260"/>
      <c r="BW66" s="1260"/>
      <c r="BX66" s="1260"/>
      <c r="BY66" s="1260"/>
      <c r="BZ66" s="1260"/>
      <c r="CA66" s="1260"/>
      <c r="CB66" s="1260"/>
      <c r="CC66" s="1260"/>
    </row>
    <row r="67" s="1259" customFormat="1" ht="18" customHeight="1" spans="1:81">
      <c r="A67" s="1305">
        <v>62</v>
      </c>
      <c r="B67" s="1306" t="s">
        <v>96</v>
      </c>
      <c r="C67" s="1314">
        <f t="shared" ref="C67:G67" si="10">C43-C66</f>
        <v>104848850.32</v>
      </c>
      <c r="D67" s="1314">
        <f t="shared" si="10"/>
        <v>101415272.24</v>
      </c>
      <c r="E67" s="1314">
        <f t="shared" si="10"/>
        <v>94169687.93</v>
      </c>
      <c r="F67" s="1315">
        <f t="shared" si="10"/>
        <v>63986670</v>
      </c>
      <c r="G67" s="1316">
        <f t="shared" si="10"/>
        <v>30183017.93</v>
      </c>
      <c r="H67" s="1260"/>
      <c r="I67" s="1260"/>
      <c r="J67" s="1260"/>
      <c r="K67" s="1260"/>
      <c r="L67" s="1260"/>
      <c r="M67" s="1260"/>
      <c r="N67" s="1260"/>
      <c r="O67" s="1260"/>
      <c r="P67" s="1260"/>
      <c r="Q67" s="1260"/>
      <c r="R67" s="1260"/>
      <c r="S67" s="1260"/>
      <c r="T67" s="1260"/>
      <c r="U67" s="1260"/>
      <c r="V67" s="1260"/>
      <c r="W67" s="1260"/>
      <c r="X67" s="1260"/>
      <c r="Y67" s="1260"/>
      <c r="Z67" s="1260"/>
      <c r="AA67" s="1260"/>
      <c r="AB67" s="1260"/>
      <c r="AC67" s="1260"/>
      <c r="AD67" s="1260"/>
      <c r="AE67" s="1260"/>
      <c r="AF67" s="1260"/>
      <c r="AG67" s="1260"/>
      <c r="AH67" s="1260"/>
      <c r="AI67" s="1260"/>
      <c r="AJ67" s="1260"/>
      <c r="AK67" s="1260"/>
      <c r="AL67" s="1260"/>
      <c r="AM67" s="1260"/>
      <c r="AN67" s="1260"/>
      <c r="AO67" s="1260"/>
      <c r="AP67" s="1260"/>
      <c r="AQ67" s="1260"/>
      <c r="AR67" s="1260"/>
      <c r="AS67" s="1260"/>
      <c r="AT67" s="1260"/>
      <c r="AU67" s="1260"/>
      <c r="AV67" s="1260"/>
      <c r="AW67" s="1260"/>
      <c r="AX67" s="1260"/>
      <c r="AY67" s="1260"/>
      <c r="AZ67" s="1260"/>
      <c r="BA67" s="1260"/>
      <c r="BB67" s="1260"/>
      <c r="BC67" s="1260"/>
      <c r="BD67" s="1260"/>
      <c r="BE67" s="1260"/>
      <c r="BF67" s="1260"/>
      <c r="BG67" s="1260"/>
      <c r="BH67" s="1260"/>
      <c r="BI67" s="1260"/>
      <c r="BJ67" s="1260"/>
      <c r="BK67" s="1260"/>
      <c r="BL67" s="1260"/>
      <c r="BM67" s="1260"/>
      <c r="BN67" s="1260"/>
      <c r="BO67" s="1260"/>
      <c r="BP67" s="1260"/>
      <c r="BQ67" s="1260"/>
      <c r="BR67" s="1260"/>
      <c r="BS67" s="1260"/>
      <c r="BT67" s="1260"/>
      <c r="BU67" s="1260"/>
      <c r="BV67" s="1260"/>
      <c r="BW67" s="1260"/>
      <c r="BX67" s="1260"/>
      <c r="BY67" s="1260"/>
      <c r="BZ67" s="1260"/>
      <c r="CA67" s="1260"/>
      <c r="CB67" s="1260"/>
      <c r="CC67" s="1260"/>
    </row>
    <row r="68" s="1260" customFormat="1" ht="18" customHeight="1" spans="1:7">
      <c r="A68" s="1283">
        <v>63</v>
      </c>
      <c r="B68" s="1317" t="s">
        <v>97</v>
      </c>
      <c r="C68" s="1318"/>
      <c r="D68" s="1318"/>
      <c r="E68" s="1318"/>
      <c r="F68" s="1319"/>
      <c r="G68" s="1320"/>
    </row>
    <row r="69" s="1260" customFormat="1" ht="18" customHeight="1" spans="1:7">
      <c r="A69" s="1300">
        <v>64</v>
      </c>
      <c r="B69" s="1301" t="s">
        <v>98</v>
      </c>
      <c r="C69" s="1321">
        <f t="shared" ref="C69:F69" si="11">C67-C68</f>
        <v>104848850.32</v>
      </c>
      <c r="D69" s="1321">
        <f t="shared" si="11"/>
        <v>101415272.24</v>
      </c>
      <c r="E69" s="1321">
        <f t="shared" si="11"/>
        <v>94169687.93</v>
      </c>
      <c r="F69" s="1321">
        <f t="shared" si="11"/>
        <v>63986670</v>
      </c>
      <c r="G69" s="1322"/>
    </row>
    <row r="70" s="1261" customFormat="1" ht="18" customHeight="1"/>
    <row r="71" s="1261" customFormat="1"/>
    <row r="72" s="1261" customFormat="1"/>
    <row r="73" s="1261" customFormat="1"/>
    <row r="74" s="1261" customFormat="1"/>
    <row r="75" s="1261" customFormat="1"/>
    <row r="76" s="1261" customFormat="1"/>
    <row r="77" s="1261" customFormat="1"/>
    <row r="78" s="1261" customFormat="1"/>
    <row r="79" s="1261" customFormat="1"/>
    <row r="80" s="1261" customFormat="1"/>
    <row r="81" s="1261" customFormat="1"/>
    <row r="82" s="1261" customFormat="1"/>
    <row r="83" s="1261" customFormat="1"/>
    <row r="84" s="1261" customFormat="1"/>
    <row r="85" s="1261" customFormat="1"/>
    <row r="86" s="1261" customFormat="1"/>
    <row r="87" s="1261" customFormat="1"/>
    <row r="88" s="1261" customFormat="1"/>
    <row r="89" s="1261" customFormat="1"/>
    <row r="90" s="1261" customFormat="1"/>
    <row r="91" s="1261" customFormat="1"/>
    <row r="92" s="1261" customFormat="1"/>
    <row r="93" s="1261" customFormat="1"/>
    <row r="94" s="1261" customFormat="1"/>
    <row r="95" s="1261" customFormat="1"/>
    <row r="96" s="1261" customFormat="1"/>
    <row r="97" s="1261" customFormat="1"/>
    <row r="98" s="1261" customFormat="1"/>
    <row r="99" s="1261" customFormat="1"/>
    <row r="100" s="1261" customFormat="1"/>
    <row r="101" s="1261" customFormat="1"/>
    <row r="102" s="1261" customFormat="1"/>
    <row r="103" s="1261" customFormat="1"/>
    <row r="104" s="1261" customFormat="1"/>
    <row r="105" s="1261" customFormat="1"/>
    <row r="106" s="1261" customFormat="1"/>
    <row r="107" s="1261" customFormat="1"/>
    <row r="108" s="1261" customFormat="1"/>
    <row r="109" s="1261" customFormat="1"/>
    <row r="110" s="1261" customFormat="1"/>
    <row r="111" s="1261" customFormat="1"/>
    <row r="112" s="1261" customFormat="1"/>
    <row r="113" s="1261" customFormat="1"/>
    <row r="114" s="1261" customFormat="1"/>
    <row r="115" s="1261" customFormat="1"/>
    <row r="116" s="1261" customFormat="1"/>
    <row r="117" s="1261" customFormat="1"/>
    <row r="118" s="1261" customFormat="1"/>
    <row r="119" s="1261" customFormat="1"/>
    <row r="120" s="1261" customFormat="1"/>
    <row r="121" s="1261" customFormat="1"/>
    <row r="122" s="1261" customFormat="1"/>
    <row r="123" s="1261" customFormat="1"/>
    <row r="124" s="1261" customFormat="1"/>
    <row r="125" s="1261" customFormat="1"/>
    <row r="126" s="1261" customFormat="1"/>
    <row r="127" s="1261" customFormat="1"/>
    <row r="128" s="1261" customFormat="1"/>
    <row r="129" s="1261" customFormat="1"/>
    <row r="130" s="1261" customFormat="1"/>
    <row r="131" s="1261" customFormat="1"/>
    <row r="132" s="1261" customFormat="1"/>
    <row r="133" s="1261" customFormat="1"/>
    <row r="134" s="1261" customFormat="1"/>
    <row r="135" s="1261" customFormat="1"/>
    <row r="136" s="1261" customFormat="1"/>
    <row r="137" s="1261" customFormat="1"/>
    <row r="138" s="1261" customFormat="1"/>
    <row r="139" s="1261" customFormat="1"/>
    <row r="140" s="1261" customFormat="1"/>
    <row r="141" s="1261" customFormat="1"/>
    <row r="142" s="1261" customFormat="1"/>
    <row r="143" s="1261" customFormat="1"/>
    <row r="144" s="1261" customFormat="1"/>
    <row r="145" s="1261" customFormat="1"/>
    <row r="146" s="1261" customFormat="1"/>
    <row r="147" s="1261" customFormat="1"/>
    <row r="148" s="1261" customFormat="1"/>
    <row r="149" s="1261" customFormat="1"/>
    <row r="150" s="1261" customFormat="1"/>
    <row r="151" s="1261" customFormat="1"/>
    <row r="152" s="1261" customFormat="1"/>
    <row r="153" s="1261" customFormat="1"/>
    <row r="154" s="1261" customFormat="1"/>
    <row r="155" s="1261" customFormat="1"/>
    <row r="156" s="1261" customFormat="1"/>
    <row r="157" s="1261" customFormat="1"/>
    <row r="158" s="1261" customFormat="1"/>
    <row r="159" s="1261" customFormat="1"/>
    <row r="160" s="1261" customFormat="1"/>
    <row r="161" s="1261" customFormat="1"/>
    <row r="162" s="1261" customFormat="1"/>
    <row r="163" s="1261" customFormat="1"/>
    <row r="164" s="1261" customFormat="1"/>
    <row r="165" s="1261" customFormat="1"/>
    <row r="166" s="1261" customFormat="1"/>
    <row r="167" s="1261" customFormat="1"/>
    <row r="168" s="1261" customFormat="1"/>
    <row r="169" s="1261" customFormat="1"/>
    <row r="170" s="1261" customFormat="1"/>
    <row r="171" s="1261" customFormat="1"/>
    <row r="172" s="1261" customFormat="1"/>
    <row r="173" s="1261" customFormat="1"/>
    <row r="174" s="1261" customFormat="1"/>
    <row r="175" s="1261" customFormat="1"/>
    <row r="176" s="1261" customFormat="1"/>
    <row r="177" s="1261" customFormat="1"/>
    <row r="178" s="1261" customFormat="1"/>
    <row r="179" s="1261" customFormat="1"/>
    <row r="180" s="1261" customFormat="1"/>
    <row r="181" s="1261" customFormat="1"/>
    <row r="182" s="1261" customFormat="1"/>
    <row r="183" s="1261" customFormat="1"/>
    <row r="184" s="1261" customFormat="1"/>
    <row r="185" s="1261" customFormat="1"/>
    <row r="186" s="1261" customFormat="1"/>
    <row r="187" s="1261" customFormat="1"/>
    <row r="188" s="1261" customFormat="1"/>
    <row r="189" s="1261" customFormat="1"/>
    <row r="190" s="1261" customFormat="1"/>
    <row r="191" s="1261" customFormat="1"/>
    <row r="192" s="1261" customFormat="1"/>
    <row r="193" s="1261" customFormat="1"/>
    <row r="194" s="1261" customFormat="1"/>
    <row r="195" s="1261" customFormat="1"/>
    <row r="196" s="1261" customFormat="1"/>
    <row r="197" s="1261" customFormat="1"/>
    <row r="198" s="1261" customFormat="1"/>
    <row r="199" s="1261" customFormat="1"/>
    <row r="200" s="1261" customFormat="1"/>
    <row r="201" s="1261" customFormat="1"/>
    <row r="202" s="1261" customFormat="1"/>
    <row r="203" s="1261" customFormat="1"/>
    <row r="204" s="1261" customFormat="1"/>
    <row r="205" s="1261" customFormat="1"/>
    <row r="206" s="1261" customFormat="1"/>
    <row r="207" s="1261" customFormat="1"/>
    <row r="208" s="1261" customFormat="1"/>
    <row r="209" s="1261" customFormat="1"/>
    <row r="210" s="1261" customFormat="1"/>
    <row r="211" s="1261" customFormat="1"/>
    <row r="212" s="1261" customFormat="1"/>
    <row r="213" s="1261" customFormat="1"/>
    <row r="214" s="1261" customFormat="1"/>
    <row r="215" s="1261" customFormat="1"/>
    <row r="216" s="1261" customFormat="1"/>
    <row r="217" s="1261" customFormat="1"/>
    <row r="218" s="1261" customFormat="1"/>
    <row r="219" s="1261" customFormat="1"/>
    <row r="220" s="1261" customFormat="1"/>
    <row r="221" s="1261" customFormat="1"/>
    <row r="222" s="1261" customFormat="1"/>
    <row r="223" s="1261" customFormat="1"/>
    <row r="224" s="1261" customFormat="1"/>
    <row r="225" s="1261" customFormat="1"/>
    <row r="226" s="1261" customFormat="1"/>
    <row r="227" s="1261" customFormat="1"/>
    <row r="228" s="1261" customFormat="1"/>
    <row r="229" s="1261" customFormat="1"/>
    <row r="230" s="1261" customFormat="1"/>
    <row r="231" s="1261" customFormat="1"/>
    <row r="232" s="1261" customFormat="1"/>
    <row r="233" s="1261" customFormat="1"/>
    <row r="234" s="1261" customFormat="1"/>
    <row r="235" s="1261" customFormat="1"/>
    <row r="236" s="1261" customFormat="1"/>
    <row r="237" s="1261" customFormat="1"/>
    <row r="238" s="1261" customFormat="1"/>
    <row r="239" s="1261" customFormat="1"/>
    <row r="240" s="1261" customFormat="1"/>
    <row r="241" s="1261" customFormat="1"/>
    <row r="242" s="1261" customFormat="1"/>
    <row r="243" s="1261" customFormat="1"/>
    <row r="244" s="1261" customFormat="1"/>
    <row r="245" s="1261" customFormat="1"/>
    <row r="246" s="1261" customFormat="1"/>
    <row r="247" s="1261" customFormat="1"/>
    <row r="248" s="1261" customFormat="1"/>
    <row r="249" s="1261" customFormat="1"/>
    <row r="250" s="1261" customFormat="1"/>
    <row r="251" s="1261" customFormat="1"/>
    <row r="252" s="1261" customFormat="1"/>
    <row r="253" s="1261" customFormat="1"/>
    <row r="254" s="1261" customFormat="1"/>
    <row r="255" s="1261" customFormat="1"/>
    <row r="256" s="1261" customFormat="1"/>
    <row r="257" s="1261" customFormat="1"/>
    <row r="258" s="1261" customFormat="1"/>
    <row r="259" s="1261" customFormat="1"/>
    <row r="260" s="1261" customFormat="1"/>
    <row r="261" s="1261" customFormat="1"/>
    <row r="262" s="1261" customFormat="1"/>
    <row r="263" s="1261" customFormat="1"/>
    <row r="264" s="1261" customFormat="1"/>
    <row r="265" s="1261" customFormat="1"/>
    <row r="266" s="1261" customFormat="1"/>
    <row r="267" s="1261" customFormat="1"/>
    <row r="268" s="1261" customFormat="1"/>
    <row r="269" s="1261" customFormat="1"/>
    <row r="270" s="1261" customFormat="1"/>
    <row r="271" s="1261" customFormat="1"/>
    <row r="272" s="1261" customFormat="1"/>
    <row r="273" s="1261" customFormat="1"/>
    <row r="274" s="1261" customFormat="1"/>
    <row r="275" s="1261" customFormat="1"/>
    <row r="276" s="1261" customFormat="1"/>
    <row r="277" s="1261" customFormat="1"/>
    <row r="278" s="1261" customFormat="1"/>
    <row r="279" s="1261" customFormat="1"/>
    <row r="280" s="1261" customFormat="1"/>
    <row r="281" s="1261" customFormat="1"/>
    <row r="282" s="1261" customFormat="1"/>
    <row r="283" s="1261" customFormat="1"/>
    <row r="284" s="1261" customFormat="1"/>
    <row r="285" s="1261" customFormat="1"/>
    <row r="286" s="1261" customFormat="1"/>
    <row r="287" s="1261" customFormat="1"/>
    <row r="288" s="1261" customFormat="1"/>
    <row r="289" s="1261" customFormat="1"/>
    <row r="290" s="1261" customFormat="1"/>
    <row r="291" s="1261" customFormat="1"/>
    <row r="292" s="1261" customFormat="1"/>
    <row r="293" s="1261" customFormat="1"/>
    <row r="294" s="1261" customFormat="1"/>
    <row r="295" s="1261" customFormat="1"/>
    <row r="296" s="1261" customFormat="1"/>
    <row r="297" s="1261" customFormat="1"/>
    <row r="298" s="1261" customFormat="1"/>
    <row r="299" s="1261" customFormat="1"/>
    <row r="300" s="1261" customFormat="1"/>
    <row r="301" s="1261" customFormat="1"/>
    <row r="302" s="1261" customFormat="1"/>
    <row r="303" s="1261" customFormat="1"/>
    <row r="304" s="1261" customFormat="1"/>
    <row r="305" s="1261" customFormat="1"/>
    <row r="306" s="1261" customFormat="1"/>
    <row r="307" s="1261" customFormat="1"/>
    <row r="308" s="1261" customFormat="1"/>
    <row r="309" s="1261" customFormat="1"/>
    <row r="310" s="1261" customFormat="1"/>
    <row r="311" s="1261" customFormat="1"/>
    <row r="312" s="1261" customFormat="1"/>
    <row r="313" s="1261" customFormat="1"/>
    <row r="314" s="1261" customFormat="1"/>
    <row r="315" s="1261" customFormat="1"/>
    <row r="316" s="1261" customFormat="1"/>
    <row r="317" s="1261" customFormat="1"/>
    <row r="318" s="1261" customFormat="1"/>
    <row r="319" s="1261" customFormat="1"/>
    <row r="320" s="1261" customFormat="1"/>
    <row r="321" s="1261" customFormat="1"/>
    <row r="322" s="1261" customFormat="1"/>
    <row r="323" s="1261" customFormat="1"/>
    <row r="324" s="1261" customFormat="1"/>
    <row r="325" s="1261" customFormat="1"/>
    <row r="326" s="1261" customFormat="1"/>
    <row r="327" s="1261" customFormat="1"/>
    <row r="328" s="1261" customFormat="1"/>
    <row r="329" s="1261" customFormat="1"/>
    <row r="330" s="1261" customFormat="1"/>
    <row r="331" s="1261" customFormat="1"/>
    <row r="332" s="1261" customFormat="1"/>
    <row r="333" s="1261" customFormat="1"/>
    <row r="334" s="1261" customFormat="1"/>
    <row r="335" s="1261" customFormat="1"/>
    <row r="336" s="1261" customFormat="1"/>
    <row r="337" s="1261" customFormat="1"/>
    <row r="338" s="1261" customFormat="1"/>
    <row r="339" s="1261" customFormat="1"/>
    <row r="340" s="1261" customFormat="1"/>
    <row r="341" s="1261" customFormat="1"/>
    <row r="342" s="1261" customFormat="1"/>
    <row r="343" s="1261" customFormat="1"/>
    <row r="344" s="1261" customFormat="1"/>
    <row r="345" s="1261" customFormat="1"/>
    <row r="346" s="1261" customFormat="1"/>
    <row r="347" s="1261" customFormat="1"/>
    <row r="348" s="1261" customFormat="1"/>
    <row r="349" s="1261" customFormat="1"/>
    <row r="350" s="1261" customFormat="1"/>
    <row r="351" s="1261" customFormat="1"/>
    <row r="352" s="1261" customFormat="1"/>
    <row r="353" s="1261" customFormat="1"/>
    <row r="354" s="1261" customFormat="1"/>
    <row r="355" s="1261" customFormat="1"/>
    <row r="356" s="1261" customFormat="1"/>
    <row r="357" s="1261" customFormat="1"/>
    <row r="358" s="1261" customFormat="1"/>
    <row r="359" s="1261" customFormat="1"/>
    <row r="360" s="1261" customFormat="1"/>
    <row r="361" s="1261" customFormat="1"/>
    <row r="362" s="1261" customFormat="1"/>
    <row r="363" s="1261" customFormat="1"/>
    <row r="364" s="1261" customFormat="1"/>
    <row r="365" s="1261" customFormat="1"/>
    <row r="366" s="1261" customFormat="1"/>
    <row r="367" s="1261" customFormat="1"/>
    <row r="368" s="1261" customFormat="1"/>
    <row r="369" s="1261" customFormat="1"/>
    <row r="370" s="1261" customFormat="1"/>
    <row r="371" s="1261" customFormat="1"/>
    <row r="372" s="1261" customFormat="1"/>
    <row r="373" s="1261" customFormat="1"/>
    <row r="374" s="1261" customFormat="1"/>
    <row r="375" s="1261" customFormat="1"/>
    <row r="376" s="1261" customFormat="1"/>
    <row r="377" s="1261" customFormat="1"/>
    <row r="378" s="1261" customFormat="1"/>
    <row r="379" s="1261" customFormat="1"/>
    <row r="380" s="1261" customFormat="1"/>
    <row r="381" s="1261" customFormat="1"/>
    <row r="382" s="1261" customFormat="1"/>
  </sheetData>
  <mergeCells count="3">
    <mergeCell ref="E4:G4"/>
    <mergeCell ref="A4:A5"/>
    <mergeCell ref="B4:B5"/>
  </mergeCells>
  <pageMargins left="0.699305555555556" right="0.699305555555556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opLeftCell="A25" workbookViewId="0">
      <selection activeCell="C11" sqref="C11"/>
    </sheetView>
  </sheetViews>
  <sheetFormatPr defaultColWidth="8.1" defaultRowHeight="14.25" outlineLevelCol="4"/>
  <cols>
    <col min="1" max="1" width="26" style="1213" customWidth="1"/>
    <col min="2" max="2" width="15.1" style="1213" customWidth="1"/>
    <col min="3" max="4" width="14.2" style="1213" customWidth="1"/>
    <col min="5" max="5" width="18.7" style="1213" customWidth="1"/>
    <col min="6" max="16384" width="8.1" style="1213"/>
  </cols>
  <sheetData>
    <row r="1" ht="17.4" customHeight="1" spans="3:3">
      <c r="C1" s="1214" t="s">
        <v>99</v>
      </c>
    </row>
    <row r="2" ht="11.25" customHeight="1" spans="1:4">
      <c r="A2" s="1215"/>
      <c r="B2" s="1215"/>
      <c r="C2" s="1216"/>
      <c r="D2" s="1216"/>
    </row>
    <row r="3" ht="18" customHeight="1" spans="1:5">
      <c r="A3" s="1217" t="str">
        <f>封面!B2</f>
        <v>被评估单位：福建卫东新能源股份有限公司</v>
      </c>
      <c r="B3" s="1218"/>
      <c r="D3" s="1219" t="s">
        <v>100</v>
      </c>
      <c r="E3" s="1220" t="str">
        <f>封面!C3</f>
        <v>2017年12月31日</v>
      </c>
    </row>
    <row r="4" ht="4.5" customHeight="1" spans="1:4">
      <c r="A4" s="1221"/>
      <c r="B4" s="1222"/>
      <c r="C4" s="1222"/>
      <c r="D4" s="1223"/>
    </row>
    <row r="5" s="1212" customFormat="1" ht="17.25" customHeight="1" spans="1:5">
      <c r="A5" s="1224"/>
      <c r="B5" s="1224"/>
      <c r="C5" s="1162"/>
      <c r="E5" s="1225" t="s">
        <v>101</v>
      </c>
    </row>
    <row r="6" s="1161" customFormat="1" ht="15.75" customHeight="1" spans="1:5">
      <c r="A6" s="1226" t="s">
        <v>102</v>
      </c>
      <c r="B6" s="1175">
        <f>'[34]表I-1近年利润表'!B6</f>
        <v>2015</v>
      </c>
      <c r="C6" s="1175">
        <f>'[34]表I-1近年利润表'!C6</f>
        <v>2016</v>
      </c>
      <c r="D6" s="1175">
        <f>'[34]表I-1近年利润表'!D6</f>
        <v>2017</v>
      </c>
      <c r="E6" s="1175" t="s">
        <v>103</v>
      </c>
    </row>
    <row r="7" ht="15.75" customHeight="1" spans="1:5">
      <c r="A7" s="1227" t="str">
        <f>'[34]表I-1近年利润表'!A7</f>
        <v>一、营业总收入</v>
      </c>
      <c r="B7" s="1228">
        <f>B8+B9</f>
        <v>2935047.15</v>
      </c>
      <c r="C7" s="1229">
        <f>C8+C9</f>
        <v>10814267.79</v>
      </c>
      <c r="D7" s="1228">
        <f>D8+D9</f>
        <v>3114175.71</v>
      </c>
      <c r="E7" s="1230"/>
    </row>
    <row r="8" ht="15.75" customHeight="1" spans="1:5">
      <c r="A8" s="1231" t="str">
        <f>'[34]表I-1近年利润表'!A8</f>
        <v>其中：主营业务收入</v>
      </c>
      <c r="B8" s="1232">
        <v>2935047.15</v>
      </c>
      <c r="C8" s="1233">
        <v>10473621.5</v>
      </c>
      <c r="D8" s="1232">
        <f>2167194.48+946981.23</f>
        <v>3114175.71</v>
      </c>
      <c r="E8" s="1234"/>
    </row>
    <row r="9" ht="15.75" customHeight="1" spans="1:5">
      <c r="A9" s="1235" t="str">
        <f>'[34]表I-1近年利润表'!A9</f>
        <v>其他业务收入</v>
      </c>
      <c r="B9" s="1232">
        <v>0</v>
      </c>
      <c r="C9" s="1233">
        <v>340646.29</v>
      </c>
      <c r="D9" s="1232"/>
      <c r="E9" s="1234"/>
    </row>
    <row r="10" ht="15.75" customHeight="1" spans="1:5">
      <c r="A10" s="1236" t="str">
        <f>'[34]表I-1近年利润表'!A10</f>
        <v>二、营业总成本</v>
      </c>
      <c r="B10" s="1237">
        <f>B11+B15+B16+B17+B18+B19</f>
        <v>11306484.74</v>
      </c>
      <c r="C10" s="1237">
        <f>C11+C15+C16+C17+C18+C19</f>
        <v>15930623.05</v>
      </c>
      <c r="D10" s="1237">
        <f>D11+D15+D16+D17+D18+D19</f>
        <v>10507875.61</v>
      </c>
      <c r="E10" s="1238"/>
    </row>
    <row r="11" ht="15.75" customHeight="1" spans="1:5">
      <c r="A11" s="1239" t="str">
        <f>'[34]表I-1近年利润表'!A11</f>
        <v>其中:营业成本</v>
      </c>
      <c r="B11" s="1232">
        <f>B12+B14</f>
        <v>2114358.23</v>
      </c>
      <c r="C11" s="1232">
        <f t="shared" ref="C11:D11" si="0">C12+C14</f>
        <v>7060951.45</v>
      </c>
      <c r="D11" s="1232">
        <f t="shared" si="0"/>
        <v>4577497.65</v>
      </c>
      <c r="E11" s="1234"/>
    </row>
    <row r="12" ht="15.75" customHeight="1" spans="1:5">
      <c r="A12" s="1231" t="str">
        <f>'[34]表I-1近年利润表'!A12</f>
        <v>其中:主营业务成本</v>
      </c>
      <c r="B12" s="1232">
        <v>2114358.23</v>
      </c>
      <c r="C12" s="1232">
        <v>7060951.45</v>
      </c>
      <c r="D12" s="1232">
        <v>4577497.65</v>
      </c>
      <c r="E12" s="1234"/>
    </row>
    <row r="13" ht="15.75" customHeight="1" spans="1:5">
      <c r="A13" s="1231"/>
      <c r="B13" s="1232">
        <v>2418428.88</v>
      </c>
      <c r="C13" s="1232">
        <v>8839205.18</v>
      </c>
      <c r="D13" s="1232">
        <v>9843943.6</v>
      </c>
      <c r="E13" s="1234"/>
    </row>
    <row r="14" ht="15.75" customHeight="1" spans="1:5">
      <c r="A14" s="1235" t="str">
        <f>'[34]表I-1近年利润表'!A13</f>
        <v>其他业务成本</v>
      </c>
      <c r="B14" s="1232"/>
      <c r="C14" s="1232"/>
      <c r="D14" s="1232"/>
      <c r="E14" s="1234"/>
    </row>
    <row r="15" ht="15.75" customHeight="1" spans="1:5">
      <c r="A15" s="1240" t="str">
        <f>'[34]表I-1近年利润表'!A14</f>
        <v>营业税金及附加</v>
      </c>
      <c r="B15" s="1232">
        <v>0</v>
      </c>
      <c r="C15" s="1232">
        <v>19772.45</v>
      </c>
      <c r="D15" s="1232">
        <v>4228.6</v>
      </c>
      <c r="E15" s="1234"/>
    </row>
    <row r="16" ht="15.75" customHeight="1" spans="1:5">
      <c r="A16" s="1240" t="str">
        <f>'[34]表I-1近年利润表'!A15</f>
        <v>营业费用</v>
      </c>
      <c r="B16" s="1232">
        <v>206429.86</v>
      </c>
      <c r="C16" s="1232">
        <v>159667.88</v>
      </c>
      <c r="D16" s="1232">
        <v>142374.42</v>
      </c>
      <c r="E16" s="1234"/>
    </row>
    <row r="17" ht="15.75" customHeight="1" spans="1:5">
      <c r="A17" s="1241" t="str">
        <f>'[34]表I-1近年利润表'!A16</f>
        <v>管理费用</v>
      </c>
      <c r="B17" s="1232">
        <v>8885053.78</v>
      </c>
      <c r="C17" s="1232">
        <v>8515846.95</v>
      </c>
      <c r="D17" s="1232">
        <v>5194277.13</v>
      </c>
      <c r="E17" s="1234"/>
    </row>
    <row r="18" ht="15.75" customHeight="1" spans="1:5">
      <c r="A18" s="1241" t="str">
        <f>'[34]表I-1近年利润表'!A17</f>
        <v>财务费用</v>
      </c>
      <c r="B18" s="1232">
        <v>-31334.51</v>
      </c>
      <c r="C18" s="1232">
        <v>700.17</v>
      </c>
      <c r="D18" s="1232">
        <v>2898.07</v>
      </c>
      <c r="E18" s="1234"/>
    </row>
    <row r="19" ht="15.75" customHeight="1" spans="1:5">
      <c r="A19" s="1241" t="str">
        <f>'[34]表I-1近年利润表'!A18</f>
        <v>资产减值损失</v>
      </c>
      <c r="B19" s="1232">
        <v>131977.38</v>
      </c>
      <c r="C19" s="1232">
        <v>173684.15</v>
      </c>
      <c r="D19" s="1232">
        <v>586599.74</v>
      </c>
      <c r="E19" s="1234"/>
    </row>
    <row r="20" ht="15.75" customHeight="1" spans="1:5">
      <c r="A20" s="1242" t="str">
        <f>'[34]表I-1近年利润表'!A19</f>
        <v>加：公允价值变动收益</v>
      </c>
      <c r="B20" s="1232">
        <v>-72073</v>
      </c>
      <c r="C20" s="1232">
        <v>72073</v>
      </c>
      <c r="D20" s="1232">
        <v>0</v>
      </c>
      <c r="E20" s="1234"/>
    </row>
    <row r="21" ht="15.75" customHeight="1" spans="1:5">
      <c r="A21" s="1236" t="str">
        <f>'[34]表I-1近年利润表'!A20</f>
        <v>投资收益</v>
      </c>
      <c r="B21" s="1232">
        <v>63559.56</v>
      </c>
      <c r="C21" s="1232">
        <v>1832010.37</v>
      </c>
      <c r="D21" s="1232">
        <v>0</v>
      </c>
      <c r="E21" s="1234"/>
    </row>
    <row r="22" ht="15.75" customHeight="1" spans="1:5">
      <c r="A22" s="1243" t="str">
        <f>'[34]表I-1近年利润表'!A21</f>
        <v>三、营业利润</v>
      </c>
      <c r="B22" s="1244">
        <f>B7-B10+B20+B21</f>
        <v>-8379951.03</v>
      </c>
      <c r="C22" s="1244">
        <f t="shared" ref="C22:D22" si="1">C7-C10+C20+C21</f>
        <v>-3212271.89</v>
      </c>
      <c r="D22" s="1244">
        <f t="shared" si="1"/>
        <v>-7393699.9</v>
      </c>
      <c r="E22" s="1238"/>
    </row>
    <row r="23" ht="15.75" customHeight="1" spans="1:5">
      <c r="A23" s="1241" t="str">
        <f>'[34]表I-1近年利润表'!A22</f>
        <v>加：营业外收入</v>
      </c>
      <c r="B23" s="1232">
        <v>175926.16</v>
      </c>
      <c r="C23" s="1232">
        <v>10000</v>
      </c>
      <c r="D23" s="1232">
        <v>1501.06</v>
      </c>
      <c r="E23" s="1234"/>
    </row>
    <row r="24" ht="15.75" customHeight="1" spans="1:5">
      <c r="A24" s="1241" t="str">
        <f>'[34]表I-1近年利润表'!A23</f>
        <v>减: 营业外支出</v>
      </c>
      <c r="B24" s="1232">
        <v>0</v>
      </c>
      <c r="C24" s="1232">
        <v>2.23</v>
      </c>
      <c r="D24" s="1232">
        <v>35.4</v>
      </c>
      <c r="E24" s="1234"/>
    </row>
    <row r="25" ht="15.75" customHeight="1" spans="1:5">
      <c r="A25" s="1243" t="str">
        <f>'[34]表I-1近年利润表'!A24</f>
        <v>四、利润总额</v>
      </c>
      <c r="B25" s="1244">
        <f>B22+B23-B24</f>
        <v>-8204024.87</v>
      </c>
      <c r="C25" s="1244">
        <f>C22+C23-C24</f>
        <v>-3202274.12</v>
      </c>
      <c r="D25" s="1244">
        <f>D22+D23-D24</f>
        <v>-7392234.24</v>
      </c>
      <c r="E25" s="1238"/>
    </row>
    <row r="26" ht="15.75" customHeight="1" spans="1:5">
      <c r="A26" s="1239" t="str">
        <f>'[34]表I-1近年利润表'!A25</f>
        <v>减:  所得税</v>
      </c>
      <c r="B26" s="1232">
        <v>-1492947.63</v>
      </c>
      <c r="C26" s="1232">
        <v>-43421.04</v>
      </c>
      <c r="D26" s="1232">
        <v>-146649.94</v>
      </c>
      <c r="E26" s="1238"/>
    </row>
    <row r="27" ht="15.75" customHeight="1" spans="1:5">
      <c r="A27" s="1245" t="str">
        <f>'[34]表I-1近年利润表'!A26</f>
        <v>五、净利润</v>
      </c>
      <c r="B27" s="1246">
        <f>B25-B26</f>
        <v>-6711077.24</v>
      </c>
      <c r="C27" s="1246">
        <f>C25-C26</f>
        <v>-3158853.08</v>
      </c>
      <c r="D27" s="1246">
        <f>D25-D26</f>
        <v>-7245584.3</v>
      </c>
      <c r="E27" s="1238"/>
    </row>
    <row r="28" ht="15.75" customHeight="1" spans="1:5">
      <c r="A28" s="1247" t="str">
        <f>'[34]表I-1近年利润表'!A27</f>
        <v>净利润增长率</v>
      </c>
      <c r="B28" s="1248"/>
      <c r="C28" s="1248">
        <f>IF(B27=0,"",ROUND((C27-B27)/B27,4))</f>
        <v>-0.5293</v>
      </c>
      <c r="D28" s="1248">
        <f>IF(C27=0,"",ROUND((D27-C27)/C27,4))</f>
        <v>1.2937</v>
      </c>
      <c r="E28" s="1249"/>
    </row>
    <row r="29" ht="15.75" customHeight="1" spans="1:5">
      <c r="A29" s="1243" t="str">
        <f>'[34]表I-1近年利润表'!A28</f>
        <v>其中：少数股东损益</v>
      </c>
      <c r="B29" s="1250"/>
      <c r="C29" s="1250"/>
      <c r="D29" s="1250"/>
      <c r="E29" s="1251"/>
    </row>
    <row r="30" ht="15.75" customHeight="1" spans="1:5">
      <c r="A30" s="1252" t="str">
        <f>'[34]表I-1近年利润表'!A29</f>
        <v>占总利润比例</v>
      </c>
      <c r="B30" s="1253" t="str">
        <f>IF(B27=0,"",IF(B29&lt;&gt;0,B29/B27,""))</f>
        <v/>
      </c>
      <c r="C30" s="1253" t="str">
        <f>IF(C27=0,"",IF(C29&lt;&gt;0,C29/C27,""))</f>
        <v/>
      </c>
      <c r="D30" s="1253" t="str">
        <f>IF(D27=0,"",IF(D29&lt;&gt;0,D29/D27,""))</f>
        <v/>
      </c>
      <c r="E30" s="1254"/>
    </row>
    <row r="31" ht="15.75" customHeight="1" spans="1:5">
      <c r="A31" s="1255" t="str">
        <f>'[34]表I-1近年利润表'!A30</f>
        <v>六、归属于母公司损益</v>
      </c>
      <c r="B31" s="1256">
        <f>B27-B29</f>
        <v>-6711077.24</v>
      </c>
      <c r="C31" s="1256">
        <f>C27-C29</f>
        <v>-3158853.08</v>
      </c>
      <c r="D31" s="1256">
        <f>D27-D29</f>
        <v>-7245584.3</v>
      </c>
      <c r="E31" s="1257"/>
    </row>
    <row r="32" ht="11.25" customHeight="1" spans="1:4">
      <c r="A32" s="1162"/>
      <c r="B32" s="1258"/>
      <c r="C32" s="1258"/>
      <c r="D32" s="1258"/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H19" sqref="H19:M19"/>
    </sheetView>
  </sheetViews>
  <sheetFormatPr defaultColWidth="8.1" defaultRowHeight="14.25"/>
  <cols>
    <col min="1" max="1" width="6.4" style="1164" customWidth="1"/>
    <col min="2" max="2" width="15.1" style="1164" customWidth="1"/>
    <col min="3" max="3" width="7.5" style="1164" customWidth="1"/>
    <col min="4" max="8" width="13.9" style="1164" customWidth="1"/>
    <col min="9" max="9" width="4.9" style="1164" customWidth="1"/>
    <col min="10" max="10" width="6.7" style="1164" customWidth="1"/>
    <col min="11" max="16384" width="8.1" style="1164"/>
  </cols>
  <sheetData>
    <row r="1" ht="3" customHeight="1" spans="1:6">
      <c r="A1" s="1165"/>
      <c r="B1" s="1166"/>
      <c r="C1" s="1166"/>
      <c r="D1" s="1166"/>
      <c r="E1" s="1166"/>
      <c r="F1" s="1166"/>
    </row>
    <row r="2" ht="18" customHeight="1" spans="1:7">
      <c r="A2" s="1167" t="str">
        <f>封面!B2</f>
        <v>被评估单位：福建卫东新能源股份有限公司</v>
      </c>
      <c r="C2" s="1168"/>
      <c r="D2" s="1169"/>
      <c r="E2" s="1170"/>
      <c r="F2" s="1167" t="s">
        <v>2</v>
      </c>
      <c r="G2" s="1171" t="str">
        <f>封面!C3</f>
        <v>2017年12月31日</v>
      </c>
    </row>
    <row r="3" ht="9.75" customHeight="1" spans="1:6">
      <c r="A3" s="1167"/>
      <c r="C3" s="1168"/>
      <c r="D3" s="1169"/>
      <c r="E3" s="1170"/>
      <c r="F3" s="1167"/>
    </row>
    <row r="4" s="1161" customFormat="1" ht="16.5" customHeight="1" spans="1:8">
      <c r="A4" s="1172" t="s">
        <v>29</v>
      </c>
      <c r="B4" s="1172" t="s">
        <v>104</v>
      </c>
      <c r="C4" s="1173" t="s">
        <v>105</v>
      </c>
      <c r="D4" s="1174">
        <f>'[34]表I-2调整后利润表'!B6</f>
        <v>2015</v>
      </c>
      <c r="E4" s="1175">
        <f>'[34]表I-2调整后利润表'!C6</f>
        <v>2016</v>
      </c>
      <c r="F4" s="1175">
        <f>'[34]表I-2调整后利润表'!D6</f>
        <v>2017</v>
      </c>
      <c r="G4" s="1176" t="s">
        <v>106</v>
      </c>
      <c r="H4" s="1176"/>
    </row>
    <row r="5" ht="16.5" customHeight="1" spans="1:8">
      <c r="A5" s="1177">
        <v>1</v>
      </c>
      <c r="B5" s="1178" t="s">
        <v>107</v>
      </c>
      <c r="C5" s="1179" t="s">
        <v>108</v>
      </c>
      <c r="D5" s="1180" t="s">
        <v>109</v>
      </c>
      <c r="E5" s="1181">
        <f>(利润分析调整表!C8-利润分析调整表!B8)/利润分析调整表!B8*100</f>
        <v>256.846788645286</v>
      </c>
      <c r="F5" s="1181">
        <f>(利润分析调整表!D7-利润分析调整表!C7)/利润分析调整表!C7*100</f>
        <v>-71.2030830891788</v>
      </c>
      <c r="G5" s="1181">
        <f>(E5+F5)/2</f>
        <v>92.8218527780538</v>
      </c>
      <c r="H5" s="1182"/>
    </row>
    <row r="6" ht="16.5" customHeight="1" spans="1:8">
      <c r="A6" s="1177">
        <v>2</v>
      </c>
      <c r="B6" s="1178" t="s">
        <v>110</v>
      </c>
      <c r="C6" s="1179" t="s">
        <v>108</v>
      </c>
      <c r="D6" s="1181">
        <f>(利润分析调整表!B8-利润分析调整表!B12)/利润分析调整表!B8*100</f>
        <v>27.961694584702</v>
      </c>
      <c r="E6" s="1181">
        <f>(利润分析调整表!C8-利润分析调整表!C12)/利润分析调整表!C8*100</f>
        <v>32.5834769759438</v>
      </c>
      <c r="F6" s="1181">
        <f>(利润分析调整表!D8-利润分析调整表!D12)/利润分析调整表!D8*100</f>
        <v>-46.9890615131668</v>
      </c>
      <c r="G6" s="1181">
        <f>(D6+E6+F6)/3</f>
        <v>4.51870334915965</v>
      </c>
      <c r="H6" s="1183"/>
    </row>
    <row r="7" ht="16.5" customHeight="1" spans="1:8">
      <c r="A7" s="1177">
        <v>3</v>
      </c>
      <c r="B7" s="1178" t="s">
        <v>111</v>
      </c>
      <c r="C7" s="1179" t="s">
        <v>108</v>
      </c>
      <c r="D7" s="1184" t="s">
        <v>109</v>
      </c>
      <c r="E7" s="1185">
        <f>(利润分析调整表!C9-利润分析调整表!C14)/利润分析调整表!C9*100</f>
        <v>100</v>
      </c>
      <c r="F7" s="1185" t="e">
        <f>(利润分析调整表!D9-利润分析调整表!D14)/利润分析调整表!D9*100</f>
        <v>#DIV/0!</v>
      </c>
      <c r="G7" s="1181"/>
      <c r="H7" s="1183"/>
    </row>
    <row r="8" ht="16.5" customHeight="1" spans="1:8">
      <c r="A8" s="1177">
        <v>4</v>
      </c>
      <c r="B8" s="1178" t="s">
        <v>112</v>
      </c>
      <c r="C8" s="1179" t="s">
        <v>108</v>
      </c>
      <c r="D8" s="1185">
        <f>利润分析调整表!B15/利润分析调整表!B7*100</f>
        <v>0</v>
      </c>
      <c r="E8" s="1185">
        <f>利润分析调整表!C15/利润分析调整表!C7*100</f>
        <v>0.182836696704364</v>
      </c>
      <c r="F8" s="1185">
        <f>利润分析调整表!D15/利润分析调整表!D7*100</f>
        <v>0.135785530226231</v>
      </c>
      <c r="G8" s="1181">
        <f t="shared" ref="G8:G35" si="0">(D8+E8+F8)/3</f>
        <v>0.106207408976865</v>
      </c>
      <c r="H8" s="1183"/>
    </row>
    <row r="9" ht="16.5" customHeight="1" spans="1:8">
      <c r="A9" s="1177">
        <v>5</v>
      </c>
      <c r="B9" s="1178" t="s">
        <v>113</v>
      </c>
      <c r="C9" s="1179" t="s">
        <v>108</v>
      </c>
      <c r="D9" s="1181">
        <f>利润分析调整表!B16/利润分析调整表!B7*100</f>
        <v>7.03327236157007</v>
      </c>
      <c r="E9" s="1181">
        <f>利润分析调整表!C16/利润分析调整表!C7*100</f>
        <v>1.47645576289174</v>
      </c>
      <c r="F9" s="1181">
        <f>利润分析调整表!D16/利润分析调整表!D7*100</f>
        <v>4.57181717598074</v>
      </c>
      <c r="G9" s="1181">
        <f t="shared" si="0"/>
        <v>4.36051510014752</v>
      </c>
      <c r="H9" s="1183"/>
    </row>
    <row r="10" ht="16.5" customHeight="1" spans="1:8">
      <c r="A10" s="1177">
        <v>6</v>
      </c>
      <c r="B10" s="1178" t="s">
        <v>114</v>
      </c>
      <c r="C10" s="1179" t="s">
        <v>108</v>
      </c>
      <c r="D10" s="1181">
        <f>利润分析调整表!B17/利润分析调整表!B7*100</f>
        <v>302.722693228284</v>
      </c>
      <c r="E10" s="1181">
        <f>利润分析调整表!C17/利润分析调整表!C7*100</f>
        <v>78.7464035047721</v>
      </c>
      <c r="F10" s="1181">
        <f>利润分析调整表!D17/利润分析调整表!D7*100</f>
        <v>166.794606782159</v>
      </c>
      <c r="G10" s="1181">
        <f t="shared" si="0"/>
        <v>182.754567838405</v>
      </c>
      <c r="H10" s="1183"/>
    </row>
    <row r="11" ht="16.5" customHeight="1" spans="1:8">
      <c r="A11" s="1177">
        <v>7</v>
      </c>
      <c r="B11" s="1178" t="s">
        <v>115</v>
      </c>
      <c r="C11" s="1179" t="s">
        <v>108</v>
      </c>
      <c r="D11" s="1181">
        <f>利润分析调整表!B18/利润分析调整表!B7*100</f>
        <v>-1.06759818151473</v>
      </c>
      <c r="E11" s="1181">
        <f>利润分析调整表!C18/利润分析调整表!C7*100</f>
        <v>0.00647450214472634</v>
      </c>
      <c r="F11" s="1181">
        <f>利润分析调整表!D18/利润分析调整表!D7*100</f>
        <v>0.0930605807082093</v>
      </c>
      <c r="G11" s="1181">
        <f t="shared" si="0"/>
        <v>-0.322687699553932</v>
      </c>
      <c r="H11" s="1183"/>
    </row>
    <row r="12" ht="16.5" customHeight="1" spans="1:8">
      <c r="A12" s="1177">
        <v>8</v>
      </c>
      <c r="B12" s="1178" t="s">
        <v>116</v>
      </c>
      <c r="C12" s="1179" t="s">
        <v>108</v>
      </c>
      <c r="D12" s="1181">
        <f>利润分析调整表!B21/利润分析调整表!B7*100</f>
        <v>2.16553795396439</v>
      </c>
      <c r="E12" s="1181">
        <f>利润分析调整表!C21/利润分析调整表!C7*100</f>
        <v>16.9406787919018</v>
      </c>
      <c r="F12" s="1181">
        <f>利润分析调整表!D21/利润分析调整表!D7*100</f>
        <v>0</v>
      </c>
      <c r="G12" s="1181">
        <f t="shared" si="0"/>
        <v>6.36873891528874</v>
      </c>
      <c r="H12" s="1183"/>
    </row>
    <row r="13" ht="16.5" customHeight="1" spans="1:8">
      <c r="A13" s="1177">
        <v>9</v>
      </c>
      <c r="B13" s="1178" t="s">
        <v>117</v>
      </c>
      <c r="C13" s="1179" t="s">
        <v>108</v>
      </c>
      <c r="D13" s="1181">
        <f>利润分析调整表!B22/利润分析调整表!B7*100</f>
        <v>-285.51333596123</v>
      </c>
      <c r="E13" s="1181">
        <f>利润分析调整表!C22/利润分析调整表!C7*100</f>
        <v>-29.7040165120601</v>
      </c>
      <c r="F13" s="1181">
        <f>利润分析调整表!D22/利润分析调整表!D7*100</f>
        <v>-237.420768399738</v>
      </c>
      <c r="G13" s="1181">
        <f t="shared" si="0"/>
        <v>-184.212706957676</v>
      </c>
      <c r="H13" s="1183"/>
    </row>
    <row r="14" ht="16.5" customHeight="1" spans="1:8">
      <c r="A14" s="1177">
        <v>10</v>
      </c>
      <c r="B14" s="1178" t="s">
        <v>118</v>
      </c>
      <c r="C14" s="1179" t="s">
        <v>108</v>
      </c>
      <c r="D14" s="1181">
        <f>利润分析调整表!B23/利润分析调整表!B7*100</f>
        <v>5.99398070998621</v>
      </c>
      <c r="E14" s="1181">
        <f>利润分析调整表!C23/利润分析调整表!C7*100</f>
        <v>0.0924704306772119</v>
      </c>
      <c r="F14" s="1181">
        <f>利润分析调整表!D23/利润分析调整表!D7*100</f>
        <v>0.0482008768862949</v>
      </c>
      <c r="G14" s="1181">
        <f t="shared" si="0"/>
        <v>2.04488400584991</v>
      </c>
      <c r="H14" s="1183"/>
    </row>
    <row r="15" ht="16.5" customHeight="1" spans="1:8">
      <c r="A15" s="1177">
        <v>11</v>
      </c>
      <c r="B15" s="1178" t="s">
        <v>119</v>
      </c>
      <c r="C15" s="1179" t="s">
        <v>108</v>
      </c>
      <c r="D15" s="1181">
        <f>利润分析调整表!B24/利润分析调整表!B7*100</f>
        <v>0</v>
      </c>
      <c r="E15" s="1181">
        <f>利润分析调整表!C24/利润分析调整表!C7*100</f>
        <v>2.06209060410182e-5</v>
      </c>
      <c r="F15" s="1186">
        <f>利润分析调整表!D24/利润分析调整表!D7*100</f>
        <v>0.00113673740008716</v>
      </c>
      <c r="G15" s="1186">
        <f t="shared" si="0"/>
        <v>0.000385786102042728</v>
      </c>
      <c r="H15" s="1187"/>
    </row>
    <row r="16" s="1162" customFormat="1" ht="15.75" customHeight="1" spans="1:8">
      <c r="A16" s="1188" t="s">
        <v>120</v>
      </c>
      <c r="B16" s="1189" t="s">
        <v>121</v>
      </c>
      <c r="C16" s="1190"/>
      <c r="D16" s="1191"/>
      <c r="E16" s="1192"/>
      <c r="F16" s="1193"/>
      <c r="G16" s="1181"/>
      <c r="H16" s="1194"/>
    </row>
    <row r="17" s="1162" customFormat="1" ht="15.75" customHeight="1" spans="1:13">
      <c r="A17" s="1177">
        <v>1</v>
      </c>
      <c r="B17" s="1178" t="s">
        <v>122</v>
      </c>
      <c r="C17" s="1179" t="s">
        <v>123</v>
      </c>
      <c r="D17" s="1195">
        <f>利润分析调整表!B11/资产负债分析调整表!C16</f>
        <v>0.610604093473794</v>
      </c>
      <c r="E17" s="1195">
        <f>利润分析调整表!C11/((资产负债分析调整表!C16+资产负债分析调整表!D16)/2)</f>
        <v>2.29818361494999</v>
      </c>
      <c r="F17" s="1195">
        <f>利润分析调整表!B12/((资产负债分析调整表!D16+资产负债分析调整表!E16)/2)</f>
        <v>0.529517519080973</v>
      </c>
      <c r="G17" s="1196">
        <f>360/(30)</f>
        <v>12</v>
      </c>
      <c r="H17" s="1197" t="s">
        <v>124</v>
      </c>
      <c r="I17" s="1197"/>
      <c r="J17" s="1197"/>
      <c r="K17" s="1197"/>
      <c r="L17" s="1197"/>
      <c r="M17" s="1197"/>
    </row>
    <row r="18" s="1162" customFormat="1" ht="15.75" customHeight="1" spans="1:13">
      <c r="A18" s="1177">
        <v>2</v>
      </c>
      <c r="B18" s="1178" t="s">
        <v>125</v>
      </c>
      <c r="C18" s="1179" t="s">
        <v>123</v>
      </c>
      <c r="D18" s="1195">
        <f>利润分析调整表!B7/资产负债分析调整表!C12</f>
        <v>0.852999596388</v>
      </c>
      <c r="E18" s="1195">
        <f>利润分析调整表!C7/((资产负债分析调整表!C12+资产负债分析调整表!D12)/2)</f>
        <v>1.76556736267949</v>
      </c>
      <c r="F18" s="1195">
        <f>利润分析调整表!D7/((资产负债分析调整表!D12+资产负债分析调整表!E12)/2)</f>
        <v>0.516054759984998</v>
      </c>
      <c r="G18" s="1196">
        <f>360/30</f>
        <v>12</v>
      </c>
      <c r="H18" s="1197" t="s">
        <v>126</v>
      </c>
      <c r="I18" s="1197"/>
      <c r="J18" s="1197"/>
      <c r="K18" s="1197"/>
      <c r="L18" s="1197"/>
      <c r="M18" s="1197"/>
    </row>
    <row r="19" s="1163" customFormat="1" ht="15.75" customHeight="1" spans="1:13">
      <c r="A19" s="1198"/>
      <c r="B19" s="1199" t="s">
        <v>127</v>
      </c>
      <c r="C19" s="1200" t="s">
        <v>123</v>
      </c>
      <c r="D19" s="1201">
        <f>利润分析调整表!B11/资产负债分析调整表!C14</f>
        <v>0.4864973730199</v>
      </c>
      <c r="E19" s="1201">
        <f>利润分析调整表!C11/((资产负债分析调整表!D14+资产负债分析调整表!C14)/2)</f>
        <v>2.69357728845159</v>
      </c>
      <c r="F19" s="1201">
        <f>利润分析调整表!D11/((资产负债分析调整表!E14+资产负债分析调整表!D14)/2)</f>
        <v>2.88059087893515</v>
      </c>
      <c r="G19" s="1196">
        <f>360/30</f>
        <v>12</v>
      </c>
      <c r="H19" s="1202" t="s">
        <v>128</v>
      </c>
      <c r="I19" s="1202"/>
      <c r="J19" s="1202"/>
      <c r="K19" s="1202"/>
      <c r="L19" s="1202"/>
      <c r="M19" s="1202"/>
    </row>
    <row r="20" s="1162" customFormat="1" ht="15.75" customHeight="1" spans="1:13">
      <c r="A20" s="1177">
        <v>3</v>
      </c>
      <c r="B20" s="1178" t="s">
        <v>129</v>
      </c>
      <c r="C20" s="1179" t="s">
        <v>123</v>
      </c>
      <c r="D20" s="1195">
        <f>利润分析调整表!B7/资产负债分析调整表!C6</f>
        <v>0.0353123844561022</v>
      </c>
      <c r="E20" s="1195">
        <f>利润分析调整表!C7/((资产负债分析调整表!C6+资产负债分析调整表!D6)/2)</f>
        <v>0.135356117077571</v>
      </c>
      <c r="F20" s="1195">
        <f>利润分析调整表!D7/((资产负债分析调整表!D6+资产负债分析调整表!E6)/2)</f>
        <v>0.042288180362125</v>
      </c>
      <c r="G20" s="1196">
        <f t="shared" si="0"/>
        <v>0.0709855606319328</v>
      </c>
      <c r="H20" s="1197"/>
      <c r="I20" s="1197"/>
      <c r="J20" s="1197"/>
      <c r="K20" s="1197"/>
      <c r="L20" s="1197"/>
      <c r="M20" s="1197"/>
    </row>
    <row r="21" s="1162" customFormat="1" ht="15.75" customHeight="1" spans="1:13">
      <c r="A21" s="1177">
        <v>4</v>
      </c>
      <c r="B21" s="1178" t="s">
        <v>130</v>
      </c>
      <c r="C21" s="1179" t="s">
        <v>123</v>
      </c>
      <c r="D21" s="1195">
        <f>利润分析调整表!B7/资产负债分析调整表!C43</f>
        <v>0.0286266155443073</v>
      </c>
      <c r="E21" s="1195">
        <f>利润分析调整表!C7/((资产负债分析调整表!C43+资产负债分析调整表!D43)/2)</f>
        <v>0.100800996147487</v>
      </c>
      <c r="F21" s="1195">
        <f>利润分析调整表!D7/((资产负债分析调整表!D43+资产负债分析调整表!E43)/2)</f>
        <v>0.0286594390580286</v>
      </c>
      <c r="G21" s="1196">
        <f t="shared" si="0"/>
        <v>0.0526956835832743</v>
      </c>
      <c r="H21" s="1197"/>
      <c r="I21" s="1197"/>
      <c r="J21" s="1197"/>
      <c r="K21" s="1197"/>
      <c r="L21" s="1197"/>
      <c r="M21" s="1197"/>
    </row>
    <row r="22" s="1163" customFormat="1" ht="15.75" customHeight="1" spans="1:13">
      <c r="A22" s="1198"/>
      <c r="B22" s="1199" t="s">
        <v>131</v>
      </c>
      <c r="C22" s="1200" t="s">
        <v>123</v>
      </c>
      <c r="D22" s="1201">
        <f>利润分析调整表!B12/资产负债分析调整表!C48</f>
        <v>5.66949441772761</v>
      </c>
      <c r="E22" s="1201">
        <f>利润分析调整表!C12/((资产负债分析调整表!C48+资产负债分析调整表!D48)/2)</f>
        <v>5.95063619636259</v>
      </c>
      <c r="F22" s="1201">
        <f>利润分析调整表!D11/((资产负债分析调整表!D48+资产负债分析调整表!E48)/2)</f>
        <v>2.28040320488604</v>
      </c>
      <c r="G22" s="1196">
        <f>360/30</f>
        <v>12</v>
      </c>
      <c r="H22" s="1202" t="s">
        <v>132</v>
      </c>
      <c r="I22" s="1202"/>
      <c r="J22" s="1202"/>
      <c r="K22" s="1202"/>
      <c r="L22" s="1202"/>
      <c r="M22" s="1202"/>
    </row>
    <row r="23" s="1163" customFormat="1" ht="15.75" customHeight="1" spans="1:13">
      <c r="A23" s="1198"/>
      <c r="B23" s="1199" t="s">
        <v>133</v>
      </c>
      <c r="C23" s="1200" t="s">
        <v>123</v>
      </c>
      <c r="D23" s="1201"/>
      <c r="E23" s="1201">
        <f>利润分析调整表!C8/((资产负债分析调整表!C49+资产负债分析调整表!D49)/1)</f>
        <v>173.354102702032</v>
      </c>
      <c r="F23" s="1201">
        <f>利润分析调整表!D8/((资产负债分析调整表!D49+资产负债分析调整表!E49)/1)</f>
        <v>10.3504624042495</v>
      </c>
      <c r="G23" s="1196">
        <f>360/60</f>
        <v>6</v>
      </c>
      <c r="H23" s="1202" t="s">
        <v>134</v>
      </c>
      <c r="I23" s="1202"/>
      <c r="J23" s="1202"/>
      <c r="K23" s="1202"/>
      <c r="L23" s="1202"/>
      <c r="M23" s="1202"/>
    </row>
    <row r="24" s="1162" customFormat="1" ht="15.75" customHeight="1" spans="1:8">
      <c r="A24" s="1177"/>
      <c r="B24" s="1178"/>
      <c r="C24" s="1179"/>
      <c r="D24" s="1195"/>
      <c r="E24" s="1195"/>
      <c r="F24" s="1195"/>
      <c r="G24" s="1181"/>
      <c r="H24" s="1203"/>
    </row>
    <row r="25" s="1162" customFormat="1" ht="15.75" customHeight="1" spans="1:8">
      <c r="A25" s="1204" t="s">
        <v>135</v>
      </c>
      <c r="B25" s="1133" t="s">
        <v>136</v>
      </c>
      <c r="C25" s="1179"/>
      <c r="D25" s="1195"/>
      <c r="E25" s="1195"/>
      <c r="F25" s="1195"/>
      <c r="G25" s="1181"/>
      <c r="H25" s="1203"/>
    </row>
    <row r="26" s="1162" customFormat="1" ht="15.75" customHeight="1" spans="1:8">
      <c r="A26" s="1177">
        <v>1</v>
      </c>
      <c r="B26" s="1178" t="s">
        <v>137</v>
      </c>
      <c r="C26" s="1179"/>
      <c r="D26" s="1195">
        <f>资产负债分析调整表!C6/资产负债分析调整表!C44</f>
        <v>-35.8224587031696</v>
      </c>
      <c r="E26" s="1195">
        <f>资产负债分析调整表!D6/((资产负债分析调整表!D44+资产负债分析调整表!C44)/2)</f>
        <v>18.4697710286153</v>
      </c>
      <c r="F26" s="1195">
        <f>资产负债分析调整表!E6/((资产负债分析调整表!E44+资产负债分析调整表!D44)/2)</f>
        <v>6.49651297451091</v>
      </c>
      <c r="G26" s="1181">
        <f t="shared" si="0"/>
        <v>-3.61872490001445</v>
      </c>
      <c r="H26" s="1203"/>
    </row>
    <row r="27" s="1162" customFormat="1" ht="15.75" customHeight="1" spans="1:8">
      <c r="A27" s="1177">
        <v>2</v>
      </c>
      <c r="B27" s="1178" t="s">
        <v>138</v>
      </c>
      <c r="C27" s="1179"/>
      <c r="D27" s="1195">
        <f>(资产负债分析调整表!C6-资产负债分析调整表!C16)/资产负债分析调整表!C44</f>
        <v>-34.3300553658576</v>
      </c>
      <c r="E27" s="1195">
        <f>(资产负债分析调整表!D6-资产负债分析调整表!D16)/((资产负债分析调整表!D44+资产负债分析调整表!C44)/2)</f>
        <v>17.8236864600918</v>
      </c>
      <c r="F27" s="1195">
        <f>(资产负债分析调整表!E6-资产负债分析调整表!E16)/((资产负债分析调整表!E44+资产负债分析调整表!D44)/2)</f>
        <v>6.00852653082719</v>
      </c>
      <c r="G27" s="1181">
        <f t="shared" si="0"/>
        <v>-3.49928079164621</v>
      </c>
      <c r="H27" s="1203"/>
    </row>
    <row r="28" s="1162" customFormat="1" ht="15.75" customHeight="1" spans="1:8">
      <c r="A28" s="1204" t="s">
        <v>139</v>
      </c>
      <c r="B28" s="1133" t="s">
        <v>140</v>
      </c>
      <c r="C28" s="1179"/>
      <c r="D28" s="1195"/>
      <c r="E28" s="1195"/>
      <c r="F28" s="1195"/>
      <c r="G28" s="1181"/>
      <c r="H28" s="1203"/>
    </row>
    <row r="29" s="1162" customFormat="1" ht="15.75" customHeight="1" spans="1:8">
      <c r="A29" s="1177">
        <v>1</v>
      </c>
      <c r="B29" s="1178" t="s">
        <v>141</v>
      </c>
      <c r="C29" s="1179" t="s">
        <v>108</v>
      </c>
      <c r="D29" s="1130">
        <f>资产负债分析调整表!C66/资产负债分析调整表!C43*100</f>
        <v>-2.26301571929643</v>
      </c>
      <c r="E29" s="1130">
        <f>资产负债分析调整表!D66/((资产负债分析调整表!D43+资产负债分析调整表!C43)/2)*100</f>
        <v>9.90163124714413</v>
      </c>
      <c r="F29" s="1130">
        <f>资产负债分析调整表!E66/((资产负债分析调整表!E43+资产负债分析调整表!D43)/2)*100</f>
        <v>10.2291163462397</v>
      </c>
      <c r="G29" s="1181">
        <f>(D29+E29+F29)/3</f>
        <v>5.95591062469581</v>
      </c>
      <c r="H29" s="1203"/>
    </row>
    <row r="30" s="1162" customFormat="1" ht="15.75" customHeight="1" spans="1:8">
      <c r="A30" s="1177">
        <v>2</v>
      </c>
      <c r="B30" s="1178" t="s">
        <v>142</v>
      </c>
      <c r="C30" s="1179" t="s">
        <v>108</v>
      </c>
      <c r="D30" s="1130">
        <f>资产负债分析调整表!C66/资产负债分析调整表!C67*100</f>
        <v>-2.2129366158223</v>
      </c>
      <c r="E30" s="1130">
        <f>资产负债分析调整表!D66/((资产负债分析调整表!C67+资产负债分析调整表!D67)/2)*100</f>
        <v>10.3001926153298</v>
      </c>
      <c r="F30" s="1130">
        <f>资产负债分析调整表!E66/((资产负债分析调整表!D67+资产负债分析调整表!E67)/2)*100</f>
        <v>11.3660113439591</v>
      </c>
      <c r="G30" s="1181">
        <f t="shared" si="0"/>
        <v>6.4844224478222</v>
      </c>
      <c r="H30" s="1203"/>
    </row>
    <row r="31" s="1162" customFormat="1" ht="15.75" customHeight="1" spans="1:8">
      <c r="A31" s="1204" t="s">
        <v>143</v>
      </c>
      <c r="B31" s="1133" t="s">
        <v>144</v>
      </c>
      <c r="C31" s="1179"/>
      <c r="D31" s="1134"/>
      <c r="E31" s="1134"/>
      <c r="F31" s="1134"/>
      <c r="G31" s="1181"/>
      <c r="H31" s="1203"/>
    </row>
    <row r="32" s="1162" customFormat="1" ht="15.75" customHeight="1" spans="1:8">
      <c r="A32" s="1177">
        <v>1</v>
      </c>
      <c r="B32" s="1178" t="s">
        <v>145</v>
      </c>
      <c r="C32" s="1179" t="s">
        <v>108</v>
      </c>
      <c r="D32" s="1205">
        <f>利润分析调整表!B25/利润分析调整表!B7*100</f>
        <v>-279.519355251244</v>
      </c>
      <c r="E32" s="1205">
        <f>利润分析调整表!C25/利润分析调整表!C7*100</f>
        <v>-29.611566702289</v>
      </c>
      <c r="F32" s="1205">
        <f>利润分析调整表!D25/利润分析调整表!D7*100</f>
        <v>-237.373704260252</v>
      </c>
      <c r="G32" s="1181">
        <f t="shared" si="0"/>
        <v>-182.168208737928</v>
      </c>
      <c r="H32" s="1203"/>
    </row>
    <row r="33" s="1162" customFormat="1" ht="15.75" customHeight="1" spans="1:8">
      <c r="A33" s="1177">
        <v>2</v>
      </c>
      <c r="B33" s="1178" t="s">
        <v>146</v>
      </c>
      <c r="C33" s="1179" t="s">
        <v>108</v>
      </c>
      <c r="D33" s="1130">
        <f>利润分析调整表!B27/资产负债分析调整表!C43*100</f>
        <v>-6.54556530846978</v>
      </c>
      <c r="E33" s="1130">
        <f>利润分析调整表!C27/((资产负债分析调整表!C43+资产负债分析调整表!D43)/2)*100</f>
        <v>-2.94440218543504</v>
      </c>
      <c r="F33" s="1130">
        <f>利润分析调整表!D27/((资产负债分析调整表!D43+资产负债分析调整表!E43)/2)*100</f>
        <v>-6.66803677836339</v>
      </c>
      <c r="G33" s="1181">
        <f t="shared" si="0"/>
        <v>-5.3860014240894</v>
      </c>
      <c r="H33" s="1203"/>
    </row>
    <row r="34" s="1162" customFormat="1" ht="15.75" customHeight="1" spans="1:8">
      <c r="A34" s="1177">
        <v>3</v>
      </c>
      <c r="B34" s="1178" t="s">
        <v>147</v>
      </c>
      <c r="C34" s="1179" t="s">
        <v>108</v>
      </c>
      <c r="D34" s="1205">
        <f>利润分析调整表!B25/利润分析调整表!B10*100</f>
        <v>-72.5603497343065</v>
      </c>
      <c r="E34" s="1205">
        <f>利润分析调整表!C25/利润分析调整表!C10*100</f>
        <v>-20.1013740011882</v>
      </c>
      <c r="F34" s="1205">
        <f>利润分析调整表!D25/利润分析调整表!D10*100</f>
        <v>-70.3494646716702</v>
      </c>
      <c r="G34" s="1181">
        <f t="shared" si="0"/>
        <v>-54.3370628023883</v>
      </c>
      <c r="H34" s="1203"/>
    </row>
    <row r="35" s="1162" customFormat="1" ht="15.75" customHeight="1" spans="1:8">
      <c r="A35" s="1206">
        <v>4</v>
      </c>
      <c r="B35" s="1207" t="s">
        <v>148</v>
      </c>
      <c r="C35" s="1208" t="s">
        <v>108</v>
      </c>
      <c r="D35" s="1209">
        <f>利润分析调整表!B27/资产负债分析调整表!C67*100</f>
        <v>-6.40071609704609</v>
      </c>
      <c r="E35" s="1209">
        <f>(利润分析调整表!C27/(资产负债分析调整表!C67+资产负债分析调整表!D67)/2)*100</f>
        <v>-0.765730132995166</v>
      </c>
      <c r="F35" s="1209">
        <f>(利润分析调整表!D27/(资产负债分析调整表!D67+资产负债分析调整表!E67)/2)*100</f>
        <v>-1.85228564959755</v>
      </c>
      <c r="G35" s="1186">
        <f t="shared" si="0"/>
        <v>-3.0062439598796</v>
      </c>
      <c r="H35" s="1210"/>
    </row>
    <row r="36" ht="12.75" customHeight="1" spans="2:2">
      <c r="B36" s="1211" t="s">
        <v>149</v>
      </c>
    </row>
  </sheetData>
  <mergeCells count="7">
    <mergeCell ref="H17:M17"/>
    <mergeCell ref="H18:M18"/>
    <mergeCell ref="H19:M19"/>
    <mergeCell ref="H20:M20"/>
    <mergeCell ref="H21:M21"/>
    <mergeCell ref="H22:M22"/>
    <mergeCell ref="H23:M23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"/>
  <sheetViews>
    <sheetView topLeftCell="A154" workbookViewId="0">
      <selection activeCell="B4" sqref="B4"/>
    </sheetView>
  </sheetViews>
  <sheetFormatPr defaultColWidth="8.1" defaultRowHeight="14.25"/>
  <cols>
    <col min="1" max="1" width="5.4" style="1059" customWidth="1"/>
    <col min="2" max="2" width="22.9" style="1059" customWidth="1"/>
    <col min="3" max="8" width="17.4" style="1059" customWidth="1"/>
    <col min="9" max="9" width="4.9" style="1059" customWidth="1"/>
    <col min="10" max="10" width="6.7" style="1059" customWidth="1"/>
    <col min="11" max="16384" width="8.1" style="1059"/>
  </cols>
  <sheetData>
    <row r="1" ht="4.5" customHeight="1" spans="1:8">
      <c r="A1" s="1060"/>
      <c r="B1" s="1061"/>
      <c r="C1" s="1061"/>
      <c r="D1" s="1061"/>
      <c r="E1" s="1061"/>
      <c r="F1" s="1061"/>
      <c r="G1" s="1061"/>
      <c r="H1" s="1061"/>
    </row>
    <row r="2" ht="18.75" customHeight="1" spans="1:8">
      <c r="A2" s="1062" t="str">
        <f>封面!B2</f>
        <v>被评估单位：福建卫东新能源股份有限公司</v>
      </c>
      <c r="C2" s="1063"/>
      <c r="D2" s="1063"/>
      <c r="E2" s="1064" t="s">
        <v>2</v>
      </c>
      <c r="F2" s="1065" t="str">
        <f>封面!C3</f>
        <v>2017年12月31日</v>
      </c>
      <c r="H2" s="1065"/>
    </row>
    <row r="3" ht="4.5" customHeight="1" spans="1:8">
      <c r="A3" s="1062"/>
      <c r="C3" s="1063"/>
      <c r="D3" s="1063"/>
      <c r="E3" s="1062"/>
      <c r="F3" s="1062"/>
      <c r="G3" s="1065"/>
      <c r="H3" s="1065"/>
    </row>
    <row r="4" ht="20.25" customHeight="1" spans="1:8">
      <c r="A4" s="1062" t="s">
        <v>150</v>
      </c>
      <c r="C4" s="1063"/>
      <c r="D4" s="1063"/>
      <c r="E4" s="1062"/>
      <c r="F4" s="1062"/>
      <c r="G4" s="1065"/>
      <c r="H4" s="1065"/>
    </row>
    <row r="5" ht="18" customHeight="1" spans="1:8">
      <c r="A5" s="1062" t="s">
        <v>151</v>
      </c>
      <c r="C5" s="1063"/>
      <c r="D5" s="1063"/>
      <c r="E5" s="1062"/>
      <c r="F5" s="1062"/>
      <c r="G5" s="1065"/>
      <c r="H5" s="1065"/>
    </row>
    <row r="6" s="1056" customFormat="1" ht="16.5" customHeight="1" spans="1:8">
      <c r="A6" s="1066" t="s">
        <v>29</v>
      </c>
      <c r="B6" s="1067" t="s">
        <v>152</v>
      </c>
      <c r="C6" s="1068" t="str">
        <f>资产负债分析调整表!C4</f>
        <v>2015年12月31日</v>
      </c>
      <c r="D6" s="1068"/>
      <c r="E6" s="1068" t="str">
        <f>资产负债分析调整表!D4</f>
        <v>2016年12月31日</v>
      </c>
      <c r="F6" s="1068"/>
      <c r="G6" s="1069" t="str">
        <f>资产负债分析调整表!E4</f>
        <v>2017年12月31日</v>
      </c>
      <c r="H6" s="1070"/>
    </row>
    <row r="7" s="1056" customFormat="1" ht="16.5" customHeight="1" spans="1:8">
      <c r="A7" s="1071"/>
      <c r="B7" s="1072"/>
      <c r="C7" s="1073" t="s">
        <v>153</v>
      </c>
      <c r="D7" s="1073" t="s">
        <v>154</v>
      </c>
      <c r="E7" s="1073" t="s">
        <v>153</v>
      </c>
      <c r="F7" s="1073" t="s">
        <v>154</v>
      </c>
      <c r="G7" s="1073" t="s">
        <v>153</v>
      </c>
      <c r="H7" s="1074" t="s">
        <v>154</v>
      </c>
    </row>
    <row r="8" s="1056" customFormat="1" ht="16.5" customHeight="1" spans="1:8">
      <c r="A8" s="1075">
        <v>1</v>
      </c>
      <c r="B8" s="1076" t="s">
        <v>155</v>
      </c>
      <c r="C8" s="1077">
        <f>资产负债分析调整表!C6/10000</f>
        <v>8311.665143</v>
      </c>
      <c r="D8" s="1078">
        <f t="shared" ref="D8:H10" si="0">C8/C$10</f>
        <v>0.810667871491199</v>
      </c>
      <c r="E8" s="1077">
        <f>资产负债分析调整表!D6/10000</f>
        <v>7667.321287</v>
      </c>
      <c r="F8" s="1078">
        <f t="shared" si="0"/>
        <v>0.684349620446704</v>
      </c>
      <c r="G8" s="1077">
        <f>资产负债分析调整表!E6/10000</f>
        <v>7061.029204</v>
      </c>
      <c r="H8" s="1079">
        <f t="shared" si="0"/>
        <v>0.670659935692283</v>
      </c>
    </row>
    <row r="9" s="1056" customFormat="1" ht="16.5" customHeight="1" spans="1:8">
      <c r="A9" s="1075">
        <v>2</v>
      </c>
      <c r="B9" s="1076" t="s">
        <v>156</v>
      </c>
      <c r="C9" s="1077">
        <f>资产负债分析调整表!C20/10000</f>
        <v>1941.196029</v>
      </c>
      <c r="D9" s="1078">
        <f t="shared" si="0"/>
        <v>0.189332128508801</v>
      </c>
      <c r="E9" s="1077">
        <f>资产负债分析调整表!D20/10000</f>
        <v>3536.486033</v>
      </c>
      <c r="F9" s="1078">
        <f t="shared" si="0"/>
        <v>0.315650379553296</v>
      </c>
      <c r="G9" s="1077">
        <f>资产负债分析调整表!E20/10000</f>
        <v>3467.450027</v>
      </c>
      <c r="H9" s="1079">
        <f t="shared" si="0"/>
        <v>0.329340064307717</v>
      </c>
    </row>
    <row r="10" s="1056" customFormat="1" ht="16.5" customHeight="1" spans="1:8">
      <c r="A10" s="1080">
        <v>3</v>
      </c>
      <c r="B10" s="1081" t="s">
        <v>157</v>
      </c>
      <c r="C10" s="1082">
        <f t="shared" ref="C10:G10" si="1">SUM(C8:C9)</f>
        <v>10252.861172</v>
      </c>
      <c r="D10" s="1083">
        <f t="shared" si="0"/>
        <v>1</v>
      </c>
      <c r="E10" s="1082">
        <f t="shared" si="1"/>
        <v>11203.80732</v>
      </c>
      <c r="F10" s="1083">
        <f t="shared" si="0"/>
        <v>1</v>
      </c>
      <c r="G10" s="1082">
        <f t="shared" si="1"/>
        <v>10528.479231</v>
      </c>
      <c r="H10" s="1084">
        <f t="shared" si="0"/>
        <v>1</v>
      </c>
    </row>
    <row r="11" s="1057" customFormat="1" ht="6.75" customHeight="1" spans="1:8">
      <c r="A11" s="1085"/>
      <c r="B11" s="1085"/>
      <c r="C11" s="1086"/>
      <c r="D11" s="1086"/>
      <c r="E11" s="1086"/>
      <c r="F11" s="1086"/>
      <c r="G11" s="1086"/>
      <c r="H11" s="1086"/>
    </row>
    <row r="12" s="1057" customFormat="1" ht="16.5" customHeight="1" spans="1:8">
      <c r="A12" s="1062" t="s">
        <v>158</v>
      </c>
      <c r="B12" s="1085"/>
      <c r="C12" s="1086"/>
      <c r="D12" s="1086"/>
      <c r="E12" s="1086"/>
      <c r="F12" s="1086"/>
      <c r="G12" s="1086"/>
      <c r="H12" s="1086"/>
    </row>
    <row r="13" s="1056" customFormat="1" ht="16.5" customHeight="1" spans="1:8">
      <c r="A13" s="1066" t="s">
        <v>29</v>
      </c>
      <c r="B13" s="1067" t="s">
        <v>152</v>
      </c>
      <c r="C13" s="1068" t="str">
        <f>C6</f>
        <v>2015年12月31日</v>
      </c>
      <c r="D13" s="1068"/>
      <c r="E13" s="1068" t="str">
        <f>E6</f>
        <v>2016年12月31日</v>
      </c>
      <c r="F13" s="1068"/>
      <c r="G13" s="1069" t="str">
        <f>G6</f>
        <v>2017年12月31日</v>
      </c>
      <c r="H13" s="1070"/>
    </row>
    <row r="14" s="1056" customFormat="1" ht="16.5" customHeight="1" spans="1:8">
      <c r="A14" s="1071"/>
      <c r="B14" s="1072"/>
      <c r="C14" s="1073" t="s">
        <v>153</v>
      </c>
      <c r="D14" s="1073" t="s">
        <v>154</v>
      </c>
      <c r="E14" s="1073" t="s">
        <v>153</v>
      </c>
      <c r="F14" s="1073" t="s">
        <v>154</v>
      </c>
      <c r="G14" s="1073" t="s">
        <v>153</v>
      </c>
      <c r="H14" s="1074" t="s">
        <v>154</v>
      </c>
    </row>
    <row r="15" s="1056" customFormat="1" ht="16.5" customHeight="1" spans="1:8">
      <c r="A15" s="1075">
        <v>1</v>
      </c>
      <c r="B15" s="1087" t="str">
        <f>'[34]表I-3资产负债分析调整表'!B7</f>
        <v>货币资金</v>
      </c>
      <c r="C15" s="1088">
        <f>资产负债分析调整表!C7/10000</f>
        <v>662.841434</v>
      </c>
      <c r="D15" s="1078">
        <f t="shared" ref="D15:H27" si="2">IF(C$28=0,0,C15/C$28)</f>
        <v>0.0797483323252307</v>
      </c>
      <c r="E15" s="1088">
        <f>资产负债分析调整表!D7/10000</f>
        <v>11.747661</v>
      </c>
      <c r="F15" s="1078">
        <f t="shared" si="2"/>
        <v>0.00153217278372282</v>
      </c>
      <c r="G15" s="1088">
        <f>资产负债分析调整表!E7/10000</f>
        <v>6.408064</v>
      </c>
      <c r="H15" s="1079">
        <f t="shared" si="2"/>
        <v>0.000907525491662022</v>
      </c>
    </row>
    <row r="16" s="1056" customFormat="1" ht="16.5" customHeight="1" spans="1:8">
      <c r="A16" s="1075">
        <v>2</v>
      </c>
      <c r="B16" s="1087" t="str">
        <f>'[34]表I-3资产负债分析调整表'!B8</f>
        <v>交易性金融资产净额</v>
      </c>
      <c r="C16" s="1088">
        <f>资产负债分析调整表!C8/10000</f>
        <v>61.9575</v>
      </c>
      <c r="D16" s="1078">
        <f t="shared" si="2"/>
        <v>0.00745428249743434</v>
      </c>
      <c r="E16" s="1088">
        <f>资产负债分析调整表!D8/10000</f>
        <v>0</v>
      </c>
      <c r="F16" s="1078">
        <f t="shared" si="2"/>
        <v>0</v>
      </c>
      <c r="G16" s="1088">
        <f>资产负债分析调整表!E8/10000</f>
        <v>0</v>
      </c>
      <c r="H16" s="1079">
        <f t="shared" si="2"/>
        <v>0</v>
      </c>
    </row>
    <row r="17" s="1056" customFormat="1" ht="16.5" customHeight="1" spans="1:8">
      <c r="A17" s="1075">
        <v>3</v>
      </c>
      <c r="B17" s="1087" t="str">
        <f>'[34]表I-3资产负债分析调整表'!B9</f>
        <v>应收票据</v>
      </c>
      <c r="C17" s="1088">
        <f>资产负债分析调整表!C9/10000</f>
        <v>0</v>
      </c>
      <c r="D17" s="1078">
        <f t="shared" si="2"/>
        <v>0</v>
      </c>
      <c r="E17" s="1088">
        <f>资产负债分析调整表!D9/10000</f>
        <v>190</v>
      </c>
      <c r="F17" s="1078">
        <f t="shared" si="2"/>
        <v>0.0247804928068094</v>
      </c>
      <c r="G17" s="1088">
        <f>资产负债分析调整表!E9/10000</f>
        <v>0</v>
      </c>
      <c r="H17" s="1079">
        <f t="shared" si="2"/>
        <v>0</v>
      </c>
    </row>
    <row r="18" s="1056" customFormat="1" ht="16.5" customHeight="1" spans="1:8">
      <c r="A18" s="1075">
        <v>4</v>
      </c>
      <c r="B18" s="1087" t="str">
        <f>'[34]表I-3资产负债分析调整表'!B10</f>
        <v>应收股利(应收利润)</v>
      </c>
      <c r="C18" s="1088">
        <f>资产负债分析调整表!C10/10000</f>
        <v>0</v>
      </c>
      <c r="D18" s="1078">
        <f t="shared" si="2"/>
        <v>0</v>
      </c>
      <c r="E18" s="1088">
        <f>资产负债分析调整表!D10/10000</f>
        <v>0</v>
      </c>
      <c r="F18" s="1078">
        <f t="shared" si="2"/>
        <v>0</v>
      </c>
      <c r="G18" s="1088">
        <f>资产负债分析调整表!E10/10000</f>
        <v>0</v>
      </c>
      <c r="H18" s="1079">
        <f t="shared" si="2"/>
        <v>0</v>
      </c>
    </row>
    <row r="19" s="1056" customFormat="1" ht="16.5" customHeight="1" spans="1:8">
      <c r="A19" s="1075">
        <v>5</v>
      </c>
      <c r="B19" s="1087" t="str">
        <f>'[34]表I-3资产负债分析调整表'!B11</f>
        <v>应收利息</v>
      </c>
      <c r="C19" s="1088">
        <f>资产负债分析调整表!C11/10000</f>
        <v>0</v>
      </c>
      <c r="D19" s="1078">
        <f t="shared" si="2"/>
        <v>0</v>
      </c>
      <c r="E19" s="1088">
        <f>资产负债分析调整表!D11/10000</f>
        <v>0</v>
      </c>
      <c r="F19" s="1078">
        <f t="shared" si="2"/>
        <v>0</v>
      </c>
      <c r="G19" s="1088">
        <f>资产负债分析调整表!E11/10000</f>
        <v>0</v>
      </c>
      <c r="H19" s="1079">
        <f t="shared" si="2"/>
        <v>0</v>
      </c>
    </row>
    <row r="20" s="1056" customFormat="1" ht="16.5" customHeight="1" spans="1:8">
      <c r="A20" s="1075">
        <v>6</v>
      </c>
      <c r="B20" s="1087" t="str">
        <f>'[34]表I-3资产负债分析调整表'!B12</f>
        <v>应收账款净额</v>
      </c>
      <c r="C20" s="1088">
        <f>资产负债分析调整表!C12/10000</f>
        <v>344.085409</v>
      </c>
      <c r="D20" s="1078">
        <f t="shared" si="2"/>
        <v>0.0413978911662226</v>
      </c>
      <c r="E20" s="1088">
        <f>资产负债分析调整表!D12/10000</f>
        <v>880.933587</v>
      </c>
      <c r="F20" s="1078">
        <f t="shared" si="2"/>
        <v>0.114894570610159</v>
      </c>
      <c r="G20" s="1088">
        <f>资产负债分析调整表!E12/10000</f>
        <v>325.983179</v>
      </c>
      <c r="H20" s="1079">
        <f t="shared" si="2"/>
        <v>0.0461665246782061</v>
      </c>
    </row>
    <row r="21" s="1056" customFormat="1" ht="16.5" customHeight="1" spans="1:8">
      <c r="A21" s="1075">
        <v>7</v>
      </c>
      <c r="B21" s="1087" t="str">
        <f>'[34]表I-3资产负债分析调整表'!B13</f>
        <v>其他应收款净额</v>
      </c>
      <c r="C21" s="1088">
        <f>资产负债分析调整表!C13/10000</f>
        <v>6461.899262</v>
      </c>
      <c r="D21" s="1078">
        <f t="shared" si="2"/>
        <v>0.777449422086277</v>
      </c>
      <c r="E21" s="1088">
        <f>资产负债分析调整表!D13/10000</f>
        <v>6226.759933</v>
      </c>
      <c r="F21" s="1078">
        <f t="shared" si="2"/>
        <v>0.812116735418081</v>
      </c>
      <c r="G21" s="1088">
        <f>资产负债分析调整表!E13/10000</f>
        <v>5970.103464</v>
      </c>
      <c r="H21" s="1079">
        <f t="shared" si="2"/>
        <v>0.845500463391087</v>
      </c>
    </row>
    <row r="22" s="1056" customFormat="1" ht="16.5" customHeight="1" spans="1:8">
      <c r="A22" s="1075">
        <v>8</v>
      </c>
      <c r="B22" s="1087" t="str">
        <f>'[34]表I-3资产负债分析调整表'!B14</f>
        <v>预付帐款</v>
      </c>
      <c r="C22" s="1088">
        <f>资产负债分析调整表!C14/10000</f>
        <v>434.608355</v>
      </c>
      <c r="D22" s="1078">
        <f t="shared" si="2"/>
        <v>0.0522889634655244</v>
      </c>
      <c r="E22" s="1088">
        <f>资产负债分析调整表!D14/10000</f>
        <v>89.672235</v>
      </c>
      <c r="F22" s="1078">
        <f t="shared" si="2"/>
        <v>0.0116953798652001</v>
      </c>
      <c r="G22" s="1088">
        <f>资产负债分析调整表!E14/10000</f>
        <v>228.144341</v>
      </c>
      <c r="H22" s="1079">
        <f t="shared" si="2"/>
        <v>0.032310352274249</v>
      </c>
    </row>
    <row r="23" s="1056" customFormat="1" ht="16.5" customHeight="1" spans="1:8">
      <c r="A23" s="1075">
        <v>9</v>
      </c>
      <c r="B23" s="1087" t="str">
        <f>'[34]表I-3资产负债分析调整表'!B15</f>
        <v>应收补贴款</v>
      </c>
      <c r="C23" s="1088">
        <f>资产负债分析调整表!C15/10000</f>
        <v>0</v>
      </c>
      <c r="D23" s="1078">
        <f t="shared" si="2"/>
        <v>0</v>
      </c>
      <c r="E23" s="1088">
        <f>资产负债分析调整表!D15/10000</f>
        <v>0</v>
      </c>
      <c r="F23" s="1078">
        <f t="shared" si="2"/>
        <v>0</v>
      </c>
      <c r="G23" s="1088">
        <f>资产负债分析调整表!E15/10000</f>
        <v>0</v>
      </c>
      <c r="H23" s="1079">
        <f t="shared" si="2"/>
        <v>0</v>
      </c>
    </row>
    <row r="24" s="1056" customFormat="1" ht="16.5" customHeight="1" spans="1:8">
      <c r="A24" s="1075">
        <v>10</v>
      </c>
      <c r="B24" s="1087" t="str">
        <f>'[34]表I-3资产负债分析调整表'!B16</f>
        <v>存货净额</v>
      </c>
      <c r="C24" s="1088">
        <f>资产负债分析调整表!C16/10000</f>
        <v>346.273183</v>
      </c>
      <c r="D24" s="1078">
        <f t="shared" si="2"/>
        <v>0.0416611084593113</v>
      </c>
      <c r="E24" s="1088">
        <f>资产负债分析调整表!D16/10000</f>
        <v>268.207871</v>
      </c>
      <c r="F24" s="1078">
        <f t="shared" si="2"/>
        <v>0.0349806485160272</v>
      </c>
      <c r="G24" s="1088">
        <f>资产负债分析调整表!E16/10000</f>
        <v>530.390156</v>
      </c>
      <c r="H24" s="1079">
        <f t="shared" si="2"/>
        <v>0.0751151341647956</v>
      </c>
    </row>
    <row r="25" s="1056" customFormat="1" ht="16.5" customHeight="1" spans="1:8">
      <c r="A25" s="1075">
        <v>11</v>
      </c>
      <c r="B25" s="1087" t="str">
        <f>'[34]表I-3资产负债分析调整表'!B17</f>
        <v>待摊费用</v>
      </c>
      <c r="C25" s="1088">
        <f>资产负债分析调整表!C17/10000</f>
        <v>0</v>
      </c>
      <c r="D25" s="1078">
        <f t="shared" si="2"/>
        <v>0</v>
      </c>
      <c r="E25" s="1088">
        <f>资产负债分析调整表!D17/10000</f>
        <v>0</v>
      </c>
      <c r="F25" s="1078">
        <f t="shared" si="2"/>
        <v>0</v>
      </c>
      <c r="G25" s="1088">
        <f>资产负债分析调整表!E17/10000</f>
        <v>0</v>
      </c>
      <c r="H25" s="1079">
        <f t="shared" si="2"/>
        <v>0</v>
      </c>
    </row>
    <row r="26" s="1056" customFormat="1" ht="16.5" customHeight="1" spans="1:8">
      <c r="A26" s="1075">
        <v>12</v>
      </c>
      <c r="B26" s="1087" t="str">
        <f>'[34]表I-3资产负债分析调整表'!B18</f>
        <v>一年内到期的非流动资产</v>
      </c>
      <c r="C26" s="1088">
        <f>资产负债分析调整表!C18/10000</f>
        <v>0</v>
      </c>
      <c r="D26" s="1078">
        <f t="shared" si="2"/>
        <v>0</v>
      </c>
      <c r="E26" s="1088">
        <f>资产负债分析调整表!D18/10000</f>
        <v>0</v>
      </c>
      <c r="F26" s="1078">
        <f t="shared" si="2"/>
        <v>0</v>
      </c>
      <c r="G26" s="1088" t="str">
        <f>资产负债分析调整表!E18</f>
        <v>                                                                                                                                                                                                     </v>
      </c>
      <c r="H26" s="1079"/>
    </row>
    <row r="27" s="1056" customFormat="1" ht="16.5" customHeight="1" spans="1:8">
      <c r="A27" s="1075">
        <v>13</v>
      </c>
      <c r="B27" s="1087" t="str">
        <f>'[34]表I-3资产负债分析调整表'!B19</f>
        <v>其他流动资产</v>
      </c>
      <c r="C27" s="1088">
        <f>资产负债分析调整表!C19/10000</f>
        <v>0</v>
      </c>
      <c r="D27" s="1078">
        <f t="shared" si="2"/>
        <v>0</v>
      </c>
      <c r="E27" s="1088">
        <f>资产负债分析调整表!D19/10000</f>
        <v>0</v>
      </c>
      <c r="F27" s="1078">
        <f t="shared" si="2"/>
        <v>0</v>
      </c>
      <c r="G27" s="1088">
        <f>资产负债分析调整表!E19</f>
        <v>0</v>
      </c>
      <c r="H27" s="1079">
        <f t="shared" si="2"/>
        <v>0</v>
      </c>
    </row>
    <row r="28" s="1056" customFormat="1" ht="16.5" customHeight="1" spans="1:8">
      <c r="A28" s="1080">
        <v>14</v>
      </c>
      <c r="B28" s="1081" t="s">
        <v>157</v>
      </c>
      <c r="C28" s="1089">
        <f>SUM(C15:C27)</f>
        <v>8311.665143</v>
      </c>
      <c r="D28" s="1083">
        <f>SUM(D15:D27)</f>
        <v>1</v>
      </c>
      <c r="E28" s="1089">
        <f t="shared" ref="E28:H28" si="3">SUM(E15:E27)</f>
        <v>7667.321287</v>
      </c>
      <c r="F28" s="1083">
        <f t="shared" si="3"/>
        <v>1</v>
      </c>
      <c r="G28" s="1089">
        <f t="shared" si="3"/>
        <v>7061.029204</v>
      </c>
      <c r="H28" s="1083">
        <f t="shared" si="3"/>
        <v>1</v>
      </c>
    </row>
    <row r="29" s="1057" customFormat="1" ht="13.5" customHeight="1" spans="1:8">
      <c r="A29" s="1085"/>
      <c r="B29" s="1085"/>
      <c r="C29" s="1086"/>
      <c r="D29" s="1086"/>
      <c r="E29" s="1086"/>
      <c r="F29" s="1086"/>
      <c r="G29" s="1086"/>
      <c r="H29" s="1086"/>
    </row>
    <row r="30" s="1057" customFormat="1" ht="16.5" customHeight="1" spans="1:8">
      <c r="A30" s="1062" t="s">
        <v>159</v>
      </c>
      <c r="B30" s="1085"/>
      <c r="C30" s="1086"/>
      <c r="D30" s="1086"/>
      <c r="E30" s="1086"/>
      <c r="F30" s="1086"/>
      <c r="G30" s="1086"/>
      <c r="H30" s="1086"/>
    </row>
    <row r="31" s="1056" customFormat="1" ht="18.75" hidden="1" customHeight="1" spans="1:7">
      <c r="A31" s="1066" t="s">
        <v>29</v>
      </c>
      <c r="B31" s="1067" t="s">
        <v>160</v>
      </c>
      <c r="C31" s="1069" t="str">
        <f>C13</f>
        <v>2015年12月31日</v>
      </c>
      <c r="D31" s="1068"/>
      <c r="E31" s="1068"/>
      <c r="F31" s="1068"/>
      <c r="G31" s="1090"/>
    </row>
    <row r="32" s="1056" customFormat="1" ht="18.75" hidden="1" customHeight="1" spans="1:7">
      <c r="A32" s="1071"/>
      <c r="B32" s="1072"/>
      <c r="C32" s="1073" t="s">
        <v>161</v>
      </c>
      <c r="D32" s="1073" t="s">
        <v>162</v>
      </c>
      <c r="E32" s="1073" t="s">
        <v>163</v>
      </c>
      <c r="F32" s="1073" t="s">
        <v>164</v>
      </c>
      <c r="G32" s="1074" t="s">
        <v>165</v>
      </c>
    </row>
    <row r="33" s="1056" customFormat="1" ht="18.75" hidden="1" customHeight="1" spans="1:9">
      <c r="A33" s="1091">
        <v>1</v>
      </c>
      <c r="B33" s="1092" t="s">
        <v>166</v>
      </c>
      <c r="C33" s="1093">
        <v>356434.06</v>
      </c>
      <c r="D33" s="1078">
        <f t="shared" ref="D33:D37" si="4">IF(C$37=0,0,C33/C$37)</f>
        <v>0.0965573977955528</v>
      </c>
      <c r="E33" s="1093"/>
      <c r="F33" s="1094">
        <f t="shared" ref="F33:F36" si="5">IF(C33=0,0,ROUND(E33/C33,3))</f>
        <v>0</v>
      </c>
      <c r="G33" s="1095">
        <f t="shared" ref="G33:G37" si="6">C33-E33</f>
        <v>356434.06</v>
      </c>
      <c r="H33" s="1096"/>
      <c r="I33" s="1096"/>
    </row>
    <row r="34" s="1056" customFormat="1" ht="18.75" hidden="1" customHeight="1" spans="1:9">
      <c r="A34" s="1091">
        <v>2</v>
      </c>
      <c r="B34" s="1092" t="s">
        <v>167</v>
      </c>
      <c r="C34" s="1093">
        <v>3322387.5</v>
      </c>
      <c r="D34" s="1078">
        <f t="shared" si="4"/>
        <v>0.900029283027756</v>
      </c>
      <c r="E34" s="1093"/>
      <c r="F34" s="1094">
        <f t="shared" si="5"/>
        <v>0</v>
      </c>
      <c r="G34" s="1095">
        <f t="shared" si="6"/>
        <v>3322387.5</v>
      </c>
      <c r="H34" s="1096"/>
      <c r="I34" s="1096"/>
    </row>
    <row r="35" s="1056" customFormat="1" ht="12" hidden="1" spans="1:9">
      <c r="A35" s="1091">
        <v>3</v>
      </c>
      <c r="B35" s="1092" t="s">
        <v>168</v>
      </c>
      <c r="C35" s="1093"/>
      <c r="D35" s="1078">
        <f t="shared" si="4"/>
        <v>0</v>
      </c>
      <c r="E35" s="1093"/>
      <c r="F35" s="1094">
        <f t="shared" si="5"/>
        <v>0</v>
      </c>
      <c r="G35" s="1095">
        <f t="shared" si="6"/>
        <v>0</v>
      </c>
      <c r="H35" s="1096"/>
      <c r="I35" s="1096"/>
    </row>
    <row r="36" s="1056" customFormat="1" ht="18.75" hidden="1" customHeight="1" spans="1:9">
      <c r="A36" s="1091">
        <v>4</v>
      </c>
      <c r="B36" s="1092" t="s">
        <v>169</v>
      </c>
      <c r="C36" s="1093">
        <v>12600</v>
      </c>
      <c r="D36" s="1078">
        <f t="shared" si="4"/>
        <v>0.00341331917669138</v>
      </c>
      <c r="E36" s="1093"/>
      <c r="F36" s="1094">
        <f t="shared" si="5"/>
        <v>0</v>
      </c>
      <c r="G36" s="1095">
        <f t="shared" si="6"/>
        <v>12600</v>
      </c>
      <c r="H36" s="1096"/>
      <c r="I36" s="1096"/>
    </row>
    <row r="37" s="1056" customFormat="1" ht="18.75" hidden="1" customHeight="1" spans="1:9">
      <c r="A37" s="1097">
        <v>5</v>
      </c>
      <c r="B37" s="1081" t="s">
        <v>157</v>
      </c>
      <c r="C37" s="1089">
        <f>SUM(C33:C36)</f>
        <v>3691421.56</v>
      </c>
      <c r="D37" s="1083">
        <f t="shared" si="4"/>
        <v>1</v>
      </c>
      <c r="E37" s="1089">
        <f>SUM(E33:E36)</f>
        <v>0</v>
      </c>
      <c r="F37" s="1089"/>
      <c r="G37" s="1098">
        <f t="shared" si="6"/>
        <v>3691421.56</v>
      </c>
      <c r="H37" s="1096"/>
      <c r="I37" s="1096"/>
    </row>
    <row r="38" s="1057" customFormat="1" ht="12.75" hidden="1" customHeight="1" spans="1:8">
      <c r="A38" s="1099"/>
      <c r="B38" s="1099"/>
      <c r="C38" s="1086"/>
      <c r="D38" s="1086"/>
      <c r="E38" s="1086"/>
      <c r="F38" s="1086"/>
      <c r="G38" s="1086"/>
      <c r="H38" s="1086"/>
    </row>
    <row r="39" s="1056" customFormat="1" ht="18.75" hidden="1" customHeight="1" spans="1:8">
      <c r="A39" s="1066" t="s">
        <v>29</v>
      </c>
      <c r="B39" s="1067" t="s">
        <v>160</v>
      </c>
      <c r="C39" s="1068" t="str">
        <f>E6</f>
        <v>2016年12月31日</v>
      </c>
      <c r="D39" s="1068"/>
      <c r="E39" s="1068"/>
      <c r="F39" s="1068"/>
      <c r="G39" s="1090"/>
      <c r="H39" s="1096"/>
    </row>
    <row r="40" s="1056" customFormat="1" ht="18.75" hidden="1" customHeight="1" spans="1:9">
      <c r="A40" s="1071"/>
      <c r="B40" s="1072"/>
      <c r="C40" s="1073" t="s">
        <v>161</v>
      </c>
      <c r="D40" s="1073" t="s">
        <v>162</v>
      </c>
      <c r="E40" s="1073" t="s">
        <v>163</v>
      </c>
      <c r="F40" s="1073" t="s">
        <v>164</v>
      </c>
      <c r="G40" s="1074" t="s">
        <v>165</v>
      </c>
      <c r="H40" s="1096"/>
      <c r="I40" s="1096"/>
    </row>
    <row r="41" s="1056" customFormat="1" ht="18.75" hidden="1" customHeight="1" spans="1:9">
      <c r="A41" s="1091">
        <v>1</v>
      </c>
      <c r="B41" s="1092" t="s">
        <v>166</v>
      </c>
      <c r="C41" s="1093">
        <v>1430.0284</v>
      </c>
      <c r="D41" s="1078">
        <f t="shared" ref="D41:D45" si="7">IF(C$45=0,0,C41/C$45)</f>
        <v>0.999821294232474</v>
      </c>
      <c r="E41" s="1093">
        <v>71.50142</v>
      </c>
      <c r="F41" s="1094">
        <f t="shared" ref="F41:F44" si="8">IF(C41=0,0,ROUND(E41/C41,3))</f>
        <v>0.05</v>
      </c>
      <c r="G41" s="1095">
        <f t="shared" ref="G41:G45" si="9">C41-E41</f>
        <v>1358.52698</v>
      </c>
      <c r="H41" s="1096"/>
      <c r="I41" s="1096"/>
    </row>
    <row r="42" s="1056" customFormat="1" ht="18.75" hidden="1" customHeight="1" spans="1:9">
      <c r="A42" s="1091">
        <v>2</v>
      </c>
      <c r="B42" s="1092" t="s">
        <v>167</v>
      </c>
      <c r="C42" s="1093">
        <v>0</v>
      </c>
      <c r="D42" s="1078">
        <f t="shared" si="7"/>
        <v>0</v>
      </c>
      <c r="E42" s="1093"/>
      <c r="F42" s="1094">
        <f t="shared" si="8"/>
        <v>0</v>
      </c>
      <c r="G42" s="1095">
        <f t="shared" si="9"/>
        <v>0</v>
      </c>
      <c r="H42" s="1096"/>
      <c r="I42" s="1096"/>
    </row>
    <row r="43" s="1056" customFormat="1" ht="18.75" hidden="1" customHeight="1" spans="1:9">
      <c r="A43" s="1091">
        <v>3</v>
      </c>
      <c r="B43" s="1092" t="s">
        <v>168</v>
      </c>
      <c r="C43" s="1093">
        <v>0.2556</v>
      </c>
      <c r="D43" s="1078">
        <f t="shared" si="7"/>
        <v>0.00017870576752589</v>
      </c>
      <c r="E43" s="1093">
        <v>0.07668</v>
      </c>
      <c r="F43" s="1094">
        <f t="shared" si="8"/>
        <v>0.3</v>
      </c>
      <c r="G43" s="1095">
        <f t="shared" si="9"/>
        <v>0.17892</v>
      </c>
      <c r="H43" s="1096"/>
      <c r="I43" s="1096"/>
    </row>
    <row r="44" s="1056" customFormat="1" ht="18.75" hidden="1" customHeight="1" spans="1:9">
      <c r="A44" s="1091">
        <v>4</v>
      </c>
      <c r="B44" s="1092" t="s">
        <v>169</v>
      </c>
      <c r="C44" s="1093"/>
      <c r="D44" s="1078">
        <f t="shared" si="7"/>
        <v>0</v>
      </c>
      <c r="E44" s="1093"/>
      <c r="F44" s="1094">
        <f t="shared" si="8"/>
        <v>0</v>
      </c>
      <c r="G44" s="1095">
        <f t="shared" si="9"/>
        <v>0</v>
      </c>
      <c r="H44" s="1096"/>
      <c r="I44" s="1096"/>
    </row>
    <row r="45" s="1056" customFormat="1" ht="18.75" hidden="1" customHeight="1" spans="1:9">
      <c r="A45" s="1097">
        <v>5</v>
      </c>
      <c r="B45" s="1081" t="s">
        <v>157</v>
      </c>
      <c r="C45" s="1089">
        <f>SUM(C41:C44)</f>
        <v>1430.284</v>
      </c>
      <c r="D45" s="1083">
        <f t="shared" si="7"/>
        <v>1</v>
      </c>
      <c r="E45" s="1089">
        <f>SUM(E41:E44)</f>
        <v>71.5781</v>
      </c>
      <c r="F45" s="1089"/>
      <c r="G45" s="1098">
        <f t="shared" si="9"/>
        <v>1358.7059</v>
      </c>
      <c r="H45" s="1096"/>
      <c r="I45" s="1096"/>
    </row>
    <row r="46" s="1057" customFormat="1" ht="18.75" customHeight="1" spans="1:8">
      <c r="A46" s="1099"/>
      <c r="B46" s="1099"/>
      <c r="C46" s="1086"/>
      <c r="D46" s="1086"/>
      <c r="E46" s="1086"/>
      <c r="F46" s="1086"/>
      <c r="G46" s="1086"/>
      <c r="H46" s="1086"/>
    </row>
    <row r="47" s="1056" customFormat="1" ht="18.75" customHeight="1" spans="1:8">
      <c r="A47" s="1066" t="s">
        <v>29</v>
      </c>
      <c r="B47" s="1067" t="s">
        <v>160</v>
      </c>
      <c r="C47" s="1069" t="str">
        <f>G6</f>
        <v>2017年12月31日</v>
      </c>
      <c r="D47" s="1069"/>
      <c r="E47" s="1069"/>
      <c r="F47" s="1069"/>
      <c r="G47" s="1070"/>
      <c r="H47" s="1096"/>
    </row>
    <row r="48" s="1056" customFormat="1" ht="18.75" customHeight="1" spans="1:8">
      <c r="A48" s="1071"/>
      <c r="B48" s="1072"/>
      <c r="C48" s="1073" t="s">
        <v>161</v>
      </c>
      <c r="D48" s="1073" t="s">
        <v>162</v>
      </c>
      <c r="E48" s="1073" t="s">
        <v>163</v>
      </c>
      <c r="F48" s="1073" t="s">
        <v>164</v>
      </c>
      <c r="G48" s="1074" t="s">
        <v>165</v>
      </c>
      <c r="H48" s="1096"/>
    </row>
    <row r="49" s="1056" customFormat="1" ht="18.75" customHeight="1" spans="1:8">
      <c r="A49" s="1091">
        <v>1</v>
      </c>
      <c r="B49" s="1092" t="s">
        <v>166</v>
      </c>
      <c r="C49" s="1093">
        <f>356434.06/10000</f>
        <v>35.643406</v>
      </c>
      <c r="D49" s="1078">
        <f t="shared" ref="D49:D54" si="10">IF(C$54=0,0,C49/C$54)</f>
        <v>0.0936795732412744</v>
      </c>
      <c r="E49" s="1093"/>
      <c r="F49" s="1094">
        <f t="shared" ref="F49:F53" si="11">IF(C49=0,0,ROUND(E49/C49,3))</f>
        <v>0</v>
      </c>
      <c r="G49" s="1095">
        <f t="shared" ref="G49:G54" si="12">C49-E49</f>
        <v>35.643406</v>
      </c>
      <c r="H49" s="1096"/>
    </row>
    <row r="50" s="1056" customFormat="1" ht="18.75" customHeight="1" spans="1:8">
      <c r="A50" s="1091">
        <v>2</v>
      </c>
      <c r="B50" s="1092" t="s">
        <v>170</v>
      </c>
      <c r="C50" s="1093">
        <f>3322387.5/10000</f>
        <v>332.23875</v>
      </c>
      <c r="D50" s="1078">
        <f t="shared" si="10"/>
        <v>0.873204550491456</v>
      </c>
      <c r="E50" s="1093"/>
      <c r="F50" s="1094">
        <f t="shared" si="11"/>
        <v>0</v>
      </c>
      <c r="G50" s="1095">
        <f t="shared" si="12"/>
        <v>332.23875</v>
      </c>
      <c r="H50" s="1096"/>
    </row>
    <row r="51" s="1056" customFormat="1" ht="12" hidden="1" spans="1:8">
      <c r="A51" s="1091">
        <v>3</v>
      </c>
      <c r="B51" s="1092" t="s">
        <v>168</v>
      </c>
      <c r="C51" s="1093"/>
      <c r="D51" s="1078">
        <f t="shared" si="10"/>
        <v>0</v>
      </c>
      <c r="E51" s="1093">
        <v>0.07668</v>
      </c>
      <c r="F51" s="1094">
        <f t="shared" si="11"/>
        <v>0</v>
      </c>
      <c r="G51" s="1095">
        <f t="shared" si="12"/>
        <v>-0.07668</v>
      </c>
      <c r="H51" s="1096"/>
    </row>
    <row r="52" s="1056" customFormat="1" ht="18.75" customHeight="1" spans="1:8">
      <c r="A52" s="1091">
        <v>4</v>
      </c>
      <c r="B52" s="1092" t="s">
        <v>169</v>
      </c>
      <c r="C52" s="1093">
        <f>126000/10000</f>
        <v>12.6</v>
      </c>
      <c r="D52" s="1078">
        <f t="shared" si="10"/>
        <v>0.0331158762672697</v>
      </c>
      <c r="E52" s="1093"/>
      <c r="F52" s="1094">
        <f t="shared" si="11"/>
        <v>0</v>
      </c>
      <c r="G52" s="1095">
        <f t="shared" si="12"/>
        <v>12.6</v>
      </c>
      <c r="H52" s="1096"/>
    </row>
    <row r="53" s="1056" customFormat="1" ht="18.75" customHeight="1" spans="1:8">
      <c r="A53" s="1100"/>
      <c r="B53" s="1101" t="s">
        <v>171</v>
      </c>
      <c r="C53" s="1102"/>
      <c r="D53" s="1103">
        <f t="shared" si="10"/>
        <v>0</v>
      </c>
      <c r="E53" s="1102">
        <f>544989.77/10000</f>
        <v>54.498977</v>
      </c>
      <c r="F53" s="1104">
        <f t="shared" si="11"/>
        <v>0</v>
      </c>
      <c r="G53" s="1105">
        <f t="shared" si="12"/>
        <v>-54.498977</v>
      </c>
      <c r="H53" s="1096"/>
    </row>
    <row r="54" s="1056" customFormat="1" ht="18.75" customHeight="1" spans="1:8">
      <c r="A54" s="1097">
        <v>5</v>
      </c>
      <c r="B54" s="1081" t="s">
        <v>157</v>
      </c>
      <c r="C54" s="1089">
        <f>SUM(C49:C53)</f>
        <v>380.482156</v>
      </c>
      <c r="D54" s="1083">
        <f t="shared" si="10"/>
        <v>1</v>
      </c>
      <c r="E54" s="1089">
        <f>SUM(E49:E53)</f>
        <v>54.575657</v>
      </c>
      <c r="F54" s="1089"/>
      <c r="G54" s="1098">
        <f t="shared" si="12"/>
        <v>325.906499</v>
      </c>
      <c r="H54" s="1096"/>
    </row>
    <row r="55" s="1057" customFormat="1" ht="16.5" customHeight="1" spans="1:8">
      <c r="A55" s="1085"/>
      <c r="B55" s="1085"/>
      <c r="C55" s="1086"/>
      <c r="D55" s="1086"/>
      <c r="E55" s="1086"/>
      <c r="F55" s="1086"/>
      <c r="G55" s="1086"/>
      <c r="H55" s="1086"/>
    </row>
    <row r="56" s="1057" customFormat="1" ht="16.5" customHeight="1" spans="1:8">
      <c r="A56" s="1062" t="s">
        <v>172</v>
      </c>
      <c r="B56" s="1085"/>
      <c r="C56" s="1086"/>
      <c r="D56" s="1086"/>
      <c r="E56" s="1086"/>
      <c r="F56" s="1086"/>
      <c r="G56" s="1086"/>
      <c r="H56" s="1086"/>
    </row>
    <row r="57" s="1056" customFormat="1" ht="16.5" customHeight="1" spans="1:8">
      <c r="A57" s="1066" t="s">
        <v>29</v>
      </c>
      <c r="B57" s="1067" t="s">
        <v>152</v>
      </c>
      <c r="C57" s="1068" t="str">
        <f>C6</f>
        <v>2015年12月31日</v>
      </c>
      <c r="D57" s="1068"/>
      <c r="E57" s="1068" t="str">
        <f>E6</f>
        <v>2016年12月31日</v>
      </c>
      <c r="F57" s="1068"/>
      <c r="G57" s="1069" t="str">
        <f>G6</f>
        <v>2017年12月31日</v>
      </c>
      <c r="H57" s="1070"/>
    </row>
    <row r="58" s="1056" customFormat="1" ht="16.5" customHeight="1" spans="1:8">
      <c r="A58" s="1071"/>
      <c r="B58" s="1072"/>
      <c r="C58" s="1073" t="s">
        <v>153</v>
      </c>
      <c r="D58" s="1073" t="s">
        <v>154</v>
      </c>
      <c r="E58" s="1073" t="s">
        <v>153</v>
      </c>
      <c r="F58" s="1073" t="s">
        <v>154</v>
      </c>
      <c r="G58" s="1073" t="s">
        <v>153</v>
      </c>
      <c r="H58" s="1074" t="s">
        <v>154</v>
      </c>
    </row>
    <row r="59" s="1056" customFormat="1" ht="16.5" customHeight="1" spans="1:8">
      <c r="A59" s="1075">
        <v>1</v>
      </c>
      <c r="B59" s="1087" t="s">
        <v>173</v>
      </c>
      <c r="C59" s="1093"/>
      <c r="D59" s="1078">
        <f t="shared" ref="D59:H67" si="13">IF(C$67=0,0,C59/C$67)</f>
        <v>0</v>
      </c>
      <c r="E59" s="1093"/>
      <c r="F59" s="1078">
        <f t="shared" si="13"/>
        <v>0</v>
      </c>
      <c r="G59" s="1093"/>
      <c r="H59" s="1079">
        <f t="shared" si="13"/>
        <v>0</v>
      </c>
    </row>
    <row r="60" s="1056" customFormat="1" ht="16.5" customHeight="1" spans="1:8">
      <c r="A60" s="1075">
        <v>2</v>
      </c>
      <c r="B60" s="1087" t="s">
        <v>174</v>
      </c>
      <c r="C60" s="1093"/>
      <c r="D60" s="1078">
        <f t="shared" si="13"/>
        <v>0</v>
      </c>
      <c r="E60" s="1093"/>
      <c r="F60" s="1078">
        <f t="shared" si="13"/>
        <v>0</v>
      </c>
      <c r="G60" s="1093">
        <f>1745470.4/10000</f>
        <v>174.54704</v>
      </c>
      <c r="H60" s="1079">
        <f t="shared" si="13"/>
        <v>0.329091778995989</v>
      </c>
    </row>
    <row r="61" s="1056" customFormat="1" ht="16.5" customHeight="1" spans="1:8">
      <c r="A61" s="1075">
        <v>3</v>
      </c>
      <c r="B61" s="1087" t="s">
        <v>175</v>
      </c>
      <c r="C61" s="1093"/>
      <c r="D61" s="1078">
        <f t="shared" si="13"/>
        <v>0</v>
      </c>
      <c r="E61" s="1093"/>
      <c r="F61" s="1078">
        <f t="shared" si="13"/>
        <v>0</v>
      </c>
      <c r="G61" s="1093"/>
      <c r="H61" s="1079">
        <f t="shared" si="13"/>
        <v>0</v>
      </c>
    </row>
    <row r="62" s="1056" customFormat="1" ht="16.5" customHeight="1" spans="1:8">
      <c r="A62" s="1075">
        <v>4</v>
      </c>
      <c r="B62" s="1087" t="s">
        <v>176</v>
      </c>
      <c r="C62" s="1093"/>
      <c r="D62" s="1078">
        <f t="shared" si="13"/>
        <v>0</v>
      </c>
      <c r="E62" s="1093"/>
      <c r="F62" s="1078">
        <f t="shared" si="13"/>
        <v>0</v>
      </c>
      <c r="G62" s="1093"/>
      <c r="H62" s="1079">
        <f t="shared" si="13"/>
        <v>0</v>
      </c>
    </row>
    <row r="63" s="1056" customFormat="1" ht="16.5" customHeight="1" spans="1:8">
      <c r="A63" s="1075">
        <v>5</v>
      </c>
      <c r="B63" s="1087" t="s">
        <v>177</v>
      </c>
      <c r="C63" s="1093"/>
      <c r="D63" s="1078">
        <f t="shared" si="13"/>
        <v>0</v>
      </c>
      <c r="E63" s="1093"/>
      <c r="F63" s="1078">
        <f t="shared" si="13"/>
        <v>0</v>
      </c>
      <c r="G63" s="1093">
        <f>2215836.3/10000</f>
        <v>221.58363</v>
      </c>
      <c r="H63" s="1079">
        <f t="shared" si="13"/>
        <v>0.417774778610333</v>
      </c>
    </row>
    <row r="64" s="1056" customFormat="1" ht="16.5" customHeight="1" spans="1:8">
      <c r="A64" s="1075">
        <v>6</v>
      </c>
      <c r="B64" s="1087" t="s">
        <v>178</v>
      </c>
      <c r="C64" s="1093"/>
      <c r="D64" s="1078">
        <f t="shared" si="13"/>
        <v>0</v>
      </c>
      <c r="E64" s="1093"/>
      <c r="F64" s="1078">
        <f t="shared" si="13"/>
        <v>0</v>
      </c>
      <c r="G64" s="1093">
        <f>1342594.86/10000</f>
        <v>134.259486</v>
      </c>
      <c r="H64" s="1079">
        <f t="shared" si="13"/>
        <v>0.253133442393678</v>
      </c>
    </row>
    <row r="65" s="1056" customFormat="1" ht="16.5" customHeight="1" spans="1:8">
      <c r="A65" s="1075">
        <v>7</v>
      </c>
      <c r="B65" s="1087" t="s">
        <v>179</v>
      </c>
      <c r="C65" s="1093"/>
      <c r="D65" s="1078">
        <f t="shared" si="13"/>
        <v>0</v>
      </c>
      <c r="E65" s="1093"/>
      <c r="F65" s="1078">
        <f t="shared" si="13"/>
        <v>0</v>
      </c>
      <c r="G65" s="1093"/>
      <c r="H65" s="1079">
        <f t="shared" si="13"/>
        <v>0</v>
      </c>
    </row>
    <row r="66" s="1056" customFormat="1" ht="16.5" customHeight="1" spans="1:8">
      <c r="A66" s="1075">
        <v>8</v>
      </c>
      <c r="B66" s="1087" t="s">
        <v>180</v>
      </c>
      <c r="C66" s="1093"/>
      <c r="D66" s="1078">
        <f t="shared" si="13"/>
        <v>0</v>
      </c>
      <c r="E66" s="1093"/>
      <c r="F66" s="1078">
        <f t="shared" si="13"/>
        <v>0</v>
      </c>
      <c r="G66" s="1093"/>
      <c r="H66" s="1079">
        <f t="shared" si="13"/>
        <v>0</v>
      </c>
    </row>
    <row r="67" s="1056" customFormat="1" ht="16.5" customHeight="1" spans="1:8">
      <c r="A67" s="1075">
        <v>9</v>
      </c>
      <c r="B67" s="1106" t="s">
        <v>181</v>
      </c>
      <c r="C67" s="1107">
        <f t="shared" ref="C67:G67" si="14">C59+C60+C61+C62+C63+C64+C65+C66</f>
        <v>0</v>
      </c>
      <c r="D67" s="1078">
        <f t="shared" si="13"/>
        <v>0</v>
      </c>
      <c r="E67" s="1107">
        <f t="shared" si="14"/>
        <v>0</v>
      </c>
      <c r="F67" s="1078">
        <f t="shared" si="13"/>
        <v>0</v>
      </c>
      <c r="G67" s="1107">
        <f t="shared" si="14"/>
        <v>530.390156</v>
      </c>
      <c r="H67" s="1079">
        <f t="shared" si="13"/>
        <v>1</v>
      </c>
    </row>
    <row r="68" s="1056" customFormat="1" ht="16.5" customHeight="1" spans="1:8">
      <c r="A68" s="1075">
        <v>10</v>
      </c>
      <c r="B68" s="1108" t="s">
        <v>182</v>
      </c>
      <c r="C68" s="1093">
        <v>0</v>
      </c>
      <c r="D68" s="1078"/>
      <c r="E68" s="1093">
        <v>0</v>
      </c>
      <c r="F68" s="1078"/>
      <c r="G68" s="1093">
        <v>0</v>
      </c>
      <c r="H68" s="1079"/>
    </row>
    <row r="69" s="1056" customFormat="1" ht="16.5" customHeight="1" spans="1:8">
      <c r="A69" s="1075">
        <v>11</v>
      </c>
      <c r="B69" s="1106" t="s">
        <v>44</v>
      </c>
      <c r="C69" s="1107">
        <f>资产负债分析调整表!C16/10000</f>
        <v>346.273183</v>
      </c>
      <c r="D69" s="1109"/>
      <c r="E69" s="1107">
        <f>资产负债分析调整表!D16/10000</f>
        <v>268.207871</v>
      </c>
      <c r="F69" s="1109"/>
      <c r="G69" s="1107">
        <f t="shared" ref="G69" si="15">G67-G68</f>
        <v>530.390156</v>
      </c>
      <c r="H69" s="1110"/>
    </row>
    <row r="70" s="1056" customFormat="1" ht="16.5" customHeight="1" spans="1:8">
      <c r="A70" s="1075">
        <v>12</v>
      </c>
      <c r="B70" s="1108" t="s">
        <v>183</v>
      </c>
      <c r="C70" s="1088"/>
      <c r="D70" s="1078"/>
      <c r="E70" s="1088">
        <f>E69-C69</f>
        <v>-78.065312</v>
      </c>
      <c r="F70" s="1078"/>
      <c r="G70" s="1088">
        <f>G69-E69</f>
        <v>262.182285</v>
      </c>
      <c r="H70" s="1079"/>
    </row>
    <row r="71" s="1056" customFormat="1" ht="16.5" customHeight="1" spans="1:8">
      <c r="A71" s="1080">
        <v>13</v>
      </c>
      <c r="B71" s="1111" t="s">
        <v>184</v>
      </c>
      <c r="C71" s="1089"/>
      <c r="D71" s="1083"/>
      <c r="E71" s="1083">
        <f>E70/C69</f>
        <v>-0.22544429032496</v>
      </c>
      <c r="F71" s="1083"/>
      <c r="G71" s="1083">
        <f>G70/E69</f>
        <v>0.97753389571479</v>
      </c>
      <c r="H71" s="1084"/>
    </row>
    <row r="72" s="1057" customFormat="1" ht="16.5" customHeight="1" spans="1:8">
      <c r="A72" s="1085"/>
      <c r="B72" s="1112" t="s">
        <v>185</v>
      </c>
      <c r="C72" s="1113" t="str">
        <f>IF(C69='[34]表I-3资产负债分析调整表'!D16,"","false")</f>
        <v>false</v>
      </c>
      <c r="D72" s="1113"/>
      <c r="E72" s="1113" t="e">
        <f>IF(E69='[34]表I-3资产负债分析调整表'!F16,"","false")</f>
        <v>#REF!</v>
      </c>
      <c r="F72" s="1113"/>
      <c r="G72" s="1113" t="str">
        <f>IF(G69='[34]表I-3资产负债分析调整表'!H16,"","false")</f>
        <v>false</v>
      </c>
      <c r="H72" s="1113"/>
    </row>
    <row r="73" s="1057" customFormat="1" ht="12" customHeight="1" spans="1:8">
      <c r="A73" s="1085"/>
      <c r="B73" s="1085"/>
      <c r="C73" s="1086"/>
      <c r="D73" s="1086"/>
      <c r="E73" s="1086"/>
      <c r="F73" s="1086"/>
      <c r="G73" s="1086"/>
      <c r="H73" s="1086"/>
    </row>
    <row r="74" s="1057" customFormat="1" ht="16.5" customHeight="1" spans="1:8">
      <c r="A74" s="1114" t="s">
        <v>186</v>
      </c>
      <c r="B74" s="1085"/>
      <c r="C74" s="1086"/>
      <c r="D74" s="1086"/>
      <c r="E74" s="1086"/>
      <c r="F74" s="1086"/>
      <c r="G74" s="1086"/>
      <c r="H74" s="1086"/>
    </row>
    <row r="75" s="1056" customFormat="1" ht="17.25" customHeight="1" spans="1:8">
      <c r="A75" s="1066" t="s">
        <v>29</v>
      </c>
      <c r="B75" s="1067" t="s">
        <v>152</v>
      </c>
      <c r="C75" s="1068" t="str">
        <f>C6</f>
        <v>2015年12月31日</v>
      </c>
      <c r="D75" s="1068"/>
      <c r="E75" s="1068" t="str">
        <f>E6</f>
        <v>2016年12月31日</v>
      </c>
      <c r="F75" s="1068"/>
      <c r="G75" s="1069" t="str">
        <f>G6</f>
        <v>2017年12月31日</v>
      </c>
      <c r="H75" s="1070"/>
    </row>
    <row r="76" s="1056" customFormat="1" ht="17.25" customHeight="1" spans="1:8">
      <c r="A76" s="1071"/>
      <c r="B76" s="1072"/>
      <c r="C76" s="1073" t="s">
        <v>153</v>
      </c>
      <c r="D76" s="1073" t="s">
        <v>154</v>
      </c>
      <c r="E76" s="1073" t="s">
        <v>153</v>
      </c>
      <c r="F76" s="1073" t="s">
        <v>154</v>
      </c>
      <c r="G76" s="1073" t="s">
        <v>153</v>
      </c>
      <c r="H76" s="1074" t="s">
        <v>154</v>
      </c>
    </row>
    <row r="77" s="1056" customFormat="1" ht="17.25" customHeight="1" spans="1:8">
      <c r="A77" s="1075">
        <v>1</v>
      </c>
      <c r="B77" s="1087" t="str">
        <f>'[34]表I-3资产负债分析调整表'!B21</f>
        <v>可供出售金融资产净额</v>
      </c>
      <c r="C77" s="1115">
        <f>资产负债分析调整表!C21</f>
        <v>0</v>
      </c>
      <c r="D77" s="1078">
        <f t="shared" ref="D77:H92" si="16">IF(C$94=0,0,C77/C$94)</f>
        <v>0</v>
      </c>
      <c r="E77" s="1115">
        <f>资产负债分析调整表!D21</f>
        <v>0</v>
      </c>
      <c r="F77" s="1078">
        <f t="shared" si="16"/>
        <v>0</v>
      </c>
      <c r="G77" s="1115">
        <f>资产负债分析调整表!E21</f>
        <v>0</v>
      </c>
      <c r="H77" s="1079">
        <f t="shared" si="16"/>
        <v>0</v>
      </c>
    </row>
    <row r="78" s="1056" customFormat="1" ht="17.25" customHeight="1" spans="1:8">
      <c r="A78" s="1075">
        <v>2</v>
      </c>
      <c r="B78" s="1087" t="str">
        <f>'[34]表I-3资产负债分析调整表'!B22</f>
        <v>持有至到期投资净额</v>
      </c>
      <c r="C78" s="1115">
        <f>资产负债分析调整表!C22</f>
        <v>0</v>
      </c>
      <c r="D78" s="1078">
        <f t="shared" si="16"/>
        <v>0</v>
      </c>
      <c r="E78" s="1115">
        <f>资产负债分析调整表!D22</f>
        <v>0</v>
      </c>
      <c r="F78" s="1078">
        <f t="shared" si="16"/>
        <v>0</v>
      </c>
      <c r="G78" s="1115">
        <f>资产负债分析调整表!E22</f>
        <v>0</v>
      </c>
      <c r="H78" s="1079">
        <f t="shared" si="16"/>
        <v>0</v>
      </c>
    </row>
    <row r="79" s="1056" customFormat="1" ht="17.25" customHeight="1" spans="1:8">
      <c r="A79" s="1075">
        <v>3</v>
      </c>
      <c r="B79" s="1087" t="str">
        <f>'[34]表I-3资产负债分析调整表'!B23</f>
        <v>长期股权投资净额</v>
      </c>
      <c r="C79" s="1115">
        <f>资产负债分析调整表!C23</f>
        <v>0</v>
      </c>
      <c r="D79" s="1078">
        <f t="shared" si="16"/>
        <v>0</v>
      </c>
      <c r="E79" s="1115">
        <f>资产负债分析调整表!D23/10000</f>
        <v>1500</v>
      </c>
      <c r="F79" s="1078">
        <f t="shared" si="16"/>
        <v>0.424149844224763</v>
      </c>
      <c r="G79" s="1115">
        <f>资产负债分析调整表!E23/10000</f>
        <v>1500</v>
      </c>
      <c r="H79" s="1079">
        <f t="shared" si="16"/>
        <v>0.432594554591976</v>
      </c>
    </row>
    <row r="80" s="1056" customFormat="1" ht="17.25" customHeight="1" spans="1:8">
      <c r="A80" s="1075">
        <v>4</v>
      </c>
      <c r="B80" s="1087" t="str">
        <f>'[34]表I-3资产负债分析调整表'!B24</f>
        <v>长期应收款</v>
      </c>
      <c r="C80" s="1115">
        <f>资产负债分析调整表!C24</f>
        <v>0</v>
      </c>
      <c r="D80" s="1078">
        <f t="shared" si="16"/>
        <v>0</v>
      </c>
      <c r="E80" s="1115">
        <f>资产负债分析调整表!D24</f>
        <v>0</v>
      </c>
      <c r="F80" s="1078">
        <f t="shared" si="16"/>
        <v>0</v>
      </c>
      <c r="G80" s="1115">
        <f>资产负债分析调整表!E24</f>
        <v>0</v>
      </c>
      <c r="H80" s="1079">
        <f t="shared" si="16"/>
        <v>0</v>
      </c>
    </row>
    <row r="81" s="1056" customFormat="1" ht="17.25" customHeight="1" spans="1:8">
      <c r="A81" s="1075">
        <v>5</v>
      </c>
      <c r="B81" s="1087" t="str">
        <f>'[34]表I-3资产负债分析调整表'!B25</f>
        <v>投资性房地产</v>
      </c>
      <c r="C81" s="1115">
        <f>资产负债分析调整表!C25</f>
        <v>0</v>
      </c>
      <c r="D81" s="1078">
        <f t="shared" si="16"/>
        <v>0</v>
      </c>
      <c r="E81" s="1115">
        <f>资产负债分析调整表!D25</f>
        <v>0</v>
      </c>
      <c r="F81" s="1078">
        <f t="shared" si="16"/>
        <v>0</v>
      </c>
      <c r="G81" s="1115">
        <f>资产负债分析调整表!E25</f>
        <v>0</v>
      </c>
      <c r="H81" s="1079">
        <f t="shared" si="16"/>
        <v>0</v>
      </c>
    </row>
    <row r="82" s="1056" customFormat="1" ht="17.25" customHeight="1" spans="1:8">
      <c r="A82" s="1075">
        <v>6</v>
      </c>
      <c r="B82" s="1087" t="str">
        <f>'[34]表I-3资产负债分析调整表'!B31</f>
        <v>固定资产净额</v>
      </c>
      <c r="C82" s="1115">
        <f>资产负债分析调整表!C31/10000</f>
        <v>1131.029389</v>
      </c>
      <c r="D82" s="1078">
        <f t="shared" si="16"/>
        <v>0.582645632951684</v>
      </c>
      <c r="E82" s="1115">
        <f>资产负债分析调整表!D31/10000</f>
        <v>1244.436752</v>
      </c>
      <c r="F82" s="1078">
        <f t="shared" si="16"/>
        <v>0.35188510300558</v>
      </c>
      <c r="G82" s="1115">
        <f>资产负债分析调整表!E31/10000</f>
        <v>1193.805558</v>
      </c>
      <c r="H82" s="1079">
        <f t="shared" si="16"/>
        <v>0.34428918908829</v>
      </c>
    </row>
    <row r="83" s="1056" customFormat="1" ht="17.25" customHeight="1" spans="1:8">
      <c r="A83" s="1075">
        <v>7</v>
      </c>
      <c r="B83" s="1087" t="str">
        <f>'[34]表I-3资产负债分析调整表'!B32</f>
        <v>工程物资</v>
      </c>
      <c r="C83" s="1115">
        <f>资产负债分析调整表!C32</f>
        <v>0</v>
      </c>
      <c r="D83" s="1078">
        <f t="shared" si="16"/>
        <v>0</v>
      </c>
      <c r="E83" s="1115">
        <f>资产负债分析调整表!D32/10000</f>
        <v>0</v>
      </c>
      <c r="F83" s="1078">
        <f t="shared" si="16"/>
        <v>0</v>
      </c>
      <c r="G83" s="1115">
        <f>资产负债分析调整表!E32</f>
        <v>0</v>
      </c>
      <c r="H83" s="1079">
        <f t="shared" si="16"/>
        <v>0</v>
      </c>
    </row>
    <row r="84" s="1056" customFormat="1" ht="17.25" customHeight="1" spans="1:8">
      <c r="A84" s="1075">
        <v>8</v>
      </c>
      <c r="B84" s="1087" t="str">
        <f>'[34]表I-3资产负债分析调整表'!B33</f>
        <v>在建工程</v>
      </c>
      <c r="C84" s="1115">
        <f>资产负债分析调整表!C33</f>
        <v>0</v>
      </c>
      <c r="D84" s="1078">
        <f t="shared" si="16"/>
        <v>0</v>
      </c>
      <c r="E84" s="1115">
        <f>资产负债分析调整表!D33/10000</f>
        <v>0</v>
      </c>
      <c r="F84" s="1078">
        <f t="shared" si="16"/>
        <v>0</v>
      </c>
      <c r="G84" s="1115">
        <f>资产负债分析调整表!E33</f>
        <v>0</v>
      </c>
      <c r="H84" s="1079">
        <f t="shared" si="16"/>
        <v>0</v>
      </c>
    </row>
    <row r="85" s="1056" customFormat="1" ht="17.25" customHeight="1" spans="1:8">
      <c r="A85" s="1075">
        <v>9</v>
      </c>
      <c r="B85" s="1087" t="str">
        <f>'[34]表I-3资产负债分析调整表'!B34</f>
        <v>固定资产清理</v>
      </c>
      <c r="C85" s="1115">
        <f>资产负债分析调整表!C34</f>
        <v>0</v>
      </c>
      <c r="D85" s="1078">
        <f t="shared" si="16"/>
        <v>0</v>
      </c>
      <c r="E85" s="1115">
        <f>资产负债分析调整表!D34/10000</f>
        <v>0</v>
      </c>
      <c r="F85" s="1078">
        <f t="shared" si="16"/>
        <v>0</v>
      </c>
      <c r="G85" s="1115">
        <f>资产负债分析调整表!E34</f>
        <v>0</v>
      </c>
      <c r="H85" s="1079">
        <f t="shared" si="16"/>
        <v>0</v>
      </c>
    </row>
    <row r="86" s="1056" customFormat="1" ht="17.25" customHeight="1" spans="1:8">
      <c r="A86" s="1075">
        <v>10</v>
      </c>
      <c r="B86" s="1087" t="str">
        <f>'[34]表I-3资产负债分析调整表'!B35</f>
        <v>生产性生物资产净额</v>
      </c>
      <c r="C86" s="1115">
        <f>资产负债分析调整表!C35</f>
        <v>0</v>
      </c>
      <c r="D86" s="1078">
        <f t="shared" si="16"/>
        <v>0</v>
      </c>
      <c r="E86" s="1115">
        <f>资产负债分析调整表!D35/10000</f>
        <v>0</v>
      </c>
      <c r="F86" s="1078">
        <f t="shared" si="16"/>
        <v>0</v>
      </c>
      <c r="G86" s="1115">
        <f>资产负债分析调整表!E35</f>
        <v>0</v>
      </c>
      <c r="H86" s="1079">
        <f t="shared" si="16"/>
        <v>0</v>
      </c>
    </row>
    <row r="87" s="1056" customFormat="1" ht="17.25" customHeight="1" spans="1:8">
      <c r="A87" s="1075">
        <v>11</v>
      </c>
      <c r="B87" s="1087" t="str">
        <f>'[34]表I-3资产负债分析调整表'!B36</f>
        <v>油气资产净值</v>
      </c>
      <c r="C87" s="1115">
        <f>资产负债分析调整表!C36</f>
        <v>0</v>
      </c>
      <c r="D87" s="1078">
        <f t="shared" si="16"/>
        <v>0</v>
      </c>
      <c r="E87" s="1115">
        <f>资产负债分析调整表!D36/10000</f>
        <v>0</v>
      </c>
      <c r="F87" s="1078">
        <f t="shared" si="16"/>
        <v>0</v>
      </c>
      <c r="G87" s="1115">
        <f>资产负债分析调整表!E36</f>
        <v>0</v>
      </c>
      <c r="H87" s="1079">
        <f t="shared" si="16"/>
        <v>0</v>
      </c>
    </row>
    <row r="88" s="1056" customFormat="1" ht="17.25" customHeight="1" spans="1:8">
      <c r="A88" s="1075">
        <v>12</v>
      </c>
      <c r="B88" s="1087" t="str">
        <f>'[34]表I-3资产负债分析调整表'!B37</f>
        <v>开发支出</v>
      </c>
      <c r="C88" s="1115">
        <f>资产负债分析调整表!C37</f>
        <v>0</v>
      </c>
      <c r="D88" s="1078">
        <f t="shared" si="16"/>
        <v>0</v>
      </c>
      <c r="E88" s="1115">
        <f>资产负债分析调整表!D37/10000</f>
        <v>0</v>
      </c>
      <c r="F88" s="1078">
        <f t="shared" si="16"/>
        <v>0</v>
      </c>
      <c r="G88" s="1115">
        <f>资产负债分析调整表!E37</f>
        <v>0</v>
      </c>
      <c r="H88" s="1079">
        <f t="shared" si="16"/>
        <v>0</v>
      </c>
    </row>
    <row r="89" s="1056" customFormat="1" ht="17.25" customHeight="1" spans="1:8">
      <c r="A89" s="1075">
        <v>13</v>
      </c>
      <c r="B89" s="1087" t="str">
        <f>'[34]表I-3资产负债分析调整表'!B38</f>
        <v>商誉</v>
      </c>
      <c r="C89" s="1115">
        <f>资产负债分析调整表!C38</f>
        <v>0</v>
      </c>
      <c r="D89" s="1078">
        <f t="shared" si="16"/>
        <v>0</v>
      </c>
      <c r="E89" s="1115">
        <f>资产负债分析调整表!D38/10000</f>
        <v>0</v>
      </c>
      <c r="F89" s="1078">
        <f t="shared" si="16"/>
        <v>0</v>
      </c>
      <c r="G89" s="1115">
        <f>资产负债分析调整表!E38</f>
        <v>0</v>
      </c>
      <c r="H89" s="1079">
        <f t="shared" si="16"/>
        <v>0</v>
      </c>
    </row>
    <row r="90" s="1056" customFormat="1" ht="17.25" customHeight="1" spans="1:8">
      <c r="A90" s="1075">
        <v>14</v>
      </c>
      <c r="B90" s="1087" t="str">
        <f>'[34]表I-3资产负债分析调整表'!B39</f>
        <v>无形资产净额</v>
      </c>
      <c r="C90" s="1115">
        <f>资产负债分析调整表!C39/10000</f>
        <v>481.22454</v>
      </c>
      <c r="D90" s="1078">
        <f t="shared" si="16"/>
        <v>0.247901053170761</v>
      </c>
      <c r="E90" s="1115">
        <f>资产负债分析调整表!D39/10000</f>
        <v>449.607577</v>
      </c>
      <c r="F90" s="1078">
        <f t="shared" si="16"/>
        <v>0.127133989164549</v>
      </c>
      <c r="G90" s="1115">
        <f>资产负债分析调整表!E39/10000</f>
        <v>416.537771</v>
      </c>
      <c r="H90" s="1079">
        <f t="shared" si="16"/>
        <v>0.120127981010986</v>
      </c>
    </row>
    <row r="91" s="1056" customFormat="1" ht="17.25" customHeight="1" spans="1:8">
      <c r="A91" s="1075">
        <v>15</v>
      </c>
      <c r="B91" s="1087" t="str">
        <f>'[34]表I-3资产负债分析调整表'!B40</f>
        <v>长期待摊费用</v>
      </c>
      <c r="C91" s="1115">
        <f>资产负债分析调整表!C40/10000</f>
        <v>0</v>
      </c>
      <c r="D91" s="1078">
        <f t="shared" si="16"/>
        <v>0</v>
      </c>
      <c r="E91" s="1115">
        <f>资产负债分析调整表!D40/10000</f>
        <v>0</v>
      </c>
      <c r="F91" s="1078">
        <f t="shared" si="16"/>
        <v>0</v>
      </c>
      <c r="G91" s="1115">
        <f>资产负债分析调整表!E40</f>
        <v>0</v>
      </c>
      <c r="H91" s="1079">
        <f t="shared" si="16"/>
        <v>0</v>
      </c>
    </row>
    <row r="92" s="1056" customFormat="1" ht="17.25" customHeight="1" spans="1:8">
      <c r="A92" s="1075">
        <v>16</v>
      </c>
      <c r="B92" s="1087" t="str">
        <f>'[34]表I-3资产负债分析调整表'!B41</f>
        <v>其他非流动资产</v>
      </c>
      <c r="C92" s="1115">
        <f>资产负债分析调整表!C41/10000</f>
        <v>0</v>
      </c>
      <c r="D92" s="1078">
        <f t="shared" si="16"/>
        <v>0</v>
      </c>
      <c r="E92" s="1115">
        <f>资产负债分析调整表!D41/10000</f>
        <v>0</v>
      </c>
      <c r="F92" s="1078">
        <f t="shared" si="16"/>
        <v>0</v>
      </c>
      <c r="G92" s="1115">
        <f>资产负债分析调整表!E41</f>
        <v>0</v>
      </c>
      <c r="H92" s="1079">
        <f t="shared" si="16"/>
        <v>0</v>
      </c>
    </row>
    <row r="93" s="1056" customFormat="1" ht="17.25" customHeight="1" spans="1:8">
      <c r="A93" s="1075">
        <v>17</v>
      </c>
      <c r="B93" s="1087" t="str">
        <f>'[34]表I-3资产负债分析调整表'!B42</f>
        <v>递延所得税资产</v>
      </c>
      <c r="C93" s="1115">
        <f>资产负债分析调整表!C42/10000</f>
        <v>328.9421</v>
      </c>
      <c r="D93" s="1078">
        <f t="shared" ref="D93:H94" si="17">IF(C$94=0,0,C93/C$94)</f>
        <v>0.169453313877555</v>
      </c>
      <c r="E93" s="1115">
        <f>资产负债分析调整表!D42/10000</f>
        <v>342.441704</v>
      </c>
      <c r="F93" s="1078">
        <f t="shared" si="17"/>
        <v>0.0968310636051083</v>
      </c>
      <c r="G93" s="1115">
        <f>资产负债分析调整表!E42/10000</f>
        <v>357.106698</v>
      </c>
      <c r="H93" s="1079">
        <f t="shared" si="17"/>
        <v>0.102988275308748</v>
      </c>
    </row>
    <row r="94" s="1056" customFormat="1" ht="17.25" customHeight="1" spans="1:8">
      <c r="A94" s="1080">
        <v>18</v>
      </c>
      <c r="B94" s="1081" t="s">
        <v>157</v>
      </c>
      <c r="C94" s="1089">
        <f>SUM(C77:C93)</f>
        <v>1941.196029</v>
      </c>
      <c r="D94" s="1083">
        <f t="shared" si="17"/>
        <v>1</v>
      </c>
      <c r="E94" s="1089">
        <f>SUM(E77:E93)</f>
        <v>3536.486033</v>
      </c>
      <c r="F94" s="1083">
        <f t="shared" si="17"/>
        <v>1</v>
      </c>
      <c r="G94" s="1089">
        <f>SUM(G77:G93)</f>
        <v>3467.450027</v>
      </c>
      <c r="H94" s="1084">
        <f t="shared" si="17"/>
        <v>1</v>
      </c>
    </row>
    <row r="95" s="1057" customFormat="1" ht="17.25" customHeight="1" spans="1:8">
      <c r="A95" s="1114"/>
      <c r="B95" s="1085"/>
      <c r="C95" s="1086"/>
      <c r="D95" s="1086"/>
      <c r="E95" s="1086"/>
      <c r="F95" s="1086"/>
      <c r="G95" s="1086"/>
      <c r="H95" s="1086"/>
    </row>
    <row r="96" s="1057" customFormat="1" ht="17.25" customHeight="1" spans="1:8">
      <c r="A96" s="1114" t="s">
        <v>187</v>
      </c>
      <c r="B96" s="1085"/>
      <c r="C96" s="1086"/>
      <c r="D96" s="1086"/>
      <c r="E96" s="1086"/>
      <c r="F96" s="1086"/>
      <c r="G96" s="1086"/>
      <c r="H96" s="1086"/>
    </row>
    <row r="97" s="1056" customFormat="1" ht="17.25" customHeight="1" spans="1:8">
      <c r="A97" s="1066" t="s">
        <v>29</v>
      </c>
      <c r="B97" s="1067" t="s">
        <v>152</v>
      </c>
      <c r="C97" s="1068" t="str">
        <f>C75</f>
        <v>2015年12月31日</v>
      </c>
      <c r="D97" s="1068"/>
      <c r="E97" s="1068" t="str">
        <f>E75</f>
        <v>2016年12月31日</v>
      </c>
      <c r="F97" s="1068"/>
      <c r="G97" s="1069" t="str">
        <f>G75</f>
        <v>2017年12月31日</v>
      </c>
      <c r="H97" s="1070"/>
    </row>
    <row r="98" s="1056" customFormat="1" ht="17.25" customHeight="1" spans="1:8">
      <c r="A98" s="1071"/>
      <c r="B98" s="1072"/>
      <c r="C98" s="1073" t="s">
        <v>153</v>
      </c>
      <c r="D98" s="1073" t="s">
        <v>154</v>
      </c>
      <c r="E98" s="1073" t="s">
        <v>153</v>
      </c>
      <c r="F98" s="1073" t="s">
        <v>154</v>
      </c>
      <c r="G98" s="1073" t="s">
        <v>153</v>
      </c>
      <c r="H98" s="1074" t="s">
        <v>154</v>
      </c>
    </row>
    <row r="99" s="1056" customFormat="1" ht="17.25" customHeight="1" spans="1:8">
      <c r="A99" s="1075">
        <v>1</v>
      </c>
      <c r="B99" s="1116" t="s">
        <v>188</v>
      </c>
      <c r="C99" s="1093"/>
      <c r="D99" s="1078">
        <f t="shared" ref="D99:H103" si="18">IF(C$103=0,0,C99/C$103)</f>
        <v>0</v>
      </c>
      <c r="E99" s="1093"/>
      <c r="F99" s="1078">
        <f t="shared" si="18"/>
        <v>0</v>
      </c>
      <c r="G99" s="1093"/>
      <c r="H99" s="1079">
        <f t="shared" si="18"/>
        <v>0</v>
      </c>
    </row>
    <row r="100" s="1056" customFormat="1" ht="17.25" customHeight="1" spans="1:8">
      <c r="A100" s="1075">
        <v>2</v>
      </c>
      <c r="B100" s="1116" t="s">
        <v>189</v>
      </c>
      <c r="C100" s="1093"/>
      <c r="D100" s="1078">
        <f t="shared" si="18"/>
        <v>0</v>
      </c>
      <c r="E100" s="1093"/>
      <c r="F100" s="1078">
        <f t="shared" si="18"/>
        <v>0</v>
      </c>
      <c r="G100" s="1093">
        <f>11170704.83/10000</f>
        <v>1117.070483</v>
      </c>
      <c r="H100" s="1079">
        <f t="shared" si="18"/>
        <v>0.935722300431776</v>
      </c>
    </row>
    <row r="101" s="1056" customFormat="1" ht="17.25" customHeight="1" spans="1:8">
      <c r="A101" s="1075">
        <v>3</v>
      </c>
      <c r="B101" s="1116" t="s">
        <v>190</v>
      </c>
      <c r="C101" s="1093"/>
      <c r="D101" s="1078">
        <f t="shared" si="18"/>
        <v>0</v>
      </c>
      <c r="E101" s="1093"/>
      <c r="F101" s="1078">
        <f t="shared" si="18"/>
        <v>0</v>
      </c>
      <c r="G101" s="1093">
        <f>663735.04/10000</f>
        <v>66.373504</v>
      </c>
      <c r="H101" s="1079">
        <f t="shared" si="18"/>
        <v>0.0555982534636516</v>
      </c>
    </row>
    <row r="102" s="1056" customFormat="1" ht="17.25" customHeight="1" spans="1:8">
      <c r="A102" s="1075">
        <v>4</v>
      </c>
      <c r="B102" s="1116" t="s">
        <v>191</v>
      </c>
      <c r="C102" s="1093"/>
      <c r="D102" s="1078">
        <f t="shared" si="18"/>
        <v>0</v>
      </c>
      <c r="E102" s="1093"/>
      <c r="F102" s="1078">
        <f t="shared" si="18"/>
        <v>0</v>
      </c>
      <c r="G102" s="1093">
        <f>103615.71/10000</f>
        <v>10.361571</v>
      </c>
      <c r="H102" s="1079">
        <f t="shared" si="18"/>
        <v>0.00867944610457242</v>
      </c>
    </row>
    <row r="103" s="1056" customFormat="1" ht="17.25" customHeight="1" spans="1:8">
      <c r="A103" s="1075">
        <v>5</v>
      </c>
      <c r="B103" s="1076" t="s">
        <v>192</v>
      </c>
      <c r="C103" s="1088"/>
      <c r="D103" s="1078">
        <f t="shared" si="18"/>
        <v>0</v>
      </c>
      <c r="E103" s="1088"/>
      <c r="F103" s="1078">
        <f t="shared" si="18"/>
        <v>0</v>
      </c>
      <c r="G103" s="1088">
        <f t="shared" ref="G103" si="19">G99+G100+G101+G102</f>
        <v>1193.805558</v>
      </c>
      <c r="H103" s="1079">
        <f t="shared" si="18"/>
        <v>1</v>
      </c>
    </row>
    <row r="104" s="1056" customFormat="1" ht="17.25" customHeight="1" spans="1:8">
      <c r="A104" s="1075">
        <v>6</v>
      </c>
      <c r="B104" s="1108" t="s">
        <v>59</v>
      </c>
      <c r="C104" s="1093"/>
      <c r="D104" s="1078"/>
      <c r="E104" s="1093"/>
      <c r="F104" s="1078"/>
      <c r="G104" s="1093">
        <v>0</v>
      </c>
      <c r="H104" s="1079"/>
    </row>
    <row r="105" s="1056" customFormat="1" ht="17.25" customHeight="1" spans="1:8">
      <c r="A105" s="1075">
        <v>7</v>
      </c>
      <c r="B105" s="1076" t="s">
        <v>60</v>
      </c>
      <c r="C105" s="1088"/>
      <c r="D105" s="1078"/>
      <c r="E105" s="1088"/>
      <c r="F105" s="1078"/>
      <c r="G105" s="1088">
        <f t="shared" ref="G105" si="20">G103-G104</f>
        <v>1193.805558</v>
      </c>
      <c r="H105" s="1079"/>
    </row>
    <row r="106" s="1056" customFormat="1" ht="17.25" customHeight="1" spans="1:8">
      <c r="A106" s="1075">
        <v>8</v>
      </c>
      <c r="B106" s="1108" t="s">
        <v>193</v>
      </c>
      <c r="C106" s="1088"/>
      <c r="D106" s="1078"/>
      <c r="E106" s="1088"/>
      <c r="F106" s="1078"/>
      <c r="G106" s="1088">
        <f>G105-E105</f>
        <v>1193.805558</v>
      </c>
      <c r="H106" s="1079"/>
    </row>
    <row r="107" s="1056" customFormat="1" ht="17.25" customHeight="1" spans="1:8">
      <c r="A107" s="1080">
        <v>9</v>
      </c>
      <c r="B107" s="1111" t="s">
        <v>184</v>
      </c>
      <c r="C107" s="1089"/>
      <c r="D107" s="1083"/>
      <c r="E107" s="1083" t="e">
        <f>E106/C105</f>
        <v>#DIV/0!</v>
      </c>
      <c r="F107" s="1083"/>
      <c r="G107" s="1083" t="e">
        <f>G106/E105</f>
        <v>#DIV/0!</v>
      </c>
      <c r="H107" s="1084"/>
    </row>
    <row r="108" s="1057" customFormat="1" ht="16.5" customHeight="1" spans="1:8">
      <c r="A108" s="1085"/>
      <c r="B108" s="1112" t="s">
        <v>185</v>
      </c>
      <c r="C108" s="1113" t="str">
        <f>IF(C105='[34]表I-3资产负债分析调整表'!D26,"","false")</f>
        <v>false</v>
      </c>
      <c r="D108" s="1113"/>
      <c r="E108" s="1113" t="e">
        <f>IF(E105='[34]表I-3资产负债分析调整表'!F26,"","false")</f>
        <v>#REF!</v>
      </c>
      <c r="F108" s="1113"/>
      <c r="G108" s="1113" t="str">
        <f>IF(G105='[34]表I-3资产负债分析调整表'!H26,"","false")</f>
        <v>false</v>
      </c>
      <c r="H108" s="1113"/>
    </row>
    <row r="109" s="1057" customFormat="1" ht="16.5" customHeight="1" spans="1:8">
      <c r="A109" s="1114" t="s">
        <v>194</v>
      </c>
      <c r="B109" s="1085"/>
      <c r="C109" s="1086"/>
      <c r="D109" s="1086"/>
      <c r="E109" s="1086"/>
      <c r="F109" s="1086"/>
      <c r="G109" s="1086"/>
      <c r="H109" s="1086"/>
    </row>
    <row r="110" s="1056" customFormat="1" ht="15" customHeight="1" spans="1:8">
      <c r="A110" s="1066" t="s">
        <v>29</v>
      </c>
      <c r="B110" s="1067" t="s">
        <v>195</v>
      </c>
      <c r="C110" s="1068" t="s">
        <v>196</v>
      </c>
      <c r="D110" s="1068" t="s">
        <v>197</v>
      </c>
      <c r="E110" s="1068" t="s">
        <v>198</v>
      </c>
      <c r="F110" s="1068" t="s">
        <v>199</v>
      </c>
      <c r="G110" s="1068" t="s">
        <v>200</v>
      </c>
      <c r="H110" s="1090" t="s">
        <v>201</v>
      </c>
    </row>
    <row r="111" s="1056" customFormat="1" ht="15" customHeight="1" spans="1:8">
      <c r="A111" s="1091">
        <v>1</v>
      </c>
      <c r="B111" s="1116" t="s">
        <v>188</v>
      </c>
      <c r="C111" s="1093"/>
      <c r="D111" s="1093"/>
      <c r="E111" s="1093"/>
      <c r="F111" s="1094">
        <f t="shared" ref="F111:F114" si="21">IF(D111=0,0,ROUND(E111/D111,3))</f>
        <v>0</v>
      </c>
      <c r="G111" s="1093"/>
      <c r="H111" s="1095">
        <f t="shared" ref="H111:H114" si="22">E111-G111</f>
        <v>0</v>
      </c>
    </row>
    <row r="112" s="1056" customFormat="1" ht="15" customHeight="1" spans="1:8">
      <c r="A112" s="1091">
        <v>2</v>
      </c>
      <c r="B112" s="1116" t="s">
        <v>189</v>
      </c>
      <c r="C112" s="1093">
        <v>10</v>
      </c>
      <c r="D112" s="1093">
        <f>15044809.11/10000</f>
        <v>1504.480911</v>
      </c>
      <c r="E112" s="1093">
        <f>11170704.83/10000</f>
        <v>1117.070483</v>
      </c>
      <c r="F112" s="1094">
        <f t="shared" si="21"/>
        <v>0.742</v>
      </c>
      <c r="G112" s="1093"/>
      <c r="H112" s="1095">
        <f t="shared" si="22"/>
        <v>1117.070483</v>
      </c>
    </row>
    <row r="113" s="1056" customFormat="1" ht="15" customHeight="1" spans="1:8">
      <c r="A113" s="1091">
        <v>3</v>
      </c>
      <c r="B113" s="1116" t="s">
        <v>190</v>
      </c>
      <c r="C113" s="1093">
        <v>10</v>
      </c>
      <c r="D113" s="1093">
        <f>734506.99/10000</f>
        <v>73.450699</v>
      </c>
      <c r="E113" s="1093">
        <f>663735.04/10000</f>
        <v>66.373504</v>
      </c>
      <c r="F113" s="1094">
        <f t="shared" si="21"/>
        <v>0.904</v>
      </c>
      <c r="G113" s="1093"/>
      <c r="H113" s="1095">
        <f t="shared" si="22"/>
        <v>66.373504</v>
      </c>
    </row>
    <row r="114" s="1056" customFormat="1" ht="15" customHeight="1" spans="1:8">
      <c r="A114" s="1091">
        <v>4</v>
      </c>
      <c r="B114" s="1116" t="s">
        <v>191</v>
      </c>
      <c r="C114" s="1093">
        <v>5</v>
      </c>
      <c r="D114" s="1093">
        <f>341053/10000</f>
        <v>34.1053</v>
      </c>
      <c r="E114" s="1093">
        <f>103615.71/10000</f>
        <v>10.361571</v>
      </c>
      <c r="F114" s="1094">
        <f t="shared" si="21"/>
        <v>0.304</v>
      </c>
      <c r="G114" s="1093"/>
      <c r="H114" s="1095">
        <f t="shared" si="22"/>
        <v>10.361571</v>
      </c>
    </row>
    <row r="115" s="1056" customFormat="1" ht="15" customHeight="1" spans="1:8">
      <c r="A115" s="1097">
        <v>5</v>
      </c>
      <c r="B115" s="1081" t="s">
        <v>157</v>
      </c>
      <c r="C115" s="1089"/>
      <c r="D115" s="1089">
        <f t="shared" ref="D115:H115" si="23">SUM(D111:D114)</f>
        <v>1612.03691</v>
      </c>
      <c r="E115" s="1089">
        <f t="shared" si="23"/>
        <v>1193.805558</v>
      </c>
      <c r="F115" s="1089"/>
      <c r="G115" s="1089"/>
      <c r="H115" s="1098">
        <f t="shared" si="23"/>
        <v>1193.805558</v>
      </c>
    </row>
    <row r="116" s="1057" customFormat="1" ht="5.25" customHeight="1" spans="1:8">
      <c r="A116" s="1085"/>
      <c r="B116" s="1085"/>
      <c r="C116" s="1086"/>
      <c r="D116" s="1086"/>
      <c r="E116" s="1086"/>
      <c r="F116" s="1086"/>
      <c r="G116" s="1086"/>
      <c r="H116" s="1086"/>
    </row>
    <row r="117" s="1057" customFormat="1" ht="15.75" customHeight="1" spans="1:8">
      <c r="A117" s="1114" t="s">
        <v>202</v>
      </c>
      <c r="B117" s="1085"/>
      <c r="C117" s="1086"/>
      <c r="D117" s="1086"/>
      <c r="E117" s="1086"/>
      <c r="F117" s="1086"/>
      <c r="G117" s="1086"/>
      <c r="H117" s="1086"/>
    </row>
    <row r="118" s="1056" customFormat="1" ht="15" customHeight="1" spans="1:8">
      <c r="A118" s="1066" t="s">
        <v>29</v>
      </c>
      <c r="B118" s="1067" t="s">
        <v>152</v>
      </c>
      <c r="C118" s="1068" t="str">
        <f>C6</f>
        <v>2015年12月31日</v>
      </c>
      <c r="D118" s="1068"/>
      <c r="E118" s="1068" t="str">
        <f>E6</f>
        <v>2016年12月31日</v>
      </c>
      <c r="F118" s="1068"/>
      <c r="G118" s="1069" t="str">
        <f>G6</f>
        <v>2017年12月31日</v>
      </c>
      <c r="H118" s="1070"/>
    </row>
    <row r="119" s="1056" customFormat="1" ht="15" customHeight="1" spans="1:8">
      <c r="A119" s="1071"/>
      <c r="B119" s="1072"/>
      <c r="C119" s="1073" t="s">
        <v>153</v>
      </c>
      <c r="D119" s="1073" t="s">
        <v>154</v>
      </c>
      <c r="E119" s="1073" t="s">
        <v>153</v>
      </c>
      <c r="F119" s="1073" t="s">
        <v>154</v>
      </c>
      <c r="G119" s="1073" t="s">
        <v>153</v>
      </c>
      <c r="H119" s="1074" t="s">
        <v>154</v>
      </c>
    </row>
    <row r="120" s="1056" customFormat="1" ht="15" customHeight="1" spans="1:8">
      <c r="A120" s="1091">
        <v>1</v>
      </c>
      <c r="B120" s="1116" t="s">
        <v>203</v>
      </c>
      <c r="C120" s="1093"/>
      <c r="D120" s="1078">
        <f t="shared" ref="D120:H123" si="24">IF(C$123=0,0,C120/C$123)</f>
        <v>0</v>
      </c>
      <c r="E120" s="1093"/>
      <c r="F120" s="1078">
        <f t="shared" si="24"/>
        <v>0</v>
      </c>
      <c r="G120" s="1093"/>
      <c r="H120" s="1079">
        <f t="shared" si="24"/>
        <v>0</v>
      </c>
    </row>
    <row r="121" s="1056" customFormat="1" ht="15" customHeight="1" spans="1:8">
      <c r="A121" s="1091">
        <v>2</v>
      </c>
      <c r="B121" s="1116" t="s">
        <v>204</v>
      </c>
      <c r="C121" s="1093"/>
      <c r="D121" s="1078">
        <f t="shared" si="24"/>
        <v>0</v>
      </c>
      <c r="E121" s="1093"/>
      <c r="F121" s="1078">
        <f t="shared" si="24"/>
        <v>0</v>
      </c>
      <c r="G121" s="1093">
        <v>411.12</v>
      </c>
      <c r="H121" s="1079">
        <f t="shared" si="24"/>
        <v>0.986988044365487</v>
      </c>
    </row>
    <row r="122" s="1056" customFormat="1" ht="15" customHeight="1" spans="1:8">
      <c r="A122" s="1091">
        <v>3</v>
      </c>
      <c r="B122" s="1116" t="s">
        <v>205</v>
      </c>
      <c r="C122" s="1093"/>
      <c r="D122" s="1078">
        <f t="shared" si="24"/>
        <v>0</v>
      </c>
      <c r="E122" s="1093"/>
      <c r="F122" s="1078">
        <f t="shared" si="24"/>
        <v>0</v>
      </c>
      <c r="G122" s="1093">
        <v>5.42</v>
      </c>
      <c r="H122" s="1079">
        <f t="shared" si="24"/>
        <v>0.0130119556345129</v>
      </c>
    </row>
    <row r="123" s="1056" customFormat="1" ht="15" customHeight="1" spans="1:8">
      <c r="A123" s="1097">
        <v>4</v>
      </c>
      <c r="B123" s="1117" t="s">
        <v>157</v>
      </c>
      <c r="C123" s="1118">
        <f>C120+C121+C122</f>
        <v>0</v>
      </c>
      <c r="D123" s="1083">
        <f t="shared" si="24"/>
        <v>0</v>
      </c>
      <c r="E123" s="1118">
        <f>SUM(E120:E122)</f>
        <v>0</v>
      </c>
      <c r="F123" s="1083">
        <f t="shared" si="24"/>
        <v>0</v>
      </c>
      <c r="G123" s="1118">
        <f>SUM(G120:G122)</f>
        <v>416.54</v>
      </c>
      <c r="H123" s="1084">
        <f t="shared" si="24"/>
        <v>1</v>
      </c>
    </row>
    <row r="124" s="1057" customFormat="1" ht="4.5" customHeight="1" spans="1:8">
      <c r="A124" s="1085"/>
      <c r="B124" s="1085"/>
      <c r="C124" s="1086"/>
      <c r="D124" s="1086"/>
      <c r="E124" s="1086"/>
      <c r="F124" s="1086"/>
      <c r="G124" s="1086"/>
      <c r="H124" s="1086"/>
    </row>
    <row r="125" s="1057" customFormat="1" ht="15.75" customHeight="1" spans="1:8">
      <c r="A125" s="1114" t="s">
        <v>206</v>
      </c>
      <c r="B125" s="1085"/>
      <c r="C125" s="1086"/>
      <c r="D125" s="1086"/>
      <c r="E125" s="1086"/>
      <c r="F125" s="1086"/>
      <c r="G125" s="1086"/>
      <c r="H125" s="1086"/>
    </row>
    <row r="126" s="1056" customFormat="1" ht="15" customHeight="1" spans="1:8">
      <c r="A126" s="1066" t="s">
        <v>29</v>
      </c>
      <c r="B126" s="1067" t="s">
        <v>152</v>
      </c>
      <c r="C126" s="1068" t="str">
        <f>C118</f>
        <v>2015年12月31日</v>
      </c>
      <c r="D126" s="1068"/>
      <c r="E126" s="1068" t="str">
        <f t="shared" ref="E126" si="25">E118</f>
        <v>2016年12月31日</v>
      </c>
      <c r="F126" s="1068"/>
      <c r="G126" s="1068" t="str">
        <f t="shared" ref="G126" si="26">G118</f>
        <v>2017年12月31日</v>
      </c>
      <c r="H126" s="1068"/>
    </row>
    <row r="127" s="1056" customFormat="1" ht="15" customHeight="1" spans="1:8">
      <c r="A127" s="1071"/>
      <c r="B127" s="1072"/>
      <c r="C127" s="1073" t="s">
        <v>153</v>
      </c>
      <c r="D127" s="1073" t="s">
        <v>154</v>
      </c>
      <c r="E127" s="1073" t="s">
        <v>153</v>
      </c>
      <c r="F127" s="1073" t="s">
        <v>154</v>
      </c>
      <c r="G127" s="1073" t="s">
        <v>153</v>
      </c>
      <c r="H127" s="1074" t="s">
        <v>154</v>
      </c>
    </row>
    <row r="128" s="1056" customFormat="1" ht="15" customHeight="1" spans="1:8">
      <c r="A128" s="1075">
        <v>1</v>
      </c>
      <c r="B128" s="1087" t="str">
        <f>'[34]表I-3资产负债分析调整表'!B45</f>
        <v>短期借款</v>
      </c>
      <c r="C128" s="1115">
        <f>资产负债分析调整表!C45/10000</f>
        <v>0</v>
      </c>
      <c r="D128" s="1078">
        <f t="shared" ref="D128:H143" si="27">IF(C$148=0,0,C128/C$148)</f>
        <v>0</v>
      </c>
      <c r="E128" s="1115">
        <f>资产负债分析调整表!D45/10000</f>
        <v>0</v>
      </c>
      <c r="F128" s="1078">
        <f t="shared" si="27"/>
        <v>0</v>
      </c>
      <c r="G128" s="1115">
        <f>资产负债分析调整表!E45/10000</f>
        <v>0</v>
      </c>
      <c r="H128" s="1079">
        <f t="shared" si="27"/>
        <v>0</v>
      </c>
    </row>
    <row r="129" s="1056" customFormat="1" ht="15" customHeight="1" spans="1:8">
      <c r="A129" s="1075">
        <v>2</v>
      </c>
      <c r="B129" s="1087" t="str">
        <f>'[34]表I-3资产负债分析调整表'!B46</f>
        <v>交易性金融负债</v>
      </c>
      <c r="C129" s="1115">
        <f>资产负债分析调整表!C46/10000</f>
        <v>0</v>
      </c>
      <c r="D129" s="1078">
        <f t="shared" si="27"/>
        <v>0</v>
      </c>
      <c r="E129" s="1115">
        <f>资产负债分析调整表!D46/10000</f>
        <v>0</v>
      </c>
      <c r="F129" s="1078">
        <f t="shared" si="27"/>
        <v>0</v>
      </c>
      <c r="G129" s="1115">
        <f>资产负债分析调整表!E46/10000</f>
        <v>0</v>
      </c>
      <c r="H129" s="1079">
        <f t="shared" si="27"/>
        <v>0</v>
      </c>
    </row>
    <row r="130" s="1056" customFormat="1" ht="15" customHeight="1" spans="1:8">
      <c r="A130" s="1075">
        <v>3</v>
      </c>
      <c r="B130" s="1087" t="str">
        <f>'[34]表I-3资产负债分析调整表'!B47</f>
        <v>应付票据</v>
      </c>
      <c r="C130" s="1115">
        <f>资产负债分析调整表!C47/10000</f>
        <v>0</v>
      </c>
      <c r="D130" s="1078">
        <f t="shared" si="27"/>
        <v>0</v>
      </c>
      <c r="E130" s="1115">
        <f>资产负债分析调整表!D47/10000</f>
        <v>0</v>
      </c>
      <c r="F130" s="1078">
        <f t="shared" si="27"/>
        <v>0</v>
      </c>
      <c r="G130" s="1115">
        <f>资产负债分析调整表!E47/10000</f>
        <v>0</v>
      </c>
      <c r="H130" s="1079">
        <f t="shared" si="27"/>
        <v>0</v>
      </c>
    </row>
    <row r="131" s="1056" customFormat="1" ht="15" customHeight="1" spans="1:8">
      <c r="A131" s="1075">
        <v>4</v>
      </c>
      <c r="B131" s="1087" t="str">
        <f>'[34]表I-3资产负债分析调整表'!B48</f>
        <v>应付帐款</v>
      </c>
      <c r="C131" s="1115">
        <f>资产负债分析调整表!C48/10000</f>
        <v>37.293594</v>
      </c>
      <c r="D131" s="1078">
        <f t="shared" si="27"/>
        <v>-0.160731719574013</v>
      </c>
      <c r="E131" s="1115">
        <f>资产负债分析调整表!D48/10000</f>
        <v>200.023937</v>
      </c>
      <c r="F131" s="1078">
        <f t="shared" si="27"/>
        <v>0.18829679455841</v>
      </c>
      <c r="G131" s="1115">
        <f>资产负债分析调整表!E48/10000</f>
        <v>201.439948</v>
      </c>
      <c r="H131" s="1079">
        <f t="shared" si="27"/>
        <v>0.181230819894469</v>
      </c>
    </row>
    <row r="132" s="1056" customFormat="1" ht="15" customHeight="1" spans="1:8">
      <c r="A132" s="1075">
        <v>5</v>
      </c>
      <c r="B132" s="1087" t="str">
        <f>'[34]表I-3资产负债分析调整表'!B49</f>
        <v>预收帐款</v>
      </c>
      <c r="C132" s="1115">
        <f>资产负债分析调整表!C49/10000</f>
        <v>0</v>
      </c>
      <c r="D132" s="1078">
        <f t="shared" si="27"/>
        <v>0</v>
      </c>
      <c r="E132" s="1115">
        <f>资产负债分析调整表!D49/10000</f>
        <v>6.04175</v>
      </c>
      <c r="F132" s="1078">
        <f t="shared" si="27"/>
        <v>0.00568753008057867</v>
      </c>
      <c r="G132" s="1115">
        <f>资产负债分析调整表!E49/10000</f>
        <v>24.04556</v>
      </c>
      <c r="H132" s="1079">
        <f t="shared" si="27"/>
        <v>0.0216332291429188</v>
      </c>
    </row>
    <row r="133" s="1056" customFormat="1" ht="15" customHeight="1" spans="1:8">
      <c r="A133" s="1075">
        <v>6</v>
      </c>
      <c r="B133" s="1087" t="str">
        <f>'[34]表I-3资产负债分析调整表'!B50</f>
        <v>应付职工薪酬</v>
      </c>
      <c r="C133" s="1115">
        <f>资产负债分析调整表!C50/10000</f>
        <v>0</v>
      </c>
      <c r="D133" s="1078">
        <f t="shared" si="27"/>
        <v>0</v>
      </c>
      <c r="E133" s="1115">
        <f>资产负债分析调整表!D50/10000</f>
        <v>0</v>
      </c>
      <c r="F133" s="1078">
        <f t="shared" si="27"/>
        <v>0</v>
      </c>
      <c r="G133" s="1115">
        <f>资产负债分析调整表!E50/10000</f>
        <v>0</v>
      </c>
      <c r="H133" s="1079">
        <f t="shared" si="27"/>
        <v>0</v>
      </c>
    </row>
    <row r="134" s="1056" customFormat="1" ht="15" customHeight="1" spans="1:8">
      <c r="A134" s="1075">
        <v>7</v>
      </c>
      <c r="B134" s="1087" t="str">
        <f>'[34]表I-3资产负债分析调整表'!B51</f>
        <v>应付利润（应付股利）</v>
      </c>
      <c r="C134" s="1115">
        <f>资产负债分析调整表!C51/10000</f>
        <v>0</v>
      </c>
      <c r="D134" s="1078">
        <f t="shared" si="27"/>
        <v>0</v>
      </c>
      <c r="E134" s="1115">
        <f>资产负债分析调整表!D51/10000</f>
        <v>0</v>
      </c>
      <c r="F134" s="1078">
        <f t="shared" si="27"/>
        <v>0</v>
      </c>
      <c r="G134" s="1115">
        <f>资产负债分析调整表!E51/10000</f>
        <v>0</v>
      </c>
      <c r="H134" s="1079">
        <f t="shared" si="27"/>
        <v>0</v>
      </c>
    </row>
    <row r="135" s="1056" customFormat="1" ht="15" customHeight="1" spans="1:8">
      <c r="A135" s="1075">
        <v>8</v>
      </c>
      <c r="B135" s="1087" t="str">
        <f>'[34]表I-3资产负债分析调整表'!B52</f>
        <v>应交税费</v>
      </c>
      <c r="C135" s="1115">
        <f>资产负债分析调整表!C52/10000</f>
        <v>-273.273228</v>
      </c>
      <c r="D135" s="1078">
        <f t="shared" si="27"/>
        <v>1.1777807161729</v>
      </c>
      <c r="E135" s="1115">
        <f>资产负债分析调整表!D52/10000</f>
        <v>-233.767105</v>
      </c>
      <c r="F135" s="1078">
        <f t="shared" si="27"/>
        <v>-0.220061644645557</v>
      </c>
      <c r="G135" s="1115">
        <f>资产负债分析调整表!E52/10000</f>
        <v>-270.826812</v>
      </c>
      <c r="H135" s="1079">
        <f t="shared" si="27"/>
        <v>-0.243656562044809</v>
      </c>
    </row>
    <row r="136" s="1056" customFormat="1" ht="15" customHeight="1" spans="1:8">
      <c r="A136" s="1075">
        <v>9</v>
      </c>
      <c r="B136" s="1087" t="str">
        <f>'[34]表I-3资产负债分析调整表'!B53</f>
        <v>应付利息</v>
      </c>
      <c r="C136" s="1115">
        <f>资产负债分析调整表!C53/10000</f>
        <v>0</v>
      </c>
      <c r="D136" s="1078">
        <f t="shared" si="27"/>
        <v>0</v>
      </c>
      <c r="E136" s="1115">
        <f>资产负债分析调整表!D53/10000</f>
        <v>0</v>
      </c>
      <c r="F136" s="1078">
        <f t="shared" si="27"/>
        <v>0</v>
      </c>
      <c r="G136" s="1115">
        <f>资产负债分析调整表!E53/10000</f>
        <v>0</v>
      </c>
      <c r="H136" s="1079">
        <f t="shared" si="27"/>
        <v>0</v>
      </c>
    </row>
    <row r="137" s="1056" customFormat="1" ht="15" customHeight="1" spans="1:8">
      <c r="A137" s="1075">
        <v>10</v>
      </c>
      <c r="B137" s="1087" t="str">
        <f>'[34]表I-3资产负债分析调整表'!B54</f>
        <v>其他应付款</v>
      </c>
      <c r="C137" s="1115">
        <f>资产负债分析调整表!C54/10000</f>
        <v>3.955774</v>
      </c>
      <c r="D137" s="1078">
        <f t="shared" si="27"/>
        <v>-0.0170489965988843</v>
      </c>
      <c r="E137" s="1115">
        <f>资产负债分析调整表!D54/10000</f>
        <v>1089.981514</v>
      </c>
      <c r="F137" s="1078">
        <f t="shared" si="27"/>
        <v>1.02607732000657</v>
      </c>
      <c r="G137" s="1115">
        <f>资产负债分析调整表!E54/10000</f>
        <v>1156.851742</v>
      </c>
      <c r="H137" s="1079">
        <f t="shared" si="27"/>
        <v>1.04079251300742</v>
      </c>
    </row>
    <row r="138" s="1056" customFormat="1" ht="15" customHeight="1" spans="1:8">
      <c r="A138" s="1075">
        <v>11</v>
      </c>
      <c r="B138" s="1087" t="str">
        <f>'[34]表I-3资产负债分析调整表'!B55</f>
        <v>预提费用</v>
      </c>
      <c r="C138" s="1115">
        <f>资产负债分析调整表!C55/10000</f>
        <v>0</v>
      </c>
      <c r="D138" s="1078">
        <f t="shared" si="27"/>
        <v>0</v>
      </c>
      <c r="E138" s="1115">
        <f>资产负债分析调整表!D55/10000</f>
        <v>0</v>
      </c>
      <c r="F138" s="1078">
        <f t="shared" si="27"/>
        <v>0</v>
      </c>
      <c r="G138" s="1115">
        <f>资产负债分析调整表!E55/10000</f>
        <v>0</v>
      </c>
      <c r="H138" s="1079">
        <f t="shared" si="27"/>
        <v>0</v>
      </c>
    </row>
    <row r="139" s="1056" customFormat="1" ht="15" customHeight="1" spans="1:8">
      <c r="A139" s="1075">
        <v>12</v>
      </c>
      <c r="B139" s="1087" t="str">
        <f>'[34]表I-3资产负债分析调整表'!B56</f>
        <v>一年内到期的非流动负债</v>
      </c>
      <c r="C139" s="1115">
        <f>资产负债分析调整表!C56/10000</f>
        <v>0</v>
      </c>
      <c r="D139" s="1078">
        <f t="shared" si="27"/>
        <v>0</v>
      </c>
      <c r="E139" s="1115">
        <f>资产负债分析调整表!D56/10000</f>
        <v>0</v>
      </c>
      <c r="F139" s="1078">
        <f t="shared" si="27"/>
        <v>0</v>
      </c>
      <c r="G139" s="1115">
        <f>资产负债分析调整表!E56/10000</f>
        <v>0</v>
      </c>
      <c r="H139" s="1079">
        <f t="shared" si="27"/>
        <v>0</v>
      </c>
    </row>
    <row r="140" s="1056" customFormat="1" ht="15" customHeight="1" spans="1:8">
      <c r="A140" s="1075">
        <v>13</v>
      </c>
      <c r="B140" s="1087" t="str">
        <f>'[34]表I-3资产负债分析调整表'!B57</f>
        <v>其他流动负债</v>
      </c>
      <c r="C140" s="1115">
        <f>资产负债分析调整表!C57/10000</f>
        <v>0</v>
      </c>
      <c r="D140" s="1078">
        <f t="shared" si="27"/>
        <v>0</v>
      </c>
      <c r="E140" s="1115">
        <f>资产负债分析调整表!D57/10000</f>
        <v>0</v>
      </c>
      <c r="F140" s="1078">
        <f t="shared" si="27"/>
        <v>0</v>
      </c>
      <c r="G140" s="1115">
        <f>资产负债分析调整表!E57/10000</f>
        <v>0</v>
      </c>
      <c r="H140" s="1079">
        <f t="shared" si="27"/>
        <v>0</v>
      </c>
    </row>
    <row r="141" s="1056" customFormat="1" ht="15" customHeight="1" spans="1:8">
      <c r="A141" s="1075">
        <v>14</v>
      </c>
      <c r="B141" s="1087" t="str">
        <f>'[34]表I-3资产负债分析调整表'!B59</f>
        <v>长期借款</v>
      </c>
      <c r="C141" s="1115">
        <f>资产负债分析调整表!C58/10000</f>
        <v>0</v>
      </c>
      <c r="D141" s="1078">
        <f t="shared" si="27"/>
        <v>0</v>
      </c>
      <c r="E141" s="1115">
        <f>资产负债分析调整表!D58/10000</f>
        <v>0</v>
      </c>
      <c r="F141" s="1078">
        <f t="shared" si="27"/>
        <v>0</v>
      </c>
      <c r="G141" s="1115">
        <f>资产负债分析调整表!E58/10000</f>
        <v>0</v>
      </c>
      <c r="H141" s="1079">
        <f t="shared" si="27"/>
        <v>0</v>
      </c>
    </row>
    <row r="142" s="1056" customFormat="1" ht="15" customHeight="1" spans="1:8">
      <c r="A142" s="1075">
        <v>15</v>
      </c>
      <c r="B142" s="1087" t="str">
        <f>'[34]表I-3资产负债分析调整表'!B60</f>
        <v>应付债券</v>
      </c>
      <c r="C142" s="1115">
        <f>资产负债分析调整表!C59/10000</f>
        <v>0</v>
      </c>
      <c r="D142" s="1078">
        <f t="shared" si="27"/>
        <v>0</v>
      </c>
      <c r="E142" s="1115">
        <f>资产负债分析调整表!D59/10000</f>
        <v>0</v>
      </c>
      <c r="F142" s="1078">
        <f t="shared" si="27"/>
        <v>0</v>
      </c>
      <c r="G142" s="1115">
        <f>资产负债分析调整表!E59/10000</f>
        <v>0</v>
      </c>
      <c r="H142" s="1079">
        <f t="shared" si="27"/>
        <v>0</v>
      </c>
    </row>
    <row r="143" s="1056" customFormat="1" ht="15" customHeight="1" spans="1:8">
      <c r="A143" s="1075">
        <v>16</v>
      </c>
      <c r="B143" s="1087" t="str">
        <f>'[34]表I-3资产负债分析调整表'!B61</f>
        <v>长期应付款</v>
      </c>
      <c r="C143" s="1115">
        <f>资产负债分析调整表!C60/10000</f>
        <v>0</v>
      </c>
      <c r="D143" s="1078">
        <f t="shared" si="27"/>
        <v>0</v>
      </c>
      <c r="E143" s="1115">
        <f>资产负债分析调整表!D60/10000</f>
        <v>0</v>
      </c>
      <c r="F143" s="1078">
        <f t="shared" si="27"/>
        <v>0</v>
      </c>
      <c r="G143" s="1115">
        <f>资产负债分析调整表!E60/10000</f>
        <v>0</v>
      </c>
      <c r="H143" s="1079">
        <f t="shared" si="27"/>
        <v>0</v>
      </c>
    </row>
    <row r="144" s="1056" customFormat="1" ht="15" customHeight="1" spans="1:8">
      <c r="A144" s="1075">
        <v>17</v>
      </c>
      <c r="B144" s="1087" t="str">
        <f>'[34]表I-3资产负债分析调整表'!B62</f>
        <v>专项应付款</v>
      </c>
      <c r="C144" s="1115">
        <f>资产负债分析调整表!C61/10000</f>
        <v>0</v>
      </c>
      <c r="D144" s="1078">
        <f t="shared" ref="D144:H148" si="28">IF(C$148=0,0,C144/C$148)</f>
        <v>0</v>
      </c>
      <c r="E144" s="1115">
        <f>资产负债分析调整表!D61/10000</f>
        <v>0</v>
      </c>
      <c r="F144" s="1078">
        <f t="shared" si="28"/>
        <v>0</v>
      </c>
      <c r="G144" s="1115">
        <f>资产负债分析调整表!E61/10000</f>
        <v>0</v>
      </c>
      <c r="H144" s="1079">
        <f t="shared" si="28"/>
        <v>0</v>
      </c>
    </row>
    <row r="145" s="1056" customFormat="1" ht="15" customHeight="1" spans="1:8">
      <c r="A145" s="1075">
        <v>18</v>
      </c>
      <c r="B145" s="1087" t="str">
        <f>'[34]表I-3资产负债分析调整表'!B63</f>
        <v>预计负债</v>
      </c>
      <c r="C145" s="1115">
        <f>资产负债分析调整表!C62/10000</f>
        <v>0</v>
      </c>
      <c r="D145" s="1078">
        <f t="shared" si="28"/>
        <v>0</v>
      </c>
      <c r="E145" s="1115">
        <f>资产负债分析调整表!D62/10000</f>
        <v>0</v>
      </c>
      <c r="F145" s="1078">
        <f t="shared" si="28"/>
        <v>0</v>
      </c>
      <c r="G145" s="1115">
        <f>资产负债分析调整表!E62/10000</f>
        <v>0</v>
      </c>
      <c r="H145" s="1079">
        <f t="shared" si="28"/>
        <v>0</v>
      </c>
    </row>
    <row r="146" s="1056" customFormat="1" ht="15" customHeight="1" spans="1:8">
      <c r="A146" s="1075">
        <v>19</v>
      </c>
      <c r="B146" s="1087" t="str">
        <f>'[34]表I-3资产负债分析调整表'!B64</f>
        <v>其他非流动负债</v>
      </c>
      <c r="C146" s="1115">
        <f>资产负债分析调整表!C63/10000</f>
        <v>0</v>
      </c>
      <c r="D146" s="1078">
        <f t="shared" si="28"/>
        <v>0</v>
      </c>
      <c r="E146" s="1115">
        <f>资产负债分析调整表!D63/10000</f>
        <v>0</v>
      </c>
      <c r="F146" s="1078">
        <f t="shared" si="28"/>
        <v>0</v>
      </c>
      <c r="G146" s="1115">
        <f>资产负债分析调整表!E63/10000</f>
        <v>0</v>
      </c>
      <c r="H146" s="1079">
        <f t="shared" si="28"/>
        <v>0</v>
      </c>
    </row>
    <row r="147" s="1056" customFormat="1" ht="15" customHeight="1" spans="1:8">
      <c r="A147" s="1075">
        <v>20</v>
      </c>
      <c r="B147" s="1087" t="str">
        <f>'[34]表I-3资产负债分析调整表'!B65</f>
        <v>递延所得税负债</v>
      </c>
      <c r="C147" s="1115">
        <f>资产负债分析调整表!C64/10000</f>
        <v>0</v>
      </c>
      <c r="D147" s="1078">
        <f t="shared" si="28"/>
        <v>0</v>
      </c>
      <c r="E147" s="1115">
        <f>资产负债分析调整表!D64/10000</f>
        <v>0</v>
      </c>
      <c r="F147" s="1078">
        <f t="shared" si="28"/>
        <v>0</v>
      </c>
      <c r="G147" s="1115">
        <f>资产负债分析调整表!E64/10000</f>
        <v>0</v>
      </c>
      <c r="H147" s="1079">
        <f t="shared" si="28"/>
        <v>0</v>
      </c>
    </row>
    <row r="148" s="1056" customFormat="1" ht="15" customHeight="1" spans="1:8">
      <c r="A148" s="1080">
        <v>21</v>
      </c>
      <c r="B148" s="1081" t="s">
        <v>207</v>
      </c>
      <c r="C148" s="1089">
        <f t="shared" ref="C148:G148" si="29">SUM(C128:C147)</f>
        <v>-232.02386</v>
      </c>
      <c r="D148" s="1083">
        <f t="shared" si="28"/>
        <v>1</v>
      </c>
      <c r="E148" s="1089">
        <f t="shared" si="29"/>
        <v>1062.280096</v>
      </c>
      <c r="F148" s="1083">
        <f t="shared" si="28"/>
        <v>1</v>
      </c>
      <c r="G148" s="1089">
        <f t="shared" si="29"/>
        <v>1111.510438</v>
      </c>
      <c r="H148" s="1084">
        <f t="shared" si="28"/>
        <v>1</v>
      </c>
    </row>
    <row r="149" s="1057" customFormat="1" ht="11.25" customHeight="1" spans="1:8">
      <c r="A149" s="1085"/>
      <c r="B149" s="1085"/>
      <c r="C149" s="1086"/>
      <c r="D149" s="1086"/>
      <c r="E149" s="1086"/>
      <c r="F149" s="1086"/>
      <c r="G149" s="1086"/>
      <c r="H149" s="1086"/>
    </row>
    <row r="150" s="1057" customFormat="1" ht="16.5" customHeight="1" spans="1:8">
      <c r="A150" s="1114" t="s">
        <v>208</v>
      </c>
      <c r="B150" s="1085"/>
      <c r="C150" s="1086"/>
      <c r="D150" s="1086"/>
      <c r="E150" s="1086"/>
      <c r="F150" s="1086"/>
      <c r="G150" s="1086"/>
      <c r="H150" s="1086"/>
    </row>
    <row r="151" s="1056" customFormat="1" ht="16.5" customHeight="1" spans="1:10">
      <c r="A151" s="1119" t="s">
        <v>29</v>
      </c>
      <c r="B151" s="1068" t="s">
        <v>209</v>
      </c>
      <c r="C151" s="1068" t="s">
        <v>105</v>
      </c>
      <c r="D151" s="1068">
        <f>'[34]表I-1近年利润表'!$B$6</f>
        <v>2015</v>
      </c>
      <c r="E151" s="1068">
        <f>'[34]表I-1近年利润表'!$C$6</f>
        <v>2016</v>
      </c>
      <c r="F151" s="1068">
        <f>'[34]表I-1近年利润表'!$D$6</f>
        <v>2017</v>
      </c>
      <c r="G151" s="1090" t="str">
        <f>'[34]表I-1近年利润表'!$E$6</f>
        <v>2018年1-6月</v>
      </c>
      <c r="H151" s="1096"/>
      <c r="I151" s="1096"/>
      <c r="J151" s="1096"/>
    </row>
    <row r="152" s="1056" customFormat="1" ht="15.75" customHeight="1" spans="1:8">
      <c r="A152" s="1120">
        <v>1</v>
      </c>
      <c r="B152" s="1087" t="s">
        <v>137</v>
      </c>
      <c r="C152" s="1087"/>
      <c r="D152" s="1121"/>
      <c r="E152" s="1121"/>
      <c r="F152" s="1121"/>
      <c r="G152" s="1122"/>
      <c r="H152" s="1123"/>
    </row>
    <row r="153" s="1056" customFormat="1" ht="15.75" customHeight="1" spans="1:8">
      <c r="A153" s="1120">
        <v>2</v>
      </c>
      <c r="B153" s="1087" t="s">
        <v>138</v>
      </c>
      <c r="C153" s="1087"/>
      <c r="D153" s="1121"/>
      <c r="E153" s="1121"/>
      <c r="F153" s="1121"/>
      <c r="G153" s="1122"/>
      <c r="H153" s="1123"/>
    </row>
    <row r="154" s="1056" customFormat="1" ht="15.75" customHeight="1" spans="1:8">
      <c r="A154" s="1120">
        <v>3</v>
      </c>
      <c r="B154" s="1087" t="s">
        <v>141</v>
      </c>
      <c r="C154" s="1076" t="s">
        <v>108</v>
      </c>
      <c r="D154" s="1121"/>
      <c r="E154" s="1121"/>
      <c r="F154" s="1121"/>
      <c r="G154" s="1122"/>
      <c r="H154" s="1124"/>
    </row>
    <row r="155" s="1056" customFormat="1" ht="15.75" customHeight="1" spans="1:8">
      <c r="A155" s="1125">
        <v>4</v>
      </c>
      <c r="B155" s="1126" t="s">
        <v>142</v>
      </c>
      <c r="C155" s="1081" t="s">
        <v>108</v>
      </c>
      <c r="D155" s="1127"/>
      <c r="E155" s="1127"/>
      <c r="F155" s="1127"/>
      <c r="G155" s="1128"/>
      <c r="H155" s="1124"/>
    </row>
    <row r="156" s="1058" customFormat="1" ht="15.75" customHeight="1" spans="1:8">
      <c r="A156" s="1129"/>
      <c r="B156" s="1129"/>
      <c r="C156" s="1130"/>
      <c r="D156" s="1130"/>
      <c r="E156" s="1130"/>
      <c r="F156" s="1130"/>
      <c r="G156" s="1130"/>
      <c r="H156" s="1130"/>
    </row>
    <row r="157" s="1058" customFormat="1" ht="15.75" customHeight="1" spans="1:8">
      <c r="A157" s="1114" t="s">
        <v>210</v>
      </c>
      <c r="B157" s="1129"/>
      <c r="C157" s="1130"/>
      <c r="D157" s="1130"/>
      <c r="E157" s="1130"/>
      <c r="F157" s="1130"/>
      <c r="G157" s="1130"/>
      <c r="H157" s="1130"/>
    </row>
    <row r="158" s="1056" customFormat="1" ht="15.75" customHeight="1" spans="1:10">
      <c r="A158" s="1119" t="s">
        <v>29</v>
      </c>
      <c r="B158" s="1068" t="s">
        <v>209</v>
      </c>
      <c r="C158" s="1068" t="s">
        <v>105</v>
      </c>
      <c r="D158" s="1068">
        <f>'[34]表I-1近年利润表'!$B$6</f>
        <v>2015</v>
      </c>
      <c r="E158" s="1068">
        <f>'[34]表I-1近年利润表'!$C$6</f>
        <v>2016</v>
      </c>
      <c r="F158" s="1068">
        <f>'[34]表I-1近年利润表'!$D$6</f>
        <v>2017</v>
      </c>
      <c r="G158" s="1090" t="str">
        <f>'[34]表I-1近年利润表'!$E$6</f>
        <v>2018年1-6月</v>
      </c>
      <c r="H158" s="1124"/>
      <c r="I158" s="1124"/>
      <c r="J158" s="1124"/>
    </row>
    <row r="159" s="1056" customFormat="1" ht="15.75" customHeight="1" spans="1:8">
      <c r="A159" s="1120">
        <v>1</v>
      </c>
      <c r="B159" s="1087" t="s">
        <v>122</v>
      </c>
      <c r="C159" s="1131" t="s">
        <v>211</v>
      </c>
      <c r="D159" s="1121"/>
      <c r="E159" s="1121"/>
      <c r="F159" s="1121"/>
      <c r="G159" s="1122"/>
      <c r="H159" s="1123"/>
    </row>
    <row r="160" s="1056" customFormat="1" ht="15.75" customHeight="1" spans="1:8">
      <c r="A160" s="1120">
        <v>2</v>
      </c>
      <c r="B160" s="1087" t="s">
        <v>125</v>
      </c>
      <c r="C160" s="1131" t="s">
        <v>211</v>
      </c>
      <c r="D160" s="1121"/>
      <c r="E160" s="1121"/>
      <c r="F160" s="1121"/>
      <c r="G160" s="1122"/>
      <c r="H160" s="1123"/>
    </row>
    <row r="161" s="1056" customFormat="1" ht="15.75" customHeight="1" spans="1:8">
      <c r="A161" s="1120">
        <v>3</v>
      </c>
      <c r="B161" s="1087" t="s">
        <v>129</v>
      </c>
      <c r="C161" s="1131" t="s">
        <v>211</v>
      </c>
      <c r="D161" s="1121"/>
      <c r="E161" s="1121"/>
      <c r="F161" s="1121"/>
      <c r="G161" s="1122"/>
      <c r="H161" s="1123"/>
    </row>
    <row r="162" s="1056" customFormat="1" ht="15.75" customHeight="1" spans="1:8">
      <c r="A162" s="1125">
        <v>4</v>
      </c>
      <c r="B162" s="1126" t="s">
        <v>130</v>
      </c>
      <c r="C162" s="1132" t="s">
        <v>211</v>
      </c>
      <c r="D162" s="1127"/>
      <c r="E162" s="1127"/>
      <c r="F162" s="1127"/>
      <c r="G162" s="1128"/>
      <c r="H162" s="1123"/>
    </row>
    <row r="163" s="1058" customFormat="1" ht="15.75" customHeight="1" spans="1:8">
      <c r="A163" s="1129"/>
      <c r="B163" s="1129"/>
      <c r="C163" s="1130"/>
      <c r="D163" s="1130"/>
      <c r="E163" s="1130"/>
      <c r="F163" s="1130"/>
      <c r="G163" s="1130"/>
      <c r="H163" s="1130"/>
    </row>
    <row r="164" s="1058" customFormat="1" ht="15.75" customHeight="1" spans="1:8">
      <c r="A164" s="1114" t="s">
        <v>212</v>
      </c>
      <c r="B164" s="1133"/>
      <c r="C164" s="1134"/>
      <c r="D164" s="1134"/>
      <c r="E164" s="1134"/>
      <c r="F164" s="1134"/>
      <c r="G164" s="1134"/>
      <c r="H164" s="1134"/>
    </row>
    <row r="165" s="1056" customFormat="1" ht="15.75" customHeight="1" spans="1:8">
      <c r="A165" s="1119" t="s">
        <v>29</v>
      </c>
      <c r="B165" s="1068" t="s">
        <v>209</v>
      </c>
      <c r="C165" s="1068" t="s">
        <v>105</v>
      </c>
      <c r="D165" s="1068">
        <f>'[34]表I-1近年利润表'!$B$6</f>
        <v>2015</v>
      </c>
      <c r="E165" s="1068">
        <f>'[34]表I-1近年利润表'!$C$6</f>
        <v>2016</v>
      </c>
      <c r="F165" s="1068">
        <f>'[34]表I-1近年利润表'!$D$6</f>
        <v>2017</v>
      </c>
      <c r="G165" s="1090" t="str">
        <f>'[34]表I-1近年利润表'!$E$6</f>
        <v>2018年1-6月</v>
      </c>
      <c r="H165" s="1135"/>
    </row>
    <row r="166" s="1056" customFormat="1" ht="15.75" customHeight="1" spans="1:8">
      <c r="A166" s="1120">
        <v>1</v>
      </c>
      <c r="B166" s="1087" t="s">
        <v>145</v>
      </c>
      <c r="C166" s="1076" t="s">
        <v>108</v>
      </c>
      <c r="D166" s="1131"/>
      <c r="E166" s="1131"/>
      <c r="F166" s="1121"/>
      <c r="G166" s="1122"/>
      <c r="H166" s="1136"/>
    </row>
    <row r="167" s="1056" customFormat="1" ht="15.75" customHeight="1" spans="1:8">
      <c r="A167" s="1120">
        <v>2</v>
      </c>
      <c r="B167" s="1087" t="s">
        <v>146</v>
      </c>
      <c r="C167" s="1076" t="s">
        <v>108</v>
      </c>
      <c r="D167" s="1131"/>
      <c r="E167" s="1131"/>
      <c r="F167" s="1121"/>
      <c r="G167" s="1122"/>
      <c r="H167" s="1136"/>
    </row>
    <row r="168" s="1056" customFormat="1" ht="15.75" customHeight="1" spans="1:8">
      <c r="A168" s="1120">
        <v>3</v>
      </c>
      <c r="B168" s="1087" t="s">
        <v>147</v>
      </c>
      <c r="C168" s="1076" t="s">
        <v>108</v>
      </c>
      <c r="D168" s="1131"/>
      <c r="E168" s="1131"/>
      <c r="F168" s="1121"/>
      <c r="G168" s="1122"/>
      <c r="H168" s="1136"/>
    </row>
    <row r="169" s="1056" customFormat="1" ht="15.75" customHeight="1" spans="1:8">
      <c r="A169" s="1125">
        <v>4</v>
      </c>
      <c r="B169" s="1126" t="s">
        <v>148</v>
      </c>
      <c r="C169" s="1081" t="s">
        <v>108</v>
      </c>
      <c r="D169" s="1132"/>
      <c r="E169" s="1132"/>
      <c r="F169" s="1127"/>
      <c r="G169" s="1128"/>
      <c r="H169" s="1136"/>
    </row>
    <row r="170" s="1058" customFormat="1" ht="15.75" customHeight="1" spans="1:8">
      <c r="A170" s="1129"/>
      <c r="B170" s="1129"/>
      <c r="C170" s="1130"/>
      <c r="D170" s="1130"/>
      <c r="E170" s="1130"/>
      <c r="F170" s="1130"/>
      <c r="G170" s="1130"/>
      <c r="H170" s="1130"/>
    </row>
    <row r="171" s="1058" customFormat="1" ht="15.75" customHeight="1" spans="1:8">
      <c r="A171" s="1114" t="s">
        <v>213</v>
      </c>
      <c r="B171" s="1129"/>
      <c r="C171" s="1130"/>
      <c r="D171" s="1130"/>
      <c r="E171" s="1130"/>
      <c r="F171" s="1130"/>
      <c r="G171" s="1130"/>
      <c r="H171" s="1130"/>
    </row>
    <row r="172" s="1058" customFormat="1" ht="15.75" customHeight="1" spans="1:8">
      <c r="A172" s="1114" t="s">
        <v>214</v>
      </c>
      <c r="B172" s="1129"/>
      <c r="C172" s="1130"/>
      <c r="D172" s="1130"/>
      <c r="E172" s="1130"/>
      <c r="F172" s="1130"/>
      <c r="G172" s="1130"/>
      <c r="H172" s="1130"/>
    </row>
    <row r="173" s="1056" customFormat="1" ht="15" customHeight="1" spans="1:8">
      <c r="A173" s="1066" t="s">
        <v>29</v>
      </c>
      <c r="B173" s="1067" t="s">
        <v>152</v>
      </c>
      <c r="C173" s="1068" t="str">
        <f>C126</f>
        <v>2015年12月31日</v>
      </c>
      <c r="D173" s="1068"/>
      <c r="E173" s="1068" t="str">
        <f t="shared" ref="E173" si="30">E126</f>
        <v>2016年12月31日</v>
      </c>
      <c r="F173" s="1068"/>
      <c r="G173" s="1068" t="str">
        <f t="shared" ref="G173" si="31">G126</f>
        <v>2017年12月31日</v>
      </c>
      <c r="H173" s="1068"/>
    </row>
    <row r="174" s="1056" customFormat="1" ht="15" customHeight="1" spans="1:8">
      <c r="A174" s="1071"/>
      <c r="B174" s="1072"/>
      <c r="C174" s="1073" t="s">
        <v>153</v>
      </c>
      <c r="D174" s="1073" t="s">
        <v>154</v>
      </c>
      <c r="E174" s="1073" t="s">
        <v>153</v>
      </c>
      <c r="F174" s="1073" t="s">
        <v>154</v>
      </c>
      <c r="G174" s="1073" t="s">
        <v>153</v>
      </c>
      <c r="H174" s="1074" t="s">
        <v>154</v>
      </c>
    </row>
    <row r="175" s="1056" customFormat="1" ht="15" customHeight="1" spans="1:8">
      <c r="A175" s="1091">
        <v>1</v>
      </c>
      <c r="B175" s="1137" t="s">
        <v>215</v>
      </c>
      <c r="C175" s="1115">
        <f>利润分析调整表!B8/10000</f>
        <v>293.504715</v>
      </c>
      <c r="D175" s="1078">
        <f t="shared" ref="D175:H177" si="32">IF(C$177=0,0,C175/C$177)</f>
        <v>1.20273142680585</v>
      </c>
      <c r="E175" s="1115">
        <f>利润分析调整表!C8/10000</f>
        <v>1047.36215</v>
      </c>
      <c r="F175" s="1078">
        <f t="shared" si="32"/>
        <v>0.968500290855106</v>
      </c>
      <c r="G175" s="1115">
        <f>利润分析调整表!D8/10000</f>
        <v>311.417571</v>
      </c>
      <c r="H175" s="1079">
        <f t="shared" si="32"/>
        <v>1</v>
      </c>
    </row>
    <row r="176" s="1056" customFormat="1" ht="15" customHeight="1" spans="1:8">
      <c r="A176" s="1091">
        <v>2</v>
      </c>
      <c r="B176" s="1137" t="s">
        <v>216</v>
      </c>
      <c r="C176" s="1115">
        <f>利润分析调整表!B9/10000</f>
        <v>0</v>
      </c>
      <c r="D176" s="1078">
        <f t="shared" si="32"/>
        <v>0</v>
      </c>
      <c r="E176" s="1115">
        <f>利润分析调整表!C9/10000</f>
        <v>34.064629</v>
      </c>
      <c r="F176" s="1078">
        <f t="shared" si="32"/>
        <v>0.0314997091448944</v>
      </c>
      <c r="G176" s="1115">
        <f>利润分析调整表!D9/10000</f>
        <v>0</v>
      </c>
      <c r="H176" s="1079">
        <f t="shared" si="32"/>
        <v>0</v>
      </c>
    </row>
    <row r="177" s="1056" customFormat="1" ht="15" customHeight="1" spans="1:8">
      <c r="A177" s="1097">
        <v>3</v>
      </c>
      <c r="B177" s="1117" t="s">
        <v>157</v>
      </c>
      <c r="C177" s="1118">
        <f>'[34]表I-1近年利润表'!C7</f>
        <v>244.0318</v>
      </c>
      <c r="D177" s="1083">
        <f t="shared" si="32"/>
        <v>1</v>
      </c>
      <c r="E177" s="1118">
        <f>SUM(E175:E176)</f>
        <v>1081.426779</v>
      </c>
      <c r="F177" s="1083">
        <f t="shared" si="32"/>
        <v>1</v>
      </c>
      <c r="G177" s="1118">
        <f>SUM(G175:G176)</f>
        <v>311.417571</v>
      </c>
      <c r="H177" s="1084">
        <f t="shared" si="32"/>
        <v>1</v>
      </c>
    </row>
    <row r="178" s="1056" customFormat="1" ht="15" customHeight="1" spans="1:8">
      <c r="A178" s="1138"/>
      <c r="B178" s="1139"/>
      <c r="C178" s="1140"/>
      <c r="D178" s="1141"/>
      <c r="E178" s="1140"/>
      <c r="F178" s="1141"/>
      <c r="G178" s="1142"/>
      <c r="H178" s="1143"/>
    </row>
    <row r="179" s="1056" customFormat="1" ht="15" customHeight="1" spans="1:8">
      <c r="A179" s="1114" t="s">
        <v>217</v>
      </c>
      <c r="B179" s="1139"/>
      <c r="C179" s="1140"/>
      <c r="D179" s="1141"/>
      <c r="E179" s="1140"/>
      <c r="F179" s="1141"/>
      <c r="G179" s="1142"/>
      <c r="H179" s="1143"/>
    </row>
    <row r="180" s="1056" customFormat="1" ht="15" customHeight="1" spans="1:8">
      <c r="A180" s="1066" t="s">
        <v>29</v>
      </c>
      <c r="B180" s="1067" t="s">
        <v>152</v>
      </c>
      <c r="C180" s="1068" t="str">
        <f>C173</f>
        <v>2015年12月31日</v>
      </c>
      <c r="D180" s="1068"/>
      <c r="E180" s="1068" t="str">
        <f t="shared" ref="E180" si="33">E173</f>
        <v>2016年12月31日</v>
      </c>
      <c r="F180" s="1068"/>
      <c r="G180" s="1068" t="str">
        <f t="shared" ref="G180" si="34">G173</f>
        <v>2017年12月31日</v>
      </c>
      <c r="H180" s="1068"/>
    </row>
    <row r="181" s="1056" customFormat="1" ht="15" customHeight="1" spans="1:8">
      <c r="A181" s="1071"/>
      <c r="B181" s="1072"/>
      <c r="C181" s="1073" t="s">
        <v>153</v>
      </c>
      <c r="D181" s="1073" t="s">
        <v>218</v>
      </c>
      <c r="E181" s="1073" t="s">
        <v>153</v>
      </c>
      <c r="F181" s="1073" t="s">
        <v>154</v>
      </c>
      <c r="G181" s="1073" t="s">
        <v>153</v>
      </c>
      <c r="H181" s="1074" t="s">
        <v>154</v>
      </c>
    </row>
    <row r="182" s="1056" customFormat="1" ht="15" customHeight="1" spans="1:8">
      <c r="A182" s="1091">
        <v>1</v>
      </c>
      <c r="B182" s="1144" t="s">
        <v>219</v>
      </c>
      <c r="C182" s="1115">
        <f>利润分析调整表!B16/10000</f>
        <v>20.642986</v>
      </c>
      <c r="D182" s="1078">
        <f>IF('[34]表I-1近年利润表'!$C$7=0,0,C182/'[34]表I-1近年利润表'!$C$7)</f>
        <v>0.0845913770254532</v>
      </c>
      <c r="E182" s="1115">
        <f>利润分析调整表!C16/10000</f>
        <v>15.966788</v>
      </c>
      <c r="F182" s="1078">
        <f>IF('[34]表I-1近年利润表'!$D$7=0,0,E182/'[34]表I-1近年利润表'!$D$7)</f>
        <v>0.00369188666632485</v>
      </c>
      <c r="G182" s="1115">
        <f>利润分析调整表!D16/10000</f>
        <v>14.237442</v>
      </c>
      <c r="H182" s="1079">
        <f>IF('[34]表I-1近年利润表'!$E$7=0,0,G182/'[34]表I-1近年利润表'!$E$7)</f>
        <v>0.00777714791347817</v>
      </c>
    </row>
    <row r="183" s="1056" customFormat="1" ht="15" customHeight="1" spans="1:8">
      <c r="A183" s="1091">
        <v>2</v>
      </c>
      <c r="B183" s="1144" t="s">
        <v>220</v>
      </c>
      <c r="C183" s="1115">
        <f>利润分析调整表!B17/10000</f>
        <v>888.505378</v>
      </c>
      <c r="D183" s="1078">
        <f>IF('[34]表I-1近年利润表'!$C$7=0,0,C183/'[34]表I-1近年利润表'!$C$7)</f>
        <v>3.64094096752964</v>
      </c>
      <c r="E183" s="1115">
        <f>利润分析调整表!C17/10000</f>
        <v>851.584695</v>
      </c>
      <c r="F183" s="1078">
        <f>IF('[34]表I-1近年利润表'!$D$7=0,0,E183/'[34]表I-1近年利润表'!$D$7)</f>
        <v>0.196905863641254</v>
      </c>
      <c r="G183" s="1115">
        <f>利润分析调整表!D17/10000</f>
        <v>519.427713</v>
      </c>
      <c r="H183" s="1079">
        <f>IF('[34]表I-1近年利润表'!$E$7=0,0,G183/'[34]表I-1近年利润表'!$E$7)</f>
        <v>0.283735389711206</v>
      </c>
    </row>
    <row r="184" s="1056" customFormat="1" ht="15" customHeight="1" spans="1:8">
      <c r="A184" s="1091">
        <v>3</v>
      </c>
      <c r="B184" s="1144" t="s">
        <v>221</v>
      </c>
      <c r="C184" s="1115">
        <f>利润分析调整表!B18/10000</f>
        <v>-3.133451</v>
      </c>
      <c r="D184" s="1078">
        <f>IF('[34]表I-1近年利润表'!$C$7=0,0,C184/'[34]表I-1近年利润表'!$C$7)</f>
        <v>-0.0128403388410855</v>
      </c>
      <c r="E184" s="1115">
        <f>利润分析调整表!C18/10000</f>
        <v>0.070017</v>
      </c>
      <c r="F184" s="1078">
        <f>IF('[34]表I-1近年利润表'!$D$7=0,0,E184/'[34]表I-1近年利润表'!$D$7)</f>
        <v>1.61895322162521e-5</v>
      </c>
      <c r="G184" s="1115">
        <f>利润分析调整表!D18/10000</f>
        <v>0.289807</v>
      </c>
      <c r="H184" s="1079">
        <f>IF('[34]表I-1近年利润表'!$E$7=0,0,G184/'[34]表I-1近年利润表'!$E$7)</f>
        <v>0.000158305958708128</v>
      </c>
    </row>
    <row r="185" s="1056" customFormat="1" ht="15" customHeight="1" spans="1:8">
      <c r="A185" s="1097">
        <v>4</v>
      </c>
      <c r="B185" s="1117" t="s">
        <v>157</v>
      </c>
      <c r="C185" s="1118">
        <f>C182+C183+C184</f>
        <v>906.014913</v>
      </c>
      <c r="D185" s="1078">
        <f>IF('[34]表I-1近年利润表'!$C$7=0,0,C185/'[34]表I-1近年利润表'!$C$7)</f>
        <v>3.71269200571401</v>
      </c>
      <c r="E185" s="1118">
        <f>SUM(E182:E184)</f>
        <v>867.6215</v>
      </c>
      <c r="F185" s="1078">
        <f>IF('[34]表I-1近年利润表'!$D$7=0,0,E185/'[34]表I-1近年利润表'!$D$7)</f>
        <v>0.200613939839795</v>
      </c>
      <c r="G185" s="1118">
        <f>SUM(G182:G184)</f>
        <v>533.954962</v>
      </c>
      <c r="H185" s="1079">
        <f>IF('[34]表I-1近年利润表'!$E$7=0,0,G185/'[34]表I-1近年利润表'!$E$7)</f>
        <v>0.291670843583392</v>
      </c>
    </row>
    <row r="186" s="1056" customFormat="1" ht="15" customHeight="1" spans="1:8">
      <c r="A186" s="1145"/>
      <c r="B186" s="1146"/>
      <c r="C186" s="1147"/>
      <c r="D186" s="1148"/>
      <c r="E186" s="1147"/>
      <c r="F186" s="1148"/>
      <c r="G186" s="1147"/>
      <c r="H186" s="1148"/>
    </row>
    <row r="187" s="1056" customFormat="1" ht="15" customHeight="1" spans="1:8">
      <c r="A187" s="1114" t="s">
        <v>222</v>
      </c>
      <c r="B187" s="1139"/>
      <c r="C187" s="1140"/>
      <c r="D187" s="1141"/>
      <c r="E187" s="1140"/>
      <c r="F187" s="1141"/>
      <c r="G187" s="1142"/>
      <c r="H187" s="1143"/>
    </row>
    <row r="188" s="1056" customFormat="1" ht="15.75" customHeight="1" spans="1:8">
      <c r="A188" s="1149" t="s">
        <v>29</v>
      </c>
      <c r="B188" s="1150" t="s">
        <v>209</v>
      </c>
      <c r="C188" s="1150" t="s">
        <v>105</v>
      </c>
      <c r="D188" s="1151">
        <f>'[34]表I-1近年利润表'!$B$6</f>
        <v>2015</v>
      </c>
      <c r="E188" s="1151">
        <f>'[34]表I-1近年利润表'!$C$6</f>
        <v>2016</v>
      </c>
      <c r="F188" s="1151">
        <f>'[34]表I-1近年利润表'!$D$6</f>
        <v>2017</v>
      </c>
      <c r="G188" s="1152" t="str">
        <f>'[34]表I-1近年利润表'!$E$6</f>
        <v>2018年1-6月</v>
      </c>
      <c r="H188" s="1135"/>
    </row>
    <row r="189" s="1056" customFormat="1" ht="15.75" customHeight="1" spans="1:8">
      <c r="A189" s="1120">
        <v>1</v>
      </c>
      <c r="B189" s="1087" t="s">
        <v>107</v>
      </c>
      <c r="C189" s="1076" t="s">
        <v>108</v>
      </c>
      <c r="D189" s="1153"/>
      <c r="E189" s="1153"/>
      <c r="F189" s="1154"/>
      <c r="G189" s="1155"/>
      <c r="H189" s="1136"/>
    </row>
    <row r="190" s="1056" customFormat="1" ht="15.75" customHeight="1" spans="1:8">
      <c r="A190" s="1120">
        <v>2</v>
      </c>
      <c r="B190" s="1087" t="s">
        <v>110</v>
      </c>
      <c r="C190" s="1076" t="s">
        <v>108</v>
      </c>
      <c r="D190" s="1153"/>
      <c r="E190" s="1153"/>
      <c r="F190" s="1154"/>
      <c r="G190" s="1155"/>
      <c r="H190" s="1136"/>
    </row>
    <row r="191" s="1056" customFormat="1" ht="15.75" customHeight="1" spans="1:8">
      <c r="A191" s="1120">
        <v>3</v>
      </c>
      <c r="B191" s="1087" t="s">
        <v>111</v>
      </c>
      <c r="C191" s="1076" t="s">
        <v>108</v>
      </c>
      <c r="D191" s="1153"/>
      <c r="E191" s="1153"/>
      <c r="F191" s="1154"/>
      <c r="G191" s="1155"/>
      <c r="H191" s="1136"/>
    </row>
    <row r="192" s="1056" customFormat="1" ht="15.75" customHeight="1" spans="1:8">
      <c r="A192" s="1120">
        <v>4</v>
      </c>
      <c r="B192" s="1087" t="s">
        <v>112</v>
      </c>
      <c r="C192" s="1076" t="s">
        <v>108</v>
      </c>
      <c r="D192" s="1153"/>
      <c r="E192" s="1153"/>
      <c r="F192" s="1154"/>
      <c r="G192" s="1155"/>
      <c r="H192" s="1136"/>
    </row>
    <row r="193" s="1056" customFormat="1" ht="15.75" customHeight="1" spans="1:8">
      <c r="A193" s="1120">
        <v>8</v>
      </c>
      <c r="B193" s="1087" t="s">
        <v>116</v>
      </c>
      <c r="C193" s="1076" t="s">
        <v>108</v>
      </c>
      <c r="D193" s="1153"/>
      <c r="E193" s="1153"/>
      <c r="F193" s="1154"/>
      <c r="G193" s="1155"/>
      <c r="H193" s="1136"/>
    </row>
    <row r="194" s="1056" customFormat="1" ht="15.75" customHeight="1" spans="1:8">
      <c r="A194" s="1120">
        <v>9</v>
      </c>
      <c r="B194" s="1087" t="s">
        <v>117</v>
      </c>
      <c r="C194" s="1076" t="s">
        <v>108</v>
      </c>
      <c r="D194" s="1156"/>
      <c r="E194" s="1156"/>
      <c r="F194" s="1156"/>
      <c r="G194" s="1156"/>
      <c r="H194" s="1136"/>
    </row>
    <row r="195" s="1056" customFormat="1" ht="15.75" customHeight="1" spans="1:8">
      <c r="A195" s="1120">
        <v>10</v>
      </c>
      <c r="B195" s="1087" t="s">
        <v>118</v>
      </c>
      <c r="C195" s="1076" t="s">
        <v>108</v>
      </c>
      <c r="D195" s="1153"/>
      <c r="E195" s="1153"/>
      <c r="F195" s="1154"/>
      <c r="G195" s="1155"/>
      <c r="H195" s="1136"/>
    </row>
    <row r="196" s="1056" customFormat="1" ht="15.75" customHeight="1" spans="1:8">
      <c r="A196" s="1125">
        <v>11</v>
      </c>
      <c r="B196" s="1126" t="s">
        <v>119</v>
      </c>
      <c r="C196" s="1081" t="s">
        <v>108</v>
      </c>
      <c r="D196" s="1157"/>
      <c r="E196" s="1157"/>
      <c r="F196" s="1158"/>
      <c r="G196" s="1159"/>
      <c r="H196" s="1136"/>
    </row>
    <row r="202" ht="12.75" customHeight="1" spans="2:2">
      <c r="B202" s="1160"/>
    </row>
  </sheetData>
  <mergeCells count="54">
    <mergeCell ref="C6:D6"/>
    <mergeCell ref="E6:F6"/>
    <mergeCell ref="G6:H6"/>
    <mergeCell ref="C13:D13"/>
    <mergeCell ref="E13:F13"/>
    <mergeCell ref="G13:H13"/>
    <mergeCell ref="C31:G31"/>
    <mergeCell ref="C39:G39"/>
    <mergeCell ref="C47:G47"/>
    <mergeCell ref="C57:D57"/>
    <mergeCell ref="E57:F57"/>
    <mergeCell ref="G57:H57"/>
    <mergeCell ref="C75:D75"/>
    <mergeCell ref="E75:F75"/>
    <mergeCell ref="G75:H75"/>
    <mergeCell ref="C97:D97"/>
    <mergeCell ref="E97:F97"/>
    <mergeCell ref="G97:H97"/>
    <mergeCell ref="C118:D118"/>
    <mergeCell ref="E118:F118"/>
    <mergeCell ref="G118:H118"/>
    <mergeCell ref="C126:D126"/>
    <mergeCell ref="E126:F126"/>
    <mergeCell ref="G126:H126"/>
    <mergeCell ref="C173:D173"/>
    <mergeCell ref="E173:F173"/>
    <mergeCell ref="G173:H173"/>
    <mergeCell ref="C180:D180"/>
    <mergeCell ref="E180:F180"/>
    <mergeCell ref="G180:H180"/>
    <mergeCell ref="A6:A7"/>
    <mergeCell ref="A13:A14"/>
    <mergeCell ref="A31:A32"/>
    <mergeCell ref="A39:A40"/>
    <mergeCell ref="A47:A48"/>
    <mergeCell ref="A57:A58"/>
    <mergeCell ref="A75:A76"/>
    <mergeCell ref="A97:A98"/>
    <mergeCell ref="A118:A119"/>
    <mergeCell ref="A126:A127"/>
    <mergeCell ref="A173:A174"/>
    <mergeCell ref="A180:A181"/>
    <mergeCell ref="B6:B7"/>
    <mergeCell ref="B13:B14"/>
    <mergeCell ref="B31:B32"/>
    <mergeCell ref="B39:B40"/>
    <mergeCell ref="B47:B48"/>
    <mergeCell ref="B57:B58"/>
    <mergeCell ref="B75:B76"/>
    <mergeCell ref="B97:B98"/>
    <mergeCell ref="B118:B119"/>
    <mergeCell ref="B126:B127"/>
    <mergeCell ref="B173:B174"/>
    <mergeCell ref="B180:B181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1"/>
  <sheetViews>
    <sheetView workbookViewId="0">
      <selection activeCell="F29" sqref="F29"/>
    </sheetView>
  </sheetViews>
  <sheetFormatPr defaultColWidth="9" defaultRowHeight="14.25"/>
  <cols>
    <col min="1" max="1" width="8.4" style="550" customWidth="1"/>
    <col min="2" max="2" width="30.1" style="13" customWidth="1"/>
    <col min="3" max="3" width="10.9" customWidth="1"/>
    <col min="4" max="4" width="6.8" customWidth="1"/>
    <col min="5" max="5" width="11.8" customWidth="1"/>
    <col min="6" max="6" width="6.8" customWidth="1"/>
    <col min="7" max="7" width="10.9" customWidth="1"/>
    <col min="8" max="8" width="6.8" customWidth="1"/>
    <col min="9" max="9" width="12.9" customWidth="1"/>
  </cols>
  <sheetData>
    <row r="1" ht="15"/>
    <row r="2" ht="15" spans="2:8">
      <c r="B2" s="1042" t="s">
        <v>195</v>
      </c>
      <c r="C2" s="1043" t="s">
        <v>223</v>
      </c>
      <c r="D2" s="1044"/>
      <c r="E2" s="1045" t="s">
        <v>224</v>
      </c>
      <c r="F2" s="1044"/>
      <c r="G2" s="1045" t="s">
        <v>225</v>
      </c>
      <c r="H2" s="1044"/>
    </row>
    <row r="3" ht="15" spans="2:8">
      <c r="B3" s="1046"/>
      <c r="C3" s="1047" t="s">
        <v>226</v>
      </c>
      <c r="D3" s="1047" t="s">
        <v>162</v>
      </c>
      <c r="E3" s="1047" t="s">
        <v>226</v>
      </c>
      <c r="F3" s="1047" t="s">
        <v>162</v>
      </c>
      <c r="G3" s="1047" t="s">
        <v>226</v>
      </c>
      <c r="H3" s="1047" t="s">
        <v>162</v>
      </c>
    </row>
    <row r="4" ht="15" spans="2:8">
      <c r="B4" s="1048" t="s">
        <v>227</v>
      </c>
      <c r="C4" s="1049">
        <f>SUM(C5:C9)</f>
        <v>216.72</v>
      </c>
      <c r="D4" s="1050">
        <f>C4/C11</f>
        <v>0.695913256146624</v>
      </c>
      <c r="E4" s="1051">
        <f>SUM(E5:E9)</f>
        <v>717.95</v>
      </c>
      <c r="F4" s="1050">
        <f>E4/E11</f>
        <v>0.685485242734392</v>
      </c>
      <c r="G4" s="1049">
        <f>SUM(G5:G9)</f>
        <v>221.83</v>
      </c>
      <c r="H4" s="1050">
        <f>G4/G11</f>
        <v>0.755794634499309</v>
      </c>
    </row>
    <row r="5" ht="15" spans="2:8">
      <c r="B5" s="1052" t="s">
        <v>228</v>
      </c>
      <c r="C5" s="1053">
        <v>92.48</v>
      </c>
      <c r="D5" s="1050">
        <f>C5/$C$4</f>
        <v>0.42672572905131</v>
      </c>
      <c r="E5" s="1053">
        <v>15.77</v>
      </c>
      <c r="F5" s="1050">
        <f>E5/$E$4</f>
        <v>0.0219653179190751</v>
      </c>
      <c r="G5" s="1053">
        <v>57.73</v>
      </c>
      <c r="H5" s="1050">
        <f>G5/$G$4</f>
        <v>0.260244331244647</v>
      </c>
    </row>
    <row r="6" ht="15" spans="2:8">
      <c r="B6" s="1052" t="s">
        <v>229</v>
      </c>
      <c r="C6" s="1053">
        <v>0.41</v>
      </c>
      <c r="D6" s="1050">
        <f t="shared" ref="D6:D9" si="0">C6/$C$4</f>
        <v>0.00189184200812108</v>
      </c>
      <c r="E6" s="1053">
        <v>0</v>
      </c>
      <c r="F6" s="1050">
        <f t="shared" ref="F6:F9" si="1">E6/$E$4</f>
        <v>0</v>
      </c>
      <c r="G6" s="1053">
        <v>164.1</v>
      </c>
      <c r="H6" s="1050">
        <f t="shared" ref="H6:H9" si="2">G6/$G$4</f>
        <v>0.739755668755353</v>
      </c>
    </row>
    <row r="7" ht="15" spans="2:8">
      <c r="B7" s="1052" t="s">
        <v>230</v>
      </c>
      <c r="C7" s="1053">
        <v>120.11</v>
      </c>
      <c r="D7" s="1050">
        <f t="shared" si="0"/>
        <v>0.55421742340347</v>
      </c>
      <c r="E7" s="1053">
        <v>692.31</v>
      </c>
      <c r="F7" s="1050">
        <f t="shared" si="1"/>
        <v>0.964287206629988</v>
      </c>
      <c r="G7" s="1053">
        <v>0</v>
      </c>
      <c r="H7" s="1050">
        <f t="shared" si="2"/>
        <v>0</v>
      </c>
    </row>
    <row r="8" ht="15" spans="2:8">
      <c r="B8" s="1052" t="s">
        <v>231</v>
      </c>
      <c r="C8" s="1053">
        <v>3.72</v>
      </c>
      <c r="D8" s="1050">
        <f t="shared" si="0"/>
        <v>0.0171650055370986</v>
      </c>
      <c r="E8" s="1053">
        <v>9.87</v>
      </c>
      <c r="F8" s="1050">
        <f t="shared" si="1"/>
        <v>0.0137474754509367</v>
      </c>
      <c r="G8" s="1053">
        <v>0</v>
      </c>
      <c r="H8" s="1050">
        <f t="shared" si="2"/>
        <v>0</v>
      </c>
    </row>
    <row r="9" ht="15" spans="2:8">
      <c r="B9" s="1052" t="s">
        <v>232</v>
      </c>
      <c r="C9" s="1053">
        <v>0</v>
      </c>
      <c r="D9" s="1050">
        <f t="shared" si="0"/>
        <v>0</v>
      </c>
      <c r="E9" s="1053">
        <v>0</v>
      </c>
      <c r="F9" s="1050">
        <f t="shared" si="1"/>
        <v>0</v>
      </c>
      <c r="G9" s="1053">
        <v>0</v>
      </c>
      <c r="H9" s="1050">
        <f t="shared" si="2"/>
        <v>0</v>
      </c>
    </row>
    <row r="10" ht="15" spans="2:11">
      <c r="B10" s="1048" t="s">
        <v>233</v>
      </c>
      <c r="C10" s="1049">
        <f>946981.23/10000</f>
        <v>94.698123</v>
      </c>
      <c r="D10" s="1050">
        <f>C10/C11</f>
        <v>0.304086743853376</v>
      </c>
      <c r="E10" s="1049">
        <f>3294102.57/10000</f>
        <v>329.410257</v>
      </c>
      <c r="F10" s="1050">
        <f>E10/E11</f>
        <v>0.314514757265608</v>
      </c>
      <c r="G10" s="1049">
        <f>716756.56/10000</f>
        <v>71.675656</v>
      </c>
      <c r="H10" s="1050">
        <f>G10/G11</f>
        <v>0.244205365500691</v>
      </c>
      <c r="I10" s="1055"/>
      <c r="J10" s="1055"/>
      <c r="K10" s="1055"/>
    </row>
    <row r="11" ht="15" spans="2:8">
      <c r="B11" s="1054" t="s">
        <v>234</v>
      </c>
      <c r="C11" s="1049">
        <f t="shared" ref="C11:H11" si="3">C4+C10</f>
        <v>311.418123</v>
      </c>
      <c r="D11" s="1050">
        <f t="shared" si="3"/>
        <v>1</v>
      </c>
      <c r="E11" s="1051">
        <f t="shared" si="3"/>
        <v>1047.360257</v>
      </c>
      <c r="F11" s="1050">
        <f t="shared" si="3"/>
        <v>1</v>
      </c>
      <c r="G11" s="1049">
        <f t="shared" si="3"/>
        <v>293.505656</v>
      </c>
      <c r="H11" s="1050">
        <f t="shared" si="3"/>
        <v>1</v>
      </c>
    </row>
  </sheetData>
  <mergeCells count="4">
    <mergeCell ref="C2:D2"/>
    <mergeCell ref="E2:F2"/>
    <mergeCell ref="G2:H2"/>
    <mergeCell ref="B2:B3"/>
  </mergeCells>
  <pageMargins left="0.75" right="0.75" top="1" bottom="1" header="0.5" footer="0.5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opLeftCell="A13" workbookViewId="0">
      <selection activeCell="C18" sqref="C18"/>
    </sheetView>
  </sheetViews>
  <sheetFormatPr defaultColWidth="9" defaultRowHeight="14.25" outlineLevelCol="2"/>
  <cols>
    <col min="1" max="1" width="24.6" style="1034" customWidth="1"/>
    <col min="2" max="2" width="29.9" customWidth="1"/>
    <col min="3" max="3" width="72" customWidth="1"/>
  </cols>
  <sheetData>
    <row r="1" ht="66" customHeight="1" spans="1:3">
      <c r="A1" s="1034" t="s">
        <v>235</v>
      </c>
      <c r="B1" s="1035" t="s">
        <v>236</v>
      </c>
      <c r="C1" s="1035"/>
    </row>
    <row r="2" ht="28.5" spans="1:1">
      <c r="A2" s="1036" t="s">
        <v>237</v>
      </c>
    </row>
    <row r="3" ht="31.2" customHeight="1" spans="1:3">
      <c r="A3" s="1037" t="s">
        <v>238</v>
      </c>
      <c r="B3" s="1038" t="s">
        <v>239</v>
      </c>
      <c r="C3" s="1038"/>
    </row>
    <row r="4" ht="31.2" customHeight="1" spans="1:3">
      <c r="A4" s="1037"/>
      <c r="B4" s="1038"/>
      <c r="C4" s="1038"/>
    </row>
    <row r="5" ht="31.2" customHeight="1" spans="1:3">
      <c r="A5" s="1037"/>
      <c r="B5" s="1038"/>
      <c r="C5" s="1038"/>
    </row>
    <row r="6" ht="31.2" customHeight="1" spans="1:3">
      <c r="A6" s="1037"/>
      <c r="B6" s="1038"/>
      <c r="C6" s="1038"/>
    </row>
    <row r="7" ht="31.2" customHeight="1" spans="1:3">
      <c r="A7" s="1037"/>
      <c r="B7" s="1038"/>
      <c r="C7" s="1038"/>
    </row>
    <row r="8" ht="31.2" customHeight="1" spans="1:3">
      <c r="A8" s="1037"/>
      <c r="B8" s="1038"/>
      <c r="C8" s="1038"/>
    </row>
    <row r="9" ht="31.2" customHeight="1" spans="1:3">
      <c r="A9" s="1037"/>
      <c r="B9" s="1038"/>
      <c r="C9" s="1038"/>
    </row>
    <row r="10" ht="31.2" customHeight="1" spans="1:3">
      <c r="A10" s="1037"/>
      <c r="B10" s="1038"/>
      <c r="C10" s="1038"/>
    </row>
    <row r="11" s="466" customFormat="1" ht="25.8" customHeight="1" spans="1:2">
      <c r="A11" s="477" t="s">
        <v>240</v>
      </c>
      <c r="B11" s="477" t="s">
        <v>241</v>
      </c>
    </row>
    <row r="12" s="466" customFormat="1" ht="25.8" customHeight="1" spans="1:2">
      <c r="A12" s="477"/>
      <c r="B12" s="477" t="s">
        <v>242</v>
      </c>
    </row>
    <row r="13" spans="1:3">
      <c r="A13" s="1037" t="s">
        <v>243</v>
      </c>
      <c r="B13" s="1039" t="s">
        <v>195</v>
      </c>
      <c r="C13" s="1039" t="s">
        <v>244</v>
      </c>
    </row>
    <row r="14" spans="2:3">
      <c r="B14" s="1040" t="s">
        <v>245</v>
      </c>
      <c r="C14" s="577">
        <v>3.67</v>
      </c>
    </row>
    <row r="15" spans="2:3">
      <c r="B15" s="1040" t="s">
        <v>229</v>
      </c>
      <c r="C15" s="577">
        <v>328.13</v>
      </c>
    </row>
    <row r="16" spans="2:3">
      <c r="B16" s="1040" t="s">
        <v>230</v>
      </c>
      <c r="C16" s="577">
        <v>218.8</v>
      </c>
    </row>
    <row r="17" spans="2:3">
      <c r="B17" s="1040" t="s">
        <v>231</v>
      </c>
      <c r="C17" s="577">
        <v>1039.32</v>
      </c>
    </row>
    <row r="18" spans="2:3">
      <c r="B18" s="1040" t="s">
        <v>232</v>
      </c>
      <c r="C18" s="577">
        <v>1161.25</v>
      </c>
    </row>
    <row r="19" spans="2:3">
      <c r="B19" s="1039" t="s">
        <v>234</v>
      </c>
      <c r="C19" s="1041">
        <v>2751.17</v>
      </c>
    </row>
    <row r="20" spans="1:1">
      <c r="A20" s="1037"/>
    </row>
  </sheetData>
  <mergeCells count="3">
    <mergeCell ref="B1:C1"/>
    <mergeCell ref="B3:C3"/>
    <mergeCell ref="A11:A12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9"/>
  <sheetViews>
    <sheetView workbookViewId="0">
      <selection activeCell="B8" sqref="B8"/>
    </sheetView>
  </sheetViews>
  <sheetFormatPr defaultColWidth="9" defaultRowHeight="14.25" outlineLevelCol="7"/>
  <cols>
    <col min="2" max="2" width="23.2" customWidth="1"/>
    <col min="3" max="8" width="12.9" customWidth="1"/>
  </cols>
  <sheetData>
    <row r="2" ht="15" spans="4:8">
      <c r="D2" s="1029">
        <v>0.2</v>
      </c>
      <c r="E2" s="1029">
        <v>0.18</v>
      </c>
      <c r="F2" s="1029">
        <v>0.15</v>
      </c>
      <c r="G2" s="1029">
        <v>0.1</v>
      </c>
      <c r="H2" s="1029">
        <v>0</v>
      </c>
    </row>
    <row r="3" ht="25.8" customHeight="1" spans="2:8">
      <c r="B3" s="1030" t="s">
        <v>246</v>
      </c>
      <c r="C3" s="1031" t="s">
        <v>247</v>
      </c>
      <c r="D3" s="1031" t="s">
        <v>248</v>
      </c>
      <c r="E3" s="1031" t="s">
        <v>249</v>
      </c>
      <c r="F3" s="1031" t="s">
        <v>250</v>
      </c>
      <c r="G3" s="1031" t="s">
        <v>251</v>
      </c>
      <c r="H3" s="1031" t="s">
        <v>252</v>
      </c>
    </row>
    <row r="4" ht="25.8" customHeight="1" spans="2:8">
      <c r="B4" s="1032" t="s">
        <v>253</v>
      </c>
      <c r="C4" s="1033">
        <f>'收入--2018年收入分析表'!C14</f>
        <v>3.67</v>
      </c>
      <c r="D4" s="1033">
        <f>C4*(1+$D$2)</f>
        <v>4.404</v>
      </c>
      <c r="E4" s="1033">
        <f>D4*(1+$E$2)</f>
        <v>5.19672</v>
      </c>
      <c r="F4" s="1033">
        <f>E4*(1+$F$2)</f>
        <v>5.976228</v>
      </c>
      <c r="G4" s="1033">
        <f>F4*(1+$G$2)</f>
        <v>6.5738508</v>
      </c>
      <c r="H4" s="1033">
        <f>G4*(1+$H$2)</f>
        <v>6.5738508</v>
      </c>
    </row>
    <row r="5" ht="25.8" customHeight="1" spans="2:8">
      <c r="B5" s="1032" t="s">
        <v>254</v>
      </c>
      <c r="C5" s="1033">
        <f>'收入--2018年收入分析表'!C15</f>
        <v>328.13</v>
      </c>
      <c r="D5" s="1033">
        <f t="shared" ref="D5:D8" si="0">C5*(1+$D$2)</f>
        <v>393.756</v>
      </c>
      <c r="E5" s="1033">
        <f t="shared" ref="E5:E8" si="1">D5*(1+$E$2)</f>
        <v>464.63208</v>
      </c>
      <c r="F5" s="1033">
        <f t="shared" ref="F5:F8" si="2">E5*(1+$F$2)</f>
        <v>534.326892</v>
      </c>
      <c r="G5" s="1033">
        <f t="shared" ref="G5:G8" si="3">F5*(1+$G$2)</f>
        <v>587.7595812</v>
      </c>
      <c r="H5" s="1033">
        <f t="shared" ref="H5:H8" si="4">G5*(1+$H$2)</f>
        <v>587.7595812</v>
      </c>
    </row>
    <row r="6" ht="25.8" customHeight="1" spans="2:8">
      <c r="B6" s="1032" t="s">
        <v>255</v>
      </c>
      <c r="C6" s="1033">
        <f>'收入--2018年收入分析表'!C16</f>
        <v>218.8</v>
      </c>
      <c r="D6" s="1033">
        <f t="shared" si="0"/>
        <v>262.56</v>
      </c>
      <c r="E6" s="1033">
        <f t="shared" si="1"/>
        <v>309.8208</v>
      </c>
      <c r="F6" s="1033">
        <f t="shared" si="2"/>
        <v>356.29392</v>
      </c>
      <c r="G6" s="1033">
        <f t="shared" si="3"/>
        <v>391.923312</v>
      </c>
      <c r="H6" s="1033">
        <f t="shared" si="4"/>
        <v>391.923312</v>
      </c>
    </row>
    <row r="7" ht="25.8" customHeight="1" spans="2:8">
      <c r="B7" s="1032" t="s">
        <v>256</v>
      </c>
      <c r="C7" s="1033">
        <f>'收入--2018年收入分析表'!C17</f>
        <v>1039.32</v>
      </c>
      <c r="D7" s="1033">
        <f t="shared" si="0"/>
        <v>1247.184</v>
      </c>
      <c r="E7" s="1033">
        <f t="shared" si="1"/>
        <v>1471.67712</v>
      </c>
      <c r="F7" s="1033">
        <f t="shared" si="2"/>
        <v>1692.428688</v>
      </c>
      <c r="G7" s="1033">
        <f t="shared" si="3"/>
        <v>1861.6715568</v>
      </c>
      <c r="H7" s="1033">
        <f t="shared" si="4"/>
        <v>1861.6715568</v>
      </c>
    </row>
    <row r="8" ht="25.8" customHeight="1" spans="2:8">
      <c r="B8" s="1032" t="s">
        <v>257</v>
      </c>
      <c r="C8" s="1033">
        <f>'收入--2018年收入分析表'!C18</f>
        <v>1161.25</v>
      </c>
      <c r="D8" s="1033">
        <f t="shared" si="0"/>
        <v>1393.5</v>
      </c>
      <c r="E8" s="1033">
        <f t="shared" si="1"/>
        <v>1644.33</v>
      </c>
      <c r="F8" s="1033">
        <f t="shared" si="2"/>
        <v>1890.9795</v>
      </c>
      <c r="G8" s="1033">
        <f t="shared" si="3"/>
        <v>2080.07745</v>
      </c>
      <c r="H8" s="1033">
        <f t="shared" si="4"/>
        <v>2080.07745</v>
      </c>
    </row>
    <row r="9" ht="25.8" customHeight="1" spans="2:8">
      <c r="B9" s="1032" t="s">
        <v>258</v>
      </c>
      <c r="C9" s="1033">
        <f>SUM(C4:C8)</f>
        <v>2751.17</v>
      </c>
      <c r="D9" s="1033">
        <f t="shared" ref="D9:H9" si="5">SUM(D4:D8)</f>
        <v>3301.404</v>
      </c>
      <c r="E9" s="1033">
        <f t="shared" si="5"/>
        <v>3895.65672</v>
      </c>
      <c r="F9" s="1033">
        <f t="shared" si="5"/>
        <v>4480.005228</v>
      </c>
      <c r="G9" s="1033">
        <f t="shared" si="5"/>
        <v>4928.0057508</v>
      </c>
      <c r="H9" s="1033">
        <f t="shared" si="5"/>
        <v>4928.0057508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24"/>
  <sheetViews>
    <sheetView workbookViewId="0">
      <selection activeCell="E120" sqref="E120"/>
    </sheetView>
  </sheetViews>
  <sheetFormatPr defaultColWidth="9" defaultRowHeight="13.5"/>
  <cols>
    <col min="1" max="1" width="24.1" style="1003" customWidth="1"/>
    <col min="2" max="5" width="15.7" style="1004" customWidth="1"/>
    <col min="6" max="6" width="22.6" style="1004" customWidth="1"/>
    <col min="7" max="16384" width="8.8" style="1004"/>
  </cols>
  <sheetData>
    <row r="3" spans="1:1">
      <c r="A3" s="1005" t="s">
        <v>259</v>
      </c>
    </row>
    <row r="5" spans="1:5">
      <c r="A5" s="1006"/>
      <c r="B5" s="1007" t="s">
        <v>260</v>
      </c>
      <c r="C5" s="1007" t="s">
        <v>261</v>
      </c>
      <c r="D5" s="1007" t="s">
        <v>224</v>
      </c>
      <c r="E5" s="1007" t="s">
        <v>262</v>
      </c>
    </row>
    <row r="6" spans="1:5">
      <c r="A6" s="1006" t="s">
        <v>253</v>
      </c>
      <c r="B6" s="1007" t="s">
        <v>263</v>
      </c>
      <c r="C6" s="1007">
        <f>'收入--历史经营情况分析'!G5</f>
        <v>57.73</v>
      </c>
      <c r="D6" s="1007">
        <f>'收入--历史经营情况分析'!E5</f>
        <v>15.77</v>
      </c>
      <c r="E6" s="1007">
        <f>'收入--历史经营情况分析'!C5</f>
        <v>92.48</v>
      </c>
    </row>
    <row r="7" spans="1:5">
      <c r="A7" s="1006"/>
      <c r="B7" s="1007" t="s">
        <v>264</v>
      </c>
      <c r="C7" s="1008">
        <f>395108.82/10000</f>
        <v>39.510882</v>
      </c>
      <c r="D7" s="1008">
        <f>250700.6/10000</f>
        <v>25.07006</v>
      </c>
      <c r="E7" s="1008">
        <f>2688733.16/10000</f>
        <v>268.873316</v>
      </c>
    </row>
    <row r="8" spans="1:5">
      <c r="A8" s="1006"/>
      <c r="B8" s="1009" t="s">
        <v>265</v>
      </c>
      <c r="C8" s="1010">
        <f>C7/C6</f>
        <v>0.684408141347653</v>
      </c>
      <c r="D8" s="1010">
        <f t="shared" ref="D8:E8" si="0">D7/D6</f>
        <v>1.58973113506658</v>
      </c>
      <c r="E8" s="1010">
        <f t="shared" si="0"/>
        <v>2.90736717128028</v>
      </c>
    </row>
    <row r="9" spans="1:5">
      <c r="A9" s="1006" t="s">
        <v>254</v>
      </c>
      <c r="B9" s="1007" t="s">
        <v>263</v>
      </c>
      <c r="C9" s="1008">
        <f>'收入--历史经营情况分析'!G6</f>
        <v>164.1</v>
      </c>
      <c r="D9" s="1008">
        <f>'收入--历史经营情况分析'!E6</f>
        <v>0</v>
      </c>
      <c r="E9" s="1008">
        <f>'收入--历史经营情况分析'!C6</f>
        <v>0.41</v>
      </c>
    </row>
    <row r="10" spans="1:5">
      <c r="A10" s="1006"/>
      <c r="B10" s="1007" t="s">
        <v>264</v>
      </c>
      <c r="C10" s="1008">
        <f>1023950.68/10000</f>
        <v>102.395068</v>
      </c>
      <c r="D10" s="1008"/>
      <c r="E10" s="1008">
        <f>9077.54/10000</f>
        <v>0.907754</v>
      </c>
    </row>
    <row r="11" spans="1:5">
      <c r="A11" s="1006"/>
      <c r="B11" s="1009" t="s">
        <v>265</v>
      </c>
      <c r="C11" s="1010">
        <f>C10/C9</f>
        <v>0.623979695307739</v>
      </c>
      <c r="D11" s="1010"/>
      <c r="E11" s="1010">
        <f t="shared" ref="E11" si="1">E10/E9</f>
        <v>2.21403414634146</v>
      </c>
    </row>
    <row r="12" spans="1:5">
      <c r="A12" s="1006" t="s">
        <v>255</v>
      </c>
      <c r="B12" s="1007" t="s">
        <v>263</v>
      </c>
      <c r="C12" s="1008">
        <f>'收入--历史经营情况分析'!G7</f>
        <v>0</v>
      </c>
      <c r="D12" s="1008">
        <f>'收入--历史经营情况分析'!E7</f>
        <v>692.31</v>
      </c>
      <c r="E12" s="1008">
        <f>'收入--历史经营情况分析'!C7</f>
        <v>120.11</v>
      </c>
    </row>
    <row r="13" spans="1:5">
      <c r="A13" s="1006"/>
      <c r="B13" s="1007" t="s">
        <v>264</v>
      </c>
      <c r="C13" s="1008"/>
      <c r="D13" s="1008">
        <f>4463888.7/10000</f>
        <v>446.38887</v>
      </c>
      <c r="E13" s="1008">
        <f>931465.8/10000</f>
        <v>93.14658</v>
      </c>
    </row>
    <row r="14" spans="1:5">
      <c r="A14" s="1006"/>
      <c r="B14" s="1009" t="s">
        <v>265</v>
      </c>
      <c r="C14" s="1010"/>
      <c r="D14" s="1010">
        <f t="shared" ref="D14:E14" si="2">D13/D12</f>
        <v>0.644781774060753</v>
      </c>
      <c r="E14" s="1010">
        <f t="shared" si="2"/>
        <v>0.775510615269336</v>
      </c>
    </row>
    <row r="15" spans="1:5">
      <c r="A15" s="1006" t="s">
        <v>256</v>
      </c>
      <c r="B15" s="1007" t="s">
        <v>263</v>
      </c>
      <c r="C15" s="1008">
        <f>'收入--历史经营情况分析'!G8</f>
        <v>0</v>
      </c>
      <c r="D15" s="1008">
        <f>'收入--历史经营情况分析'!E8</f>
        <v>9.87</v>
      </c>
      <c r="E15" s="1008">
        <f>'收入--历史经营情况分析'!C8</f>
        <v>3.72</v>
      </c>
    </row>
    <row r="16" spans="1:5">
      <c r="A16" s="1006"/>
      <c r="B16" s="1007" t="s">
        <v>264</v>
      </c>
      <c r="C16" s="1008"/>
      <c r="D16" s="1008">
        <f>352163.16/10000</f>
        <v>35.216316</v>
      </c>
      <c r="E16" s="1008">
        <f>86580.89/10000</f>
        <v>8.658089</v>
      </c>
    </row>
    <row r="17" spans="1:5">
      <c r="A17" s="1006"/>
      <c r="B17" s="1009" t="s">
        <v>265</v>
      </c>
      <c r="C17" s="1009"/>
      <c r="D17" s="1010">
        <f>D16/D15</f>
        <v>3.56801580547112</v>
      </c>
      <c r="E17" s="1010">
        <f>E16/E15</f>
        <v>2.32744327956989</v>
      </c>
    </row>
    <row r="18" spans="1:5">
      <c r="A18" s="1006" t="s">
        <v>257</v>
      </c>
      <c r="B18" s="1007" t="s">
        <v>263</v>
      </c>
      <c r="C18" s="1008"/>
      <c r="D18" s="1008"/>
      <c r="E18" s="1008"/>
    </row>
    <row r="19" spans="1:5">
      <c r="A19" s="1006"/>
      <c r="B19" s="1007" t="s">
        <v>264</v>
      </c>
      <c r="C19" s="1008"/>
      <c r="D19" s="1008"/>
      <c r="E19" s="1008"/>
    </row>
    <row r="20" s="1002" customFormat="1" spans="1:5">
      <c r="A20" s="1006"/>
      <c r="B20" s="1011" t="s">
        <v>265</v>
      </c>
      <c r="C20" s="1011"/>
      <c r="D20" s="1011"/>
      <c r="E20" s="1011"/>
    </row>
    <row r="21" s="1002" customFormat="1" spans="1:5">
      <c r="A21" s="1012" t="s">
        <v>266</v>
      </c>
      <c r="B21" s="1013" t="s">
        <v>263</v>
      </c>
      <c r="C21" s="1014">
        <f>'收入--历史经营情况分析'!G10</f>
        <v>71.675656</v>
      </c>
      <c r="D21" s="1014">
        <f>'收入--历史经营情况分析'!E10</f>
        <v>329.410257</v>
      </c>
      <c r="E21" s="1014">
        <f>'收入--历史经营情况分析'!C10</f>
        <v>94.698123</v>
      </c>
    </row>
    <row r="22" s="1002" customFormat="1" spans="1:5">
      <c r="A22" s="1015"/>
      <c r="B22" s="1013" t="s">
        <v>264</v>
      </c>
      <c r="C22" s="1014">
        <v>69.53</v>
      </c>
      <c r="D22" s="1014">
        <v>199.42</v>
      </c>
      <c r="E22" s="1014">
        <v>86.16</v>
      </c>
    </row>
    <row r="23" s="1002" customFormat="1" ht="15.6" customHeight="1" spans="1:5">
      <c r="A23" s="1016"/>
      <c r="B23" s="1011" t="s">
        <v>265</v>
      </c>
      <c r="C23" s="1011"/>
      <c r="D23" s="1011"/>
      <c r="E23" s="1011"/>
    </row>
    <row r="24" s="1002" customFormat="1" spans="1:5">
      <c r="A24" s="1013" t="s">
        <v>267</v>
      </c>
      <c r="B24" s="1013"/>
      <c r="C24" s="1017">
        <f>C7+C10+C13+C16+C19+C22</f>
        <v>211.43595</v>
      </c>
      <c r="D24" s="1017">
        <f t="shared" ref="D24:E24" si="3">D7+D10+D13+D16+D19+D22</f>
        <v>706.095246</v>
      </c>
      <c r="E24" s="1017">
        <f t="shared" si="3"/>
        <v>457.745739</v>
      </c>
    </row>
    <row r="25" s="1002" customFormat="1" spans="1:5">
      <c r="A25" s="1013" t="s">
        <v>234</v>
      </c>
      <c r="B25" s="1013"/>
      <c r="C25" s="1014">
        <f>C6+C9+C12+C15+C18+C21</f>
        <v>293.505656</v>
      </c>
      <c r="D25" s="1014">
        <f t="shared" ref="D25:E25" si="4">D6+D9+D12+D15+D18+D21</f>
        <v>1047.360257</v>
      </c>
      <c r="E25" s="1014">
        <f t="shared" si="4"/>
        <v>311.418123</v>
      </c>
    </row>
    <row r="26" spans="1:5">
      <c r="A26" s="1007" t="s">
        <v>268</v>
      </c>
      <c r="B26" s="1007"/>
      <c r="C26" s="1018">
        <v>0.7204</v>
      </c>
      <c r="D26" s="1018">
        <v>0.6742</v>
      </c>
      <c r="E26" s="1018">
        <v>1.4699</v>
      </c>
    </row>
    <row r="28" spans="3:7">
      <c r="C28" s="1019"/>
      <c r="D28" s="1019"/>
      <c r="E28" s="1019"/>
      <c r="G28" s="1004" t="s">
        <v>269</v>
      </c>
    </row>
    <row r="29" ht="98.4" customHeight="1" spans="1:9">
      <c r="A29" s="1003" t="s">
        <v>270</v>
      </c>
      <c r="B29" s="1020" t="s">
        <v>271</v>
      </c>
      <c r="C29" s="1021"/>
      <c r="D29" s="1021"/>
      <c r="E29" s="1021"/>
      <c r="F29" s="1022" t="s">
        <v>272</v>
      </c>
      <c r="G29" s="1023">
        <v>0.7</v>
      </c>
      <c r="H29" s="1024"/>
      <c r="I29" s="1024"/>
    </row>
    <row r="32" spans="1:1">
      <c r="A32" s="1005" t="s">
        <v>273</v>
      </c>
    </row>
    <row r="34" ht="14.25" spans="1:1">
      <c r="A34" s="1003" t="s">
        <v>274</v>
      </c>
    </row>
    <row r="38" spans="1:1">
      <c r="A38" s="1003">
        <v>600478</v>
      </c>
    </row>
    <row r="40" spans="1:1">
      <c r="A40" s="1003" t="s">
        <v>275</v>
      </c>
    </row>
    <row r="51" spans="1:1">
      <c r="A51" s="1003">
        <v>300068</v>
      </c>
    </row>
    <row r="52" spans="1:1">
      <c r="A52" s="1003" t="s">
        <v>276</v>
      </c>
    </row>
    <row r="62" spans="1:1">
      <c r="A62" s="1003">
        <v>300438</v>
      </c>
    </row>
    <row r="74" spans="1:1">
      <c r="A74" s="1025" t="s">
        <v>277</v>
      </c>
    </row>
    <row r="75" spans="1:1">
      <c r="A75" s="1025"/>
    </row>
    <row r="76" spans="1:1">
      <c r="A76" s="1025" t="s">
        <v>276</v>
      </c>
    </row>
    <row r="77" spans="1:1">
      <c r="A77" s="1025"/>
    </row>
    <row r="78" spans="1:1">
      <c r="A78" s="1025"/>
    </row>
    <row r="79" spans="1:1">
      <c r="A79" s="1025"/>
    </row>
    <row r="80" spans="1:1">
      <c r="A80" s="1025"/>
    </row>
    <row r="81" spans="1:1">
      <c r="A81" s="1025"/>
    </row>
    <row r="84" spans="1:1">
      <c r="A84" s="1025" t="s">
        <v>278</v>
      </c>
    </row>
    <row r="85" spans="1:1">
      <c r="A85" s="1025"/>
    </row>
    <row r="86" spans="1:1">
      <c r="A86" s="1025" t="s">
        <v>279</v>
      </c>
    </row>
    <row r="87" spans="1:1">
      <c r="A87" s="1025"/>
    </row>
    <row r="88" spans="1:1">
      <c r="A88" s="1025"/>
    </row>
    <row r="89" spans="1:1">
      <c r="A89" s="1025"/>
    </row>
    <row r="90" spans="1:1">
      <c r="A90" s="1025"/>
    </row>
    <row r="91" spans="1:1">
      <c r="A91" s="1025"/>
    </row>
    <row r="97" spans="1:1">
      <c r="A97" s="1025" t="s">
        <v>280</v>
      </c>
    </row>
    <row r="99" spans="1:1">
      <c r="A99" s="1025" t="s">
        <v>281</v>
      </c>
    </row>
    <row r="112" spans="2:5">
      <c r="B112" s="1026" t="s">
        <v>282</v>
      </c>
      <c r="C112" s="1006" t="s">
        <v>283</v>
      </c>
      <c r="D112" s="1026" t="s">
        <v>284</v>
      </c>
      <c r="E112" s="1026" t="s">
        <v>285</v>
      </c>
    </row>
    <row r="113" spans="2:5">
      <c r="B113" s="1026" t="s">
        <v>286</v>
      </c>
      <c r="C113" s="1006">
        <v>600478</v>
      </c>
      <c r="D113" s="1026" t="s">
        <v>287</v>
      </c>
      <c r="E113" s="1027">
        <v>0.1033</v>
      </c>
    </row>
    <row r="114" spans="2:5">
      <c r="B114" s="1026" t="s">
        <v>288</v>
      </c>
      <c r="C114" s="1006">
        <v>300068</v>
      </c>
      <c r="D114" s="1026" t="s">
        <v>289</v>
      </c>
      <c r="E114" s="1027">
        <v>0.1444</v>
      </c>
    </row>
    <row r="115" spans="2:5">
      <c r="B115" s="1026" t="s">
        <v>290</v>
      </c>
      <c r="C115" s="1006">
        <v>300438</v>
      </c>
      <c r="D115" s="1026" t="s">
        <v>291</v>
      </c>
      <c r="E115" s="1027">
        <v>0.2508</v>
      </c>
    </row>
    <row r="116" spans="2:5">
      <c r="B116" s="1026" t="s">
        <v>292</v>
      </c>
      <c r="C116" s="1028" t="s">
        <v>277</v>
      </c>
      <c r="D116" s="1026" t="s">
        <v>293</v>
      </c>
      <c r="E116" s="1027">
        <v>0.0817</v>
      </c>
    </row>
    <row r="117" spans="2:5">
      <c r="B117" s="1026" t="s">
        <v>294</v>
      </c>
      <c r="C117" s="1028" t="s">
        <v>278</v>
      </c>
      <c r="D117" s="1026" t="s">
        <v>293</v>
      </c>
      <c r="E117" s="1027">
        <v>0.1626</v>
      </c>
    </row>
    <row r="118" spans="2:5">
      <c r="B118" s="1026" t="s">
        <v>295</v>
      </c>
      <c r="C118" s="1028" t="s">
        <v>280</v>
      </c>
      <c r="D118" s="1026" t="s">
        <v>296</v>
      </c>
      <c r="E118" s="1027">
        <v>0.1298</v>
      </c>
    </row>
    <row r="119" spans="3:3">
      <c r="C119" s="1025"/>
    </row>
    <row r="120" spans="3:3">
      <c r="C120" s="1003"/>
    </row>
    <row r="121" spans="3:3">
      <c r="C121" s="1003"/>
    </row>
    <row r="122" spans="3:3">
      <c r="C122" s="1003"/>
    </row>
    <row r="123" spans="3:3">
      <c r="C123" s="1003"/>
    </row>
    <row r="124" spans="3:3">
      <c r="C124" s="1003"/>
    </row>
  </sheetData>
  <mergeCells count="10">
    <mergeCell ref="A24:B24"/>
    <mergeCell ref="A25:B25"/>
    <mergeCell ref="A26:B26"/>
    <mergeCell ref="B29:E29"/>
    <mergeCell ref="A6:A8"/>
    <mergeCell ref="A9:A11"/>
    <mergeCell ref="A12:A14"/>
    <mergeCell ref="A15:A17"/>
    <mergeCell ref="A18:A20"/>
    <mergeCell ref="A21:A23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W20"/>
  <sheetViews>
    <sheetView workbookViewId="0">
      <selection activeCell="H21" sqref="H21"/>
    </sheetView>
  </sheetViews>
  <sheetFormatPr defaultColWidth="9" defaultRowHeight="14.25"/>
  <cols>
    <col min="3" max="3" width="12" customWidth="1"/>
    <col min="4" max="4" width="17.7" hidden="1" customWidth="1"/>
    <col min="5" max="5" width="12.1" hidden="1" customWidth="1"/>
    <col min="6" max="6" width="11.9" customWidth="1"/>
    <col min="7" max="8" width="9.5" customWidth="1"/>
    <col min="9" max="10" width="11.6" customWidth="1"/>
    <col min="11" max="14" width="12.7" customWidth="1"/>
    <col min="19" max="21" width="9" customWidth="1"/>
  </cols>
  <sheetData>
    <row r="3" ht="21.75" hidden="1" customHeight="1" spans="3:14">
      <c r="C3" s="58"/>
      <c r="D3" s="554" t="s">
        <v>297</v>
      </c>
      <c r="E3" s="554" t="s">
        <v>298</v>
      </c>
      <c r="F3" s="554" t="s">
        <v>299</v>
      </c>
      <c r="G3" s="554"/>
      <c r="H3" s="554"/>
      <c r="I3" s="554"/>
      <c r="J3" s="554"/>
      <c r="K3" s="554"/>
      <c r="L3" s="554"/>
      <c r="M3" s="554"/>
      <c r="N3" s="554"/>
    </row>
    <row r="4" ht="21.75" customHeight="1" spans="3:21">
      <c r="C4" s="58"/>
      <c r="D4" s="554"/>
      <c r="E4" s="554"/>
      <c r="F4" s="554" t="s">
        <v>300</v>
      </c>
      <c r="G4" s="58">
        <v>2017</v>
      </c>
      <c r="H4" s="58">
        <v>2018</v>
      </c>
      <c r="I4" s="58">
        <v>2019</v>
      </c>
      <c r="J4" s="58">
        <v>2020</v>
      </c>
      <c r="K4" s="58">
        <v>2021</v>
      </c>
      <c r="L4" s="58">
        <v>2022</v>
      </c>
      <c r="M4" s="58">
        <v>2023</v>
      </c>
      <c r="N4" s="58">
        <v>2024</v>
      </c>
      <c r="O4" s="58">
        <v>2025</v>
      </c>
      <c r="P4" s="55" t="s">
        <v>301</v>
      </c>
      <c r="Q4" s="968">
        <v>2040</v>
      </c>
      <c r="R4" s="55" t="s">
        <v>302</v>
      </c>
      <c r="S4" s="58">
        <v>2044</v>
      </c>
      <c r="T4" s="968" t="s">
        <v>303</v>
      </c>
      <c r="U4" s="968" t="s">
        <v>304</v>
      </c>
    </row>
    <row r="5" ht="21.75" customHeight="1" spans="3:23">
      <c r="C5" s="55" t="s">
        <v>305</v>
      </c>
      <c r="D5" s="554"/>
      <c r="E5" s="554"/>
      <c r="F5" s="554" t="e">
        <f>$V$5*'收入--历史经营情况分析'!#REF!</f>
        <v>#REF!</v>
      </c>
      <c r="G5" s="554" t="e">
        <f>$V$5*'收入--历史经营情况分析'!#REF!</f>
        <v>#REF!</v>
      </c>
      <c r="H5" s="554" t="e">
        <f>$V$5*'收入--历史经营情况分析'!#REF!</f>
        <v>#REF!</v>
      </c>
      <c r="I5" s="554" t="e">
        <f>$V$5*'收入--历史经营情况分析'!#REF!</f>
        <v>#REF!</v>
      </c>
      <c r="J5" s="554" t="e">
        <f>$V$5*'收入--历史经营情况分析'!#REF!</f>
        <v>#REF!</v>
      </c>
      <c r="K5" s="554" t="e">
        <f>$V$5*'收入--历史经营情况分析'!#REF!</f>
        <v>#REF!</v>
      </c>
      <c r="L5" s="554" t="e">
        <f>$V$5*'收入--历史经营情况分析'!#REF!</f>
        <v>#REF!</v>
      </c>
      <c r="M5" s="554" t="e">
        <f>$V$5*'收入--历史经营情况分析'!#REF!</f>
        <v>#REF!</v>
      </c>
      <c r="N5" s="554" t="e">
        <f>$V$5*'收入--历史经营情况分析'!#REF!</f>
        <v>#REF!</v>
      </c>
      <c r="O5" s="554" t="e">
        <f>$V$5*'收入--历史经营情况分析'!#REF!</f>
        <v>#REF!</v>
      </c>
      <c r="P5" s="554" t="e">
        <f>$V$5*'收入--历史经营情况分析'!#REF!</f>
        <v>#REF!</v>
      </c>
      <c r="Q5" s="554" t="e">
        <f>$V$5*'收入--历史经营情况分析'!#REF!</f>
        <v>#REF!</v>
      </c>
      <c r="R5" s="554" t="e">
        <f>$V$5*'收入--历史经营情况分析'!#REF!</f>
        <v>#REF!</v>
      </c>
      <c r="S5" s="554" t="e">
        <f>$V$5*'收入--历史经营情况分析'!#REF!</f>
        <v>#REF!</v>
      </c>
      <c r="T5" s="554" t="e">
        <f>$V$5*'收入--历史经营情况分析'!#REF!</f>
        <v>#REF!</v>
      </c>
      <c r="U5" s="554" t="e">
        <f>$V$5*'收入--历史经营情况分析'!#REF!</f>
        <v>#REF!</v>
      </c>
      <c r="V5">
        <v>0.003</v>
      </c>
      <c r="W5" s="144" t="s">
        <v>306</v>
      </c>
    </row>
    <row r="6" ht="21.75" customHeight="1" spans="3:23">
      <c r="C6" s="55" t="s">
        <v>307</v>
      </c>
      <c r="D6" s="554"/>
      <c r="E6" s="554"/>
      <c r="F6" s="991">
        <f t="shared" ref="F6:U6" si="0">$V$6</f>
        <v>12000</v>
      </c>
      <c r="G6" s="991">
        <f t="shared" si="0"/>
        <v>12000</v>
      </c>
      <c r="H6" s="991">
        <f t="shared" si="0"/>
        <v>12000</v>
      </c>
      <c r="I6" s="991">
        <f t="shared" si="0"/>
        <v>12000</v>
      </c>
      <c r="J6" s="991">
        <f t="shared" si="0"/>
        <v>12000</v>
      </c>
      <c r="K6" s="991">
        <f t="shared" si="0"/>
        <v>12000</v>
      </c>
      <c r="L6" s="991">
        <f t="shared" si="0"/>
        <v>12000</v>
      </c>
      <c r="M6" s="991">
        <f t="shared" si="0"/>
        <v>12000</v>
      </c>
      <c r="N6" s="991">
        <f t="shared" si="0"/>
        <v>12000</v>
      </c>
      <c r="O6" s="991">
        <f t="shared" si="0"/>
        <v>12000</v>
      </c>
      <c r="P6" s="991">
        <f t="shared" si="0"/>
        <v>12000</v>
      </c>
      <c r="Q6" s="991">
        <f t="shared" si="0"/>
        <v>12000</v>
      </c>
      <c r="R6" s="991">
        <f t="shared" si="0"/>
        <v>12000</v>
      </c>
      <c r="S6" s="991">
        <f t="shared" si="0"/>
        <v>12000</v>
      </c>
      <c r="T6" s="991">
        <f t="shared" si="0"/>
        <v>12000</v>
      </c>
      <c r="U6" s="991">
        <f t="shared" si="0"/>
        <v>12000</v>
      </c>
      <c r="V6">
        <v>12000</v>
      </c>
      <c r="W6" s="144" t="s">
        <v>308</v>
      </c>
    </row>
    <row r="7" s="149" customFormat="1" ht="21" customHeight="1" spans="3:23">
      <c r="C7" s="992" t="s">
        <v>309</v>
      </c>
      <c r="D7" s="993"/>
      <c r="E7" s="993"/>
      <c r="F7" s="994" t="e">
        <f>ROUND($V$7*'收入--历史经营情况分析'!#REF!,2)</f>
        <v>#REF!</v>
      </c>
      <c r="G7" s="994" t="e">
        <f>ROUND($V$7*'收入--历史经营情况分析'!#REF!,2)</f>
        <v>#REF!</v>
      </c>
      <c r="H7" s="994" t="e">
        <f>ROUND($V$7*'收入--历史经营情况分析'!#REF!,2)</f>
        <v>#REF!</v>
      </c>
      <c r="I7" s="994" t="e">
        <f>ROUND($V$7*'收入--历史经营情况分析'!#REF!,2)</f>
        <v>#REF!</v>
      </c>
      <c r="J7" s="994" t="e">
        <f>ROUND($V$7*'收入--历史经营情况分析'!#REF!,2)</f>
        <v>#REF!</v>
      </c>
      <c r="K7" s="994" t="e">
        <f>ROUND($V$7*'收入--历史经营情况分析'!#REF!,2)</f>
        <v>#REF!</v>
      </c>
      <c r="L7" s="994" t="e">
        <f>ROUND($V$7*'收入--历史经营情况分析'!#REF!,2)</f>
        <v>#REF!</v>
      </c>
      <c r="M7" s="994" t="e">
        <f>ROUND($V$7*'收入--历史经营情况分析'!#REF!,2)</f>
        <v>#REF!</v>
      </c>
      <c r="N7" s="994" t="e">
        <f>ROUND($V$7*'收入--历史经营情况分析'!#REF!,2)</f>
        <v>#REF!</v>
      </c>
      <c r="O7" s="994" t="e">
        <f>ROUND($V$7*'收入--历史经营情况分析'!#REF!,2)</f>
        <v>#REF!</v>
      </c>
      <c r="P7" s="994" t="e">
        <f>ROUND($V$7*'收入--历史经营情况分析'!#REF!,2)</f>
        <v>#REF!</v>
      </c>
      <c r="Q7" s="994" t="e">
        <f>ROUND($V$7*'收入--历史经营情况分析'!#REF!,2)</f>
        <v>#REF!</v>
      </c>
      <c r="R7" s="994" t="e">
        <f>ROUND($V$7*'收入--历史经营情况分析'!#REF!,2)</f>
        <v>#REF!</v>
      </c>
      <c r="S7" s="994" t="e">
        <f>ROUND($V$7*'收入--历史经营情况分析'!#REF!,2)</f>
        <v>#REF!</v>
      </c>
      <c r="T7" s="994" t="e">
        <f>ROUND($V$7*'收入--历史经营情况分析'!#REF!,2)</f>
        <v>#REF!</v>
      </c>
      <c r="U7" s="994" t="e">
        <f>ROUND($V$7*'收入--历史经营情况分析'!#REF!,2)</f>
        <v>#REF!</v>
      </c>
      <c r="V7" s="149">
        <v>0.03</v>
      </c>
      <c r="W7" s="1001" t="s">
        <v>306</v>
      </c>
    </row>
    <row r="8" ht="21" customHeight="1" spans="3:23">
      <c r="C8" s="55" t="s">
        <v>310</v>
      </c>
      <c r="D8" s="58"/>
      <c r="E8" s="58"/>
      <c r="F8" s="991">
        <f t="shared" ref="F8:U8" si="1">$V$8</f>
        <v>1700</v>
      </c>
      <c r="G8" s="991">
        <f t="shared" si="1"/>
        <v>1700</v>
      </c>
      <c r="H8" s="991">
        <f t="shared" si="1"/>
        <v>1700</v>
      </c>
      <c r="I8" s="991">
        <f t="shared" si="1"/>
        <v>1700</v>
      </c>
      <c r="J8" s="991">
        <f t="shared" si="1"/>
        <v>1700</v>
      </c>
      <c r="K8" s="991">
        <f t="shared" si="1"/>
        <v>1700</v>
      </c>
      <c r="L8" s="991">
        <f t="shared" si="1"/>
        <v>1700</v>
      </c>
      <c r="M8" s="991">
        <f t="shared" si="1"/>
        <v>1700</v>
      </c>
      <c r="N8" s="991">
        <f t="shared" si="1"/>
        <v>1700</v>
      </c>
      <c r="O8" s="991">
        <f t="shared" si="1"/>
        <v>1700</v>
      </c>
      <c r="P8" s="991">
        <f t="shared" si="1"/>
        <v>1700</v>
      </c>
      <c r="Q8" s="991">
        <f t="shared" si="1"/>
        <v>1700</v>
      </c>
      <c r="R8" s="991">
        <f t="shared" si="1"/>
        <v>1700</v>
      </c>
      <c r="S8" s="991">
        <f t="shared" si="1"/>
        <v>1700</v>
      </c>
      <c r="T8" s="991">
        <f t="shared" si="1"/>
        <v>1700</v>
      </c>
      <c r="U8" s="991">
        <f t="shared" si="1"/>
        <v>1700</v>
      </c>
      <c r="V8">
        <v>1700</v>
      </c>
      <c r="W8" s="144" t="s">
        <v>308</v>
      </c>
    </row>
    <row r="9" s="989" customFormat="1" ht="21" customHeight="1" spans="3:21">
      <c r="C9" s="995" t="s">
        <v>311</v>
      </c>
      <c r="D9" s="996"/>
      <c r="E9" s="996"/>
      <c r="F9" s="997" t="e">
        <f>ROUND((F5*F6+F7*F8)/10000,2)</f>
        <v>#REF!</v>
      </c>
      <c r="G9" s="997" t="e">
        <f t="shared" ref="G9:U9" si="2">ROUND((G5*G6+G7*G8)/10000,2)</f>
        <v>#REF!</v>
      </c>
      <c r="H9" s="997" t="e">
        <f t="shared" si="2"/>
        <v>#REF!</v>
      </c>
      <c r="I9" s="997" t="e">
        <f t="shared" si="2"/>
        <v>#REF!</v>
      </c>
      <c r="J9" s="997" t="e">
        <f t="shared" si="2"/>
        <v>#REF!</v>
      </c>
      <c r="K9" s="997" t="e">
        <f t="shared" si="2"/>
        <v>#REF!</v>
      </c>
      <c r="L9" s="997" t="e">
        <f t="shared" si="2"/>
        <v>#REF!</v>
      </c>
      <c r="M9" s="997" t="e">
        <f t="shared" si="2"/>
        <v>#REF!</v>
      </c>
      <c r="N9" s="997" t="e">
        <f t="shared" si="2"/>
        <v>#REF!</v>
      </c>
      <c r="O9" s="997" t="e">
        <f t="shared" si="2"/>
        <v>#REF!</v>
      </c>
      <c r="P9" s="997" t="e">
        <f t="shared" si="2"/>
        <v>#REF!</v>
      </c>
      <c r="Q9" s="997" t="e">
        <f t="shared" si="2"/>
        <v>#REF!</v>
      </c>
      <c r="R9" s="997" t="e">
        <f t="shared" si="2"/>
        <v>#REF!</v>
      </c>
      <c r="S9" s="997" t="e">
        <f t="shared" si="2"/>
        <v>#REF!</v>
      </c>
      <c r="T9" s="997" t="e">
        <f t="shared" si="2"/>
        <v>#REF!</v>
      </c>
      <c r="U9" s="997" t="e">
        <f t="shared" si="2"/>
        <v>#REF!</v>
      </c>
    </row>
    <row r="10" s="974" customFormat="1" ht="21" customHeight="1" spans="3:21">
      <c r="C10" s="556" t="s">
        <v>312</v>
      </c>
      <c r="D10" s="556"/>
      <c r="E10" s="556"/>
      <c r="F10" s="980" t="e">
        <f>ROUND(F7*$O$10,2)</f>
        <v>#REF!</v>
      </c>
      <c r="G10" s="980" t="e">
        <f t="shared" ref="G10:N10" si="3">ROUND(G7*$O$10,2)</f>
        <v>#REF!</v>
      </c>
      <c r="H10" s="980" t="e">
        <f t="shared" si="3"/>
        <v>#REF!</v>
      </c>
      <c r="I10" s="980" t="e">
        <f t="shared" si="3"/>
        <v>#REF!</v>
      </c>
      <c r="J10" s="980" t="e">
        <f t="shared" si="3"/>
        <v>#REF!</v>
      </c>
      <c r="K10" s="980" t="e">
        <f t="shared" si="3"/>
        <v>#REF!</v>
      </c>
      <c r="L10" s="980" t="e">
        <f t="shared" si="3"/>
        <v>#REF!</v>
      </c>
      <c r="M10" s="980" t="e">
        <f t="shared" si="3"/>
        <v>#REF!</v>
      </c>
      <c r="N10" s="980" t="e">
        <f t="shared" si="3"/>
        <v>#REF!</v>
      </c>
      <c r="O10" s="1000"/>
      <c r="P10" s="1000"/>
      <c r="Q10" s="1000"/>
      <c r="R10" s="1000"/>
      <c r="S10" s="556"/>
      <c r="T10" s="556"/>
      <c r="U10" s="556"/>
    </row>
    <row r="11" hidden="1" spans="3:21"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</row>
    <row r="12" hidden="1" spans="3:21"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</row>
    <row r="13" s="990" customFormat="1" spans="3:21">
      <c r="C13" s="998" t="s">
        <v>313</v>
      </c>
      <c r="D13" s="998"/>
      <c r="E13" s="998"/>
      <c r="F13" s="999" t="e">
        <f>F9+F10</f>
        <v>#REF!</v>
      </c>
      <c r="G13" s="999" t="e">
        <f t="shared" ref="G13:U13" si="4">G9+G10</f>
        <v>#REF!</v>
      </c>
      <c r="H13" s="999" t="e">
        <f t="shared" si="4"/>
        <v>#REF!</v>
      </c>
      <c r="I13" s="999" t="e">
        <f t="shared" si="4"/>
        <v>#REF!</v>
      </c>
      <c r="J13" s="999" t="e">
        <f t="shared" si="4"/>
        <v>#REF!</v>
      </c>
      <c r="K13" s="999" t="e">
        <f t="shared" si="4"/>
        <v>#REF!</v>
      </c>
      <c r="L13" s="999" t="e">
        <f t="shared" si="4"/>
        <v>#REF!</v>
      </c>
      <c r="M13" s="999" t="e">
        <f t="shared" si="4"/>
        <v>#REF!</v>
      </c>
      <c r="N13" s="999" t="e">
        <f t="shared" si="4"/>
        <v>#REF!</v>
      </c>
      <c r="O13" s="999" t="e">
        <f t="shared" si="4"/>
        <v>#REF!</v>
      </c>
      <c r="P13" s="999" t="e">
        <f t="shared" si="4"/>
        <v>#REF!</v>
      </c>
      <c r="Q13" s="999" t="e">
        <f t="shared" si="4"/>
        <v>#REF!</v>
      </c>
      <c r="R13" s="999" t="e">
        <f t="shared" si="4"/>
        <v>#REF!</v>
      </c>
      <c r="S13" s="999" t="e">
        <f t="shared" si="4"/>
        <v>#REF!</v>
      </c>
      <c r="T13" s="999" t="e">
        <f t="shared" si="4"/>
        <v>#REF!</v>
      </c>
      <c r="U13" s="999" t="e">
        <f t="shared" si="4"/>
        <v>#REF!</v>
      </c>
    </row>
    <row r="20" spans="9:9">
      <c r="I20" s="144"/>
    </row>
  </sheetData>
  <mergeCells count="3">
    <mergeCell ref="F3:N3"/>
    <mergeCell ref="D3:D4"/>
    <mergeCell ref="E3:E4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6"/>
  <sheetViews>
    <sheetView topLeftCell="B1" workbookViewId="0">
      <selection activeCell="D24" sqref="D24"/>
    </sheetView>
  </sheetViews>
  <sheetFormatPr defaultColWidth="9" defaultRowHeight="14.25"/>
  <cols>
    <col min="1" max="1" width="27" style="976" customWidth="1"/>
    <col min="2" max="2" width="13.9" customWidth="1"/>
    <col min="3" max="5" width="10.7" customWidth="1"/>
    <col min="6" max="7" width="10.6" customWidth="1"/>
    <col min="8" max="17" width="12.6" customWidth="1"/>
    <col min="18" max="18" width="12.2" customWidth="1"/>
  </cols>
  <sheetData>
    <row r="2" spans="1:17">
      <c r="A2" s="554" t="s">
        <v>195</v>
      </c>
      <c r="B2" s="554" t="s">
        <v>300</v>
      </c>
      <c r="C2" s="58">
        <v>2017</v>
      </c>
      <c r="D2" s="58">
        <v>2018</v>
      </c>
      <c r="E2" s="58">
        <v>2019</v>
      </c>
      <c r="F2" s="58">
        <v>2020</v>
      </c>
      <c r="G2" s="58">
        <v>2021</v>
      </c>
      <c r="H2" s="58">
        <v>2022</v>
      </c>
      <c r="I2" s="58">
        <v>2023</v>
      </c>
      <c r="J2" s="58">
        <v>2024</v>
      </c>
      <c r="K2" s="58">
        <v>2025</v>
      </c>
      <c r="L2" s="55" t="s">
        <v>301</v>
      </c>
      <c r="M2" s="968">
        <v>2040</v>
      </c>
      <c r="N2" s="55" t="s">
        <v>302</v>
      </c>
      <c r="O2" s="58">
        <v>2044</v>
      </c>
      <c r="P2" s="968" t="s">
        <v>303</v>
      </c>
      <c r="Q2" s="968" t="s">
        <v>304</v>
      </c>
    </row>
    <row r="3" ht="15" spans="1:17">
      <c r="A3" s="977" t="s">
        <v>314</v>
      </c>
      <c r="B3" s="58">
        <f>ROUND(B4*B5/10000,2)</f>
        <v>0.3</v>
      </c>
      <c r="C3" s="58">
        <f t="shared" ref="C3:K3" si="0">ROUND(C4*C5/10000,2)</f>
        <v>0.6</v>
      </c>
      <c r="D3" s="58">
        <f t="shared" si="0"/>
        <v>0.6</v>
      </c>
      <c r="E3" s="58">
        <f t="shared" si="0"/>
        <v>0.6</v>
      </c>
      <c r="F3" s="58">
        <f t="shared" si="0"/>
        <v>0.9</v>
      </c>
      <c r="G3" s="58">
        <f t="shared" si="0"/>
        <v>0.9</v>
      </c>
      <c r="H3" s="58">
        <f t="shared" si="0"/>
        <v>0.9</v>
      </c>
      <c r="I3" s="58">
        <f t="shared" si="0"/>
        <v>1.2</v>
      </c>
      <c r="J3" s="58">
        <f t="shared" si="0"/>
        <v>1.2</v>
      </c>
      <c r="K3" s="58">
        <f t="shared" si="0"/>
        <v>1.2</v>
      </c>
      <c r="L3" s="58">
        <f t="shared" ref="L3:Q3" si="1">ROUND(L4*L5/10000,2)</f>
        <v>1.2</v>
      </c>
      <c r="M3" s="58">
        <f t="shared" si="1"/>
        <v>0.9</v>
      </c>
      <c r="N3" s="58">
        <f t="shared" si="1"/>
        <v>0.9</v>
      </c>
      <c r="O3" s="58">
        <f t="shared" si="1"/>
        <v>0.9</v>
      </c>
      <c r="P3" s="58">
        <f t="shared" si="1"/>
        <v>0.6</v>
      </c>
      <c r="Q3" s="58">
        <f t="shared" si="1"/>
        <v>0.3</v>
      </c>
    </row>
    <row r="4" ht="15" spans="1:18">
      <c r="A4" s="978" t="s">
        <v>307</v>
      </c>
      <c r="B4" s="57">
        <f t="shared" ref="B4:K4" si="2">$R$4</f>
        <v>1.17</v>
      </c>
      <c r="C4" s="57">
        <f t="shared" si="2"/>
        <v>1.17</v>
      </c>
      <c r="D4" s="57">
        <f t="shared" si="2"/>
        <v>1.17</v>
      </c>
      <c r="E4" s="57">
        <f t="shared" si="2"/>
        <v>1.17</v>
      </c>
      <c r="F4" s="57">
        <f t="shared" si="2"/>
        <v>1.17</v>
      </c>
      <c r="G4" s="57">
        <f t="shared" si="2"/>
        <v>1.17</v>
      </c>
      <c r="H4" s="57">
        <f t="shared" si="2"/>
        <v>1.17</v>
      </c>
      <c r="I4" s="57">
        <f t="shared" si="2"/>
        <v>1.17</v>
      </c>
      <c r="J4" s="57">
        <f t="shared" si="2"/>
        <v>1.17</v>
      </c>
      <c r="K4" s="57">
        <f t="shared" si="2"/>
        <v>1.17</v>
      </c>
      <c r="L4" s="57">
        <f t="shared" ref="L4:Q4" si="3">$R$4</f>
        <v>1.17</v>
      </c>
      <c r="M4" s="57">
        <f t="shared" si="3"/>
        <v>1.17</v>
      </c>
      <c r="N4" s="57">
        <f t="shared" si="3"/>
        <v>1.17</v>
      </c>
      <c r="O4" s="57">
        <f t="shared" si="3"/>
        <v>1.17</v>
      </c>
      <c r="P4" s="57">
        <f t="shared" si="3"/>
        <v>1.17</v>
      </c>
      <c r="Q4" s="57">
        <f t="shared" si="3"/>
        <v>1.17</v>
      </c>
      <c r="R4" s="987">
        <v>1.17</v>
      </c>
    </row>
    <row r="5" s="974" customFormat="1" spans="1:17">
      <c r="A5" s="979" t="s">
        <v>315</v>
      </c>
      <c r="B5" s="980">
        <f>14*365/2</f>
        <v>2555</v>
      </c>
      <c r="C5" s="980">
        <f>365*14</f>
        <v>5110</v>
      </c>
      <c r="D5" s="980">
        <f>365*14</f>
        <v>5110</v>
      </c>
      <c r="E5" s="980">
        <f>365*14</f>
        <v>5110</v>
      </c>
      <c r="F5" s="980">
        <f>365*21</f>
        <v>7665</v>
      </c>
      <c r="G5" s="980">
        <f>365*21</f>
        <v>7665</v>
      </c>
      <c r="H5" s="980">
        <f>365*21</f>
        <v>7665</v>
      </c>
      <c r="I5" s="980">
        <f>365*28</f>
        <v>10220</v>
      </c>
      <c r="J5" s="980">
        <f>365*28</f>
        <v>10220</v>
      </c>
      <c r="K5" s="980">
        <f>365*28</f>
        <v>10220</v>
      </c>
      <c r="L5" s="980">
        <f>365*28</f>
        <v>10220</v>
      </c>
      <c r="M5" s="986">
        <f>365*21</f>
        <v>7665</v>
      </c>
      <c r="N5" s="980">
        <f>365*21</f>
        <v>7665</v>
      </c>
      <c r="O5" s="986">
        <f>365*21</f>
        <v>7665</v>
      </c>
      <c r="P5" s="980">
        <f>365*14</f>
        <v>5110</v>
      </c>
      <c r="Q5" s="980">
        <f>365*7</f>
        <v>2555</v>
      </c>
    </row>
    <row r="6" ht="15" spans="1:17">
      <c r="A6" s="981" t="s">
        <v>316</v>
      </c>
      <c r="B6" s="982" t="e">
        <f>ROUND(B7*B8,2)</f>
        <v>#REF!</v>
      </c>
      <c r="C6" s="982" t="e">
        <f t="shared" ref="C6:K6" si="4">ROUND(C7*C8,2)</f>
        <v>#REF!</v>
      </c>
      <c r="D6" s="982" t="e">
        <f t="shared" si="4"/>
        <v>#REF!</v>
      </c>
      <c r="E6" s="982" t="e">
        <f t="shared" si="4"/>
        <v>#REF!</v>
      </c>
      <c r="F6" s="982" t="e">
        <f t="shared" si="4"/>
        <v>#REF!</v>
      </c>
      <c r="G6" s="982" t="e">
        <f t="shared" si="4"/>
        <v>#REF!</v>
      </c>
      <c r="H6" s="982" t="e">
        <f t="shared" si="4"/>
        <v>#REF!</v>
      </c>
      <c r="I6" s="982" t="e">
        <f t="shared" si="4"/>
        <v>#REF!</v>
      </c>
      <c r="J6" s="982" t="e">
        <f t="shared" si="4"/>
        <v>#REF!</v>
      </c>
      <c r="K6" s="982" t="e">
        <f t="shared" si="4"/>
        <v>#REF!</v>
      </c>
      <c r="L6" s="982" t="e">
        <f t="shared" ref="L6:Q6" si="5">ROUND(L7*L8,2)</f>
        <v>#REF!</v>
      </c>
      <c r="M6" s="982" t="e">
        <f t="shared" si="5"/>
        <v>#REF!</v>
      </c>
      <c r="N6" s="982" t="e">
        <f t="shared" si="5"/>
        <v>#REF!</v>
      </c>
      <c r="O6" s="982" t="e">
        <f t="shared" si="5"/>
        <v>#REF!</v>
      </c>
      <c r="P6" s="982" t="e">
        <f t="shared" si="5"/>
        <v>#REF!</v>
      </c>
      <c r="Q6" s="982" t="e">
        <f t="shared" si="5"/>
        <v>#REF!</v>
      </c>
    </row>
    <row r="7" ht="15" spans="1:18">
      <c r="A7" s="978" t="s">
        <v>307</v>
      </c>
      <c r="B7" s="983">
        <f t="shared" ref="B7:K7" si="6">$R$7</f>
        <v>0.53</v>
      </c>
      <c r="C7" s="983">
        <f t="shared" si="6"/>
        <v>0.53</v>
      </c>
      <c r="D7" s="983">
        <f t="shared" si="6"/>
        <v>0.53</v>
      </c>
      <c r="E7" s="983">
        <f t="shared" si="6"/>
        <v>0.53</v>
      </c>
      <c r="F7" s="983">
        <f t="shared" si="6"/>
        <v>0.53</v>
      </c>
      <c r="G7" s="983">
        <f t="shared" si="6"/>
        <v>0.53</v>
      </c>
      <c r="H7" s="983">
        <f t="shared" si="6"/>
        <v>0.53</v>
      </c>
      <c r="I7" s="983">
        <f t="shared" si="6"/>
        <v>0.53</v>
      </c>
      <c r="J7" s="983">
        <f t="shared" si="6"/>
        <v>0.53</v>
      </c>
      <c r="K7" s="983">
        <f t="shared" si="6"/>
        <v>0.53</v>
      </c>
      <c r="L7" s="983">
        <f t="shared" ref="L7:Q7" si="7">$R$7</f>
        <v>0.53</v>
      </c>
      <c r="M7" s="983">
        <f t="shared" si="7"/>
        <v>0.53</v>
      </c>
      <c r="N7" s="983">
        <f t="shared" si="7"/>
        <v>0.53</v>
      </c>
      <c r="O7" s="983">
        <f t="shared" si="7"/>
        <v>0.53</v>
      </c>
      <c r="P7" s="983">
        <f t="shared" si="7"/>
        <v>0.53</v>
      </c>
      <c r="Q7" s="983">
        <f t="shared" si="7"/>
        <v>0.53</v>
      </c>
      <c r="R7" s="988">
        <v>0.53</v>
      </c>
    </row>
    <row r="8" s="974" customFormat="1" spans="1:18">
      <c r="A8" s="979" t="s">
        <v>317</v>
      </c>
      <c r="B8" s="980" t="e">
        <f>ROUND('收入--历史经营情况分析'!#REF!*燃料动力!$R$8,2)</f>
        <v>#REF!</v>
      </c>
      <c r="C8" s="980" t="e">
        <f>ROUND('收入--历史经营情况分析'!#REF!*燃料动力!$R$8,2)</f>
        <v>#REF!</v>
      </c>
      <c r="D8" s="980" t="e">
        <f>ROUND('收入--历史经营情况分析'!#REF!*燃料动力!$R$8,2)</f>
        <v>#REF!</v>
      </c>
      <c r="E8" s="980" t="e">
        <f>ROUND('收入--历史经营情况分析'!#REF!*燃料动力!$R$8,2)</f>
        <v>#REF!</v>
      </c>
      <c r="F8" s="980" t="e">
        <f>ROUND('收入--历史经营情况分析'!#REF!*燃料动力!$R$8,2)</f>
        <v>#REF!</v>
      </c>
      <c r="G8" s="980" t="e">
        <f>ROUND('收入--历史经营情况分析'!#REF!*燃料动力!$R$8,2)</f>
        <v>#REF!</v>
      </c>
      <c r="H8" s="980" t="e">
        <f>ROUND('收入--历史经营情况分析'!#REF!*燃料动力!$R$8,2)</f>
        <v>#REF!</v>
      </c>
      <c r="I8" s="980" t="e">
        <f>ROUND('收入--历史经营情况分析'!#REF!*燃料动力!$R$8,2)</f>
        <v>#REF!</v>
      </c>
      <c r="J8" s="980" t="e">
        <f>ROUND('收入--历史经营情况分析'!#REF!*燃料动力!$R$8,2)</f>
        <v>#REF!</v>
      </c>
      <c r="K8" s="980" t="e">
        <f>ROUND('收入--历史经营情况分析'!#REF!*燃料动力!$R$8,2)</f>
        <v>#REF!</v>
      </c>
      <c r="L8" s="980" t="e">
        <f>ROUND('收入--历史经营情况分析'!#REF!*燃料动力!$R$8,2)</f>
        <v>#REF!</v>
      </c>
      <c r="M8" s="980" t="e">
        <f>ROUND('收入--历史经营情况分析'!#REF!*燃料动力!$R$8,2)</f>
        <v>#REF!</v>
      </c>
      <c r="N8" s="980" t="e">
        <f>ROUND('收入--历史经营情况分析'!#REF!*燃料动力!$R$8,2)</f>
        <v>#REF!</v>
      </c>
      <c r="O8" s="980" t="e">
        <f>ROUND('收入--历史经营情况分析'!#REF!*燃料动力!$R$8,2)</f>
        <v>#REF!</v>
      </c>
      <c r="P8" s="980" t="e">
        <f>ROUND('收入--历史经营情况分析'!#REF!*燃料动力!$R$8,2)</f>
        <v>#REF!</v>
      </c>
      <c r="Q8" s="980" t="e">
        <f>ROUND('收入--历史经营情况分析'!#REF!*燃料动力!$R$8,2)</f>
        <v>#REF!</v>
      </c>
      <c r="R8" s="974">
        <v>0.24</v>
      </c>
    </row>
    <row r="9" s="975" customFormat="1" ht="15" spans="1:17">
      <c r="A9" s="984" t="s">
        <v>318</v>
      </c>
      <c r="B9" s="985" t="e">
        <f>B3+B6</f>
        <v>#REF!</v>
      </c>
      <c r="C9" s="985" t="e">
        <f t="shared" ref="C9:Q9" si="8">C3+C6</f>
        <v>#REF!</v>
      </c>
      <c r="D9" s="985" t="e">
        <f t="shared" si="8"/>
        <v>#REF!</v>
      </c>
      <c r="E9" s="985" t="e">
        <f t="shared" si="8"/>
        <v>#REF!</v>
      </c>
      <c r="F9" s="985" t="e">
        <f t="shared" si="8"/>
        <v>#REF!</v>
      </c>
      <c r="G9" s="985" t="e">
        <f t="shared" si="8"/>
        <v>#REF!</v>
      </c>
      <c r="H9" s="985" t="e">
        <f t="shared" si="8"/>
        <v>#REF!</v>
      </c>
      <c r="I9" s="985" t="e">
        <f t="shared" si="8"/>
        <v>#REF!</v>
      </c>
      <c r="J9" s="985" t="e">
        <f t="shared" si="8"/>
        <v>#REF!</v>
      </c>
      <c r="K9" s="985" t="e">
        <f t="shared" si="8"/>
        <v>#REF!</v>
      </c>
      <c r="L9" s="985" t="e">
        <f t="shared" si="8"/>
        <v>#REF!</v>
      </c>
      <c r="M9" s="985" t="e">
        <f t="shared" si="8"/>
        <v>#REF!</v>
      </c>
      <c r="N9" s="985" t="e">
        <f t="shared" si="8"/>
        <v>#REF!</v>
      </c>
      <c r="O9" s="985" t="e">
        <f t="shared" si="8"/>
        <v>#REF!</v>
      </c>
      <c r="P9" s="985" t="e">
        <f t="shared" si="8"/>
        <v>#REF!</v>
      </c>
      <c r="Q9" s="985" t="e">
        <f t="shared" si="8"/>
        <v>#REF!</v>
      </c>
    </row>
    <row r="12" spans="2:3">
      <c r="B12" s="144" t="s">
        <v>319</v>
      </c>
      <c r="C12" s="144" t="s">
        <v>320</v>
      </c>
    </row>
    <row r="16" spans="3:3">
      <c r="C16" s="144"/>
    </row>
  </sheetData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9"/>
  <sheetViews>
    <sheetView workbookViewId="0">
      <selection activeCell="D24" sqref="D24"/>
    </sheetView>
  </sheetViews>
  <sheetFormatPr defaultColWidth="9" defaultRowHeight="14.25"/>
  <cols>
    <col min="1" max="1" width="19" customWidth="1"/>
    <col min="2" max="2" width="13.9" customWidth="1"/>
    <col min="8" max="11" width="9" hidden="1" customWidth="1"/>
    <col min="12" max="12" width="12.1" hidden="1" customWidth="1"/>
    <col min="13" max="13" width="6.1" hidden="1" customWidth="1"/>
    <col min="14" max="14" width="11.2" hidden="1" customWidth="1"/>
    <col min="15" max="15" width="8.1" hidden="1" customWidth="1"/>
    <col min="16" max="16" width="11.2" hidden="1" customWidth="1"/>
    <col min="17" max="17" width="10.4" hidden="1" customWidth="1"/>
    <col min="18" max="18" width="28.4" customWidth="1"/>
  </cols>
  <sheetData>
    <row r="2" s="959" customFormat="1" ht="15" customHeight="1" spans="1:17">
      <c r="A2" s="961"/>
      <c r="B2" s="554" t="s">
        <v>300</v>
      </c>
      <c r="C2" s="58">
        <v>2017</v>
      </c>
      <c r="D2" s="58">
        <v>2018</v>
      </c>
      <c r="E2" s="58">
        <v>2019</v>
      </c>
      <c r="F2" s="58">
        <v>2020</v>
      </c>
      <c r="G2" s="58">
        <v>2021</v>
      </c>
      <c r="H2" s="58">
        <v>2022</v>
      </c>
      <c r="I2" s="58">
        <v>2023</v>
      </c>
      <c r="J2" s="58">
        <v>2024</v>
      </c>
      <c r="K2" s="58">
        <v>2025</v>
      </c>
      <c r="L2" s="55" t="s">
        <v>301</v>
      </c>
      <c r="M2" s="968">
        <v>2040</v>
      </c>
      <c r="N2" s="55" t="s">
        <v>302</v>
      </c>
      <c r="O2" s="58">
        <v>2044</v>
      </c>
      <c r="P2" s="968" t="s">
        <v>303</v>
      </c>
      <c r="Q2" s="968" t="s">
        <v>304</v>
      </c>
    </row>
    <row r="3" s="959" customFormat="1" ht="15" customHeight="1" spans="1:17">
      <c r="A3" s="962" t="s">
        <v>321</v>
      </c>
      <c r="B3" s="963"/>
      <c r="C3" s="963"/>
      <c r="D3" s="963"/>
      <c r="E3" s="963"/>
      <c r="F3" s="963"/>
      <c r="G3" s="963"/>
      <c r="H3" s="963" t="e">
        <f>人员费用预测表!#REF!</f>
        <v>#REF!</v>
      </c>
      <c r="I3" s="963" t="e">
        <f>人员费用预测表!#REF!</f>
        <v>#REF!</v>
      </c>
      <c r="J3" s="963" t="e">
        <f>人员费用预测表!#REF!</f>
        <v>#REF!</v>
      </c>
      <c r="K3" s="963" t="e">
        <f>人员费用预测表!#REF!</f>
        <v>#REF!</v>
      </c>
      <c r="L3" s="963"/>
      <c r="M3" s="963"/>
      <c r="N3" s="963"/>
      <c r="O3" s="963"/>
      <c r="P3" s="963" t="e">
        <f>人员费用预测表!#REF!</f>
        <v>#REF!</v>
      </c>
      <c r="Q3" s="963" t="e">
        <f>SUM(B3:P3)</f>
        <v>#REF!</v>
      </c>
    </row>
    <row r="4" s="959" customFormat="1" ht="12.75" spans="1:19">
      <c r="A4" s="964" t="s">
        <v>322</v>
      </c>
      <c r="B4" s="963"/>
      <c r="C4" s="963"/>
      <c r="D4" s="963"/>
      <c r="E4" s="963"/>
      <c r="F4" s="963"/>
      <c r="G4" s="963"/>
      <c r="H4" s="963" t="e">
        <f>ROUND(H3*$S$4,2)</f>
        <v>#REF!</v>
      </c>
      <c r="I4" s="963" t="e">
        <f>ROUND(I3*$S$4,2)</f>
        <v>#REF!</v>
      </c>
      <c r="J4" s="963" t="e">
        <f>ROUND(J3*$S$4,2)</f>
        <v>#REF!</v>
      </c>
      <c r="K4" s="963" t="e">
        <f>K3*0.5%</f>
        <v>#REF!</v>
      </c>
      <c r="L4" s="963"/>
      <c r="M4" s="963"/>
      <c r="N4" s="963"/>
      <c r="O4" s="963"/>
      <c r="P4" s="963" t="e">
        <f>P3*0.5%</f>
        <v>#REF!</v>
      </c>
      <c r="Q4" s="963" t="e">
        <f>SUM(B4:P4)</f>
        <v>#REF!</v>
      </c>
      <c r="R4" s="969" t="s">
        <v>323</v>
      </c>
      <c r="S4" s="970">
        <v>0.05</v>
      </c>
    </row>
    <row r="5" s="960" customFormat="1" ht="12.75" hidden="1" spans="1:19">
      <c r="A5" s="964" t="s">
        <v>324</v>
      </c>
      <c r="B5" s="965" t="e">
        <f>ROUND('收入--历史经营情况分析'!#REF!*$S$5,2)</f>
        <v>#REF!</v>
      </c>
      <c r="C5" s="965" t="e">
        <f>ROUND('收入--历史经营情况分析'!#REF!*$S$5,2)</f>
        <v>#REF!</v>
      </c>
      <c r="D5" s="965" t="e">
        <f>ROUND('收入--历史经营情况分析'!#REF!*$S$5,2)</f>
        <v>#REF!</v>
      </c>
      <c r="E5" s="965" t="e">
        <f>ROUND('收入--历史经营情况分析'!#REF!*$S$5,2)</f>
        <v>#REF!</v>
      </c>
      <c r="F5" s="965" t="e">
        <f>ROUND('收入--历史经营情况分析'!#REF!*$S$5,2)</f>
        <v>#REF!</v>
      </c>
      <c r="G5" s="965" t="e">
        <f>ROUND('收入--历史经营情况分析'!#REF!*$S$5,2)</f>
        <v>#REF!</v>
      </c>
      <c r="H5" s="965" t="e">
        <f>ROUND('收入--历史经营情况分析'!#REF!*$S$5,2)</f>
        <v>#REF!</v>
      </c>
      <c r="I5" s="965" t="e">
        <f>ROUND('收入--历史经营情况分析'!#REF!*$S$5,2)</f>
        <v>#REF!</v>
      </c>
      <c r="J5" s="965" t="e">
        <f>ROUND('收入--历史经营情况分析'!#REF!*$S$5,2)</f>
        <v>#REF!</v>
      </c>
      <c r="K5" s="965" t="e">
        <f>ROUND('收入--历史经营情况分析'!#REF!*$S$5,2)</f>
        <v>#REF!</v>
      </c>
      <c r="L5" s="965" t="e">
        <f>ROUND('收入--历史经营情况分析'!#REF!*$S$5,2)</f>
        <v>#REF!</v>
      </c>
      <c r="M5" s="965" t="e">
        <f>ROUND('收入--历史经营情况分析'!#REF!*$S$5,2)</f>
        <v>#REF!</v>
      </c>
      <c r="N5" s="965" t="e">
        <f>ROUND('收入--历史经营情况分析'!#REF!*$S$5,2)</f>
        <v>#REF!</v>
      </c>
      <c r="O5" s="965" t="e">
        <f>ROUND('收入--历史经营情况分析'!#REF!*$S$5,2)</f>
        <v>#REF!</v>
      </c>
      <c r="P5" s="965" t="e">
        <f>ROUND('收入--历史经营情况分析'!#REF!*$S$5,2)</f>
        <v>#REF!</v>
      </c>
      <c r="Q5" s="965" t="e">
        <f>ROUND('收入--历史经营情况分析'!#REF!*$S$5,2)</f>
        <v>#REF!</v>
      </c>
      <c r="R5" s="971" t="s">
        <v>325</v>
      </c>
      <c r="S5" s="972"/>
    </row>
    <row r="6" s="959" customFormat="1" ht="12.75" hidden="1" spans="1:19">
      <c r="A6" s="964" t="s">
        <v>326</v>
      </c>
      <c r="B6" s="963" t="e">
        <f>ROUND('收入--历史经营情况分析'!#REF!*$S$6,2)</f>
        <v>#REF!</v>
      </c>
      <c r="C6" s="963" t="e">
        <f>ROUND('收入--历史经营情况分析'!#REF!*$S$6,2)</f>
        <v>#REF!</v>
      </c>
      <c r="D6" s="963" t="e">
        <f>ROUND('收入--历史经营情况分析'!#REF!*$S$6,2)</f>
        <v>#REF!</v>
      </c>
      <c r="E6" s="963" t="e">
        <f>ROUND('收入--历史经营情况分析'!#REF!*$S$6,2)</f>
        <v>#REF!</v>
      </c>
      <c r="F6" s="963" t="e">
        <f>ROUND('收入--历史经营情况分析'!#REF!*$S$6,2)</f>
        <v>#REF!</v>
      </c>
      <c r="G6" s="963" t="e">
        <f>ROUND('收入--历史经营情况分析'!#REF!*$S$6,2)</f>
        <v>#REF!</v>
      </c>
      <c r="H6" s="963" t="e">
        <f>ROUND('收入--历史经营情况分析'!#REF!*$S$6,2)</f>
        <v>#REF!</v>
      </c>
      <c r="I6" s="963" t="e">
        <f>ROUND('收入--历史经营情况分析'!#REF!*$S$6,2)</f>
        <v>#REF!</v>
      </c>
      <c r="J6" s="963" t="e">
        <f>ROUND('收入--历史经营情况分析'!#REF!*$S$6,2)</f>
        <v>#REF!</v>
      </c>
      <c r="K6" s="963" t="e">
        <f>ROUND('收入--历史经营情况分析'!#REF!*$S$6,2)</f>
        <v>#REF!</v>
      </c>
      <c r="L6" s="963" t="e">
        <f>ROUND('收入--历史经营情况分析'!#REF!*$S$6,2)</f>
        <v>#REF!</v>
      </c>
      <c r="M6" s="963" t="e">
        <f>ROUND('收入--历史经营情况分析'!#REF!*$S$6,2)</f>
        <v>#REF!</v>
      </c>
      <c r="N6" s="963" t="e">
        <f>ROUND('收入--历史经营情况分析'!#REF!*$S$6,2)</f>
        <v>#REF!</v>
      </c>
      <c r="O6" s="963" t="e">
        <f>ROUND('收入--历史经营情况分析'!#REF!*$S$6,2)</f>
        <v>#REF!</v>
      </c>
      <c r="P6" s="963" t="e">
        <f>ROUND('收入--历史经营情况分析'!#REF!*$S$6,2)</f>
        <v>#REF!</v>
      </c>
      <c r="Q6" s="963" t="e">
        <f>ROUND('收入--历史经营情况分析'!#REF!*$S$6,2)</f>
        <v>#REF!</v>
      </c>
      <c r="R6" s="969" t="s">
        <v>327</v>
      </c>
      <c r="S6" s="973"/>
    </row>
    <row r="7" s="959" customFormat="1" ht="12.75" hidden="1" spans="1:19">
      <c r="A7" s="964" t="s">
        <v>328</v>
      </c>
      <c r="B7" s="963"/>
      <c r="C7" s="963"/>
      <c r="D7" s="963"/>
      <c r="E7" s="963"/>
      <c r="F7" s="963"/>
      <c r="G7" s="963"/>
      <c r="H7" s="963"/>
      <c r="I7" s="963"/>
      <c r="J7" s="963"/>
      <c r="K7" s="963"/>
      <c r="L7" s="963"/>
      <c r="M7" s="963"/>
      <c r="N7" s="963"/>
      <c r="O7" s="963"/>
      <c r="P7" s="963"/>
      <c r="Q7" s="963"/>
      <c r="R7" s="969"/>
      <c r="S7" s="970"/>
    </row>
    <row r="8" s="959" customFormat="1" ht="12.75" hidden="1" spans="1:19">
      <c r="A8" s="966" t="s">
        <v>329</v>
      </c>
      <c r="B8" s="963" t="e">
        <f>ROUND('收入--历史经营情况分析'!#REF!*经营费用!$S$8,2)</f>
        <v>#REF!</v>
      </c>
      <c r="C8" s="963" t="e">
        <f>ROUND('收入--历史经营情况分析'!#REF!*经营费用!$S$8,2)</f>
        <v>#REF!</v>
      </c>
      <c r="D8" s="963" t="e">
        <f>ROUND('收入--历史经营情况分析'!#REF!*经营费用!$S$8,2)</f>
        <v>#REF!</v>
      </c>
      <c r="E8" s="963" t="e">
        <f>ROUND('收入--历史经营情况分析'!#REF!*经营费用!$S$8,2)</f>
        <v>#REF!</v>
      </c>
      <c r="F8" s="963" t="e">
        <f>ROUND('收入--历史经营情况分析'!#REF!*经营费用!$S$8,2)</f>
        <v>#REF!</v>
      </c>
      <c r="G8" s="963" t="e">
        <f>ROUND('收入--历史经营情况分析'!#REF!*经营费用!$S$8,2)</f>
        <v>#REF!</v>
      </c>
      <c r="H8" s="963" t="e">
        <f>ROUND('收入--历史经营情况分析'!#REF!*经营费用!$S$8,2)</f>
        <v>#REF!</v>
      </c>
      <c r="I8" s="963" t="e">
        <f>ROUND('收入--历史经营情况分析'!#REF!*经营费用!$S$8,2)</f>
        <v>#REF!</v>
      </c>
      <c r="J8" s="963" t="e">
        <f>ROUND('收入--历史经营情况分析'!#REF!*经营费用!$S$8,2)</f>
        <v>#REF!</v>
      </c>
      <c r="K8" s="963" t="e">
        <f>ROUND('收入--历史经营情况分析'!#REF!*经营费用!$S$8,2)</f>
        <v>#REF!</v>
      </c>
      <c r="L8" s="963" t="e">
        <f>ROUND('收入--历史经营情况分析'!#REF!*经营费用!$S$8,2)</f>
        <v>#REF!</v>
      </c>
      <c r="M8" s="963" t="e">
        <f>ROUND('收入--历史经营情况分析'!#REF!*经营费用!$S$8,2)</f>
        <v>#REF!</v>
      </c>
      <c r="N8" s="963" t="e">
        <f>ROUND('收入--历史经营情况分析'!#REF!*经营费用!$S$8,2)</f>
        <v>#REF!</v>
      </c>
      <c r="O8" s="963" t="e">
        <f>ROUND('收入--历史经营情况分析'!#REF!*经营费用!$S$8,2)</f>
        <v>#REF!</v>
      </c>
      <c r="P8" s="963" t="e">
        <f>ROUND('收入--历史经营情况分析'!#REF!*经营费用!$S$8,2)</f>
        <v>#REF!</v>
      </c>
      <c r="Q8" s="963" t="e">
        <f>ROUND('收入--历史经营情况分析'!#REF!*经营费用!$S$8,2)</f>
        <v>#REF!</v>
      </c>
      <c r="R8" s="971" t="s">
        <v>330</v>
      </c>
      <c r="S8" s="973"/>
    </row>
    <row r="9" s="959" customFormat="1" ht="12.75" spans="1:17">
      <c r="A9" s="967" t="s">
        <v>157</v>
      </c>
      <c r="B9" s="963" t="e">
        <f>SUM(B3:B8)</f>
        <v>#REF!</v>
      </c>
      <c r="C9" s="963" t="e">
        <f t="shared" ref="C9:Q9" si="0">SUM(C3:C8)</f>
        <v>#REF!</v>
      </c>
      <c r="D9" s="963" t="e">
        <f t="shared" si="0"/>
        <v>#REF!</v>
      </c>
      <c r="E9" s="963" t="e">
        <f t="shared" si="0"/>
        <v>#REF!</v>
      </c>
      <c r="F9" s="963" t="e">
        <f t="shared" si="0"/>
        <v>#REF!</v>
      </c>
      <c r="G9" s="963" t="e">
        <f t="shared" si="0"/>
        <v>#REF!</v>
      </c>
      <c r="H9" s="963" t="e">
        <f t="shared" si="0"/>
        <v>#REF!</v>
      </c>
      <c r="I9" s="963" t="e">
        <f t="shared" si="0"/>
        <v>#REF!</v>
      </c>
      <c r="J9" s="963" t="e">
        <f t="shared" si="0"/>
        <v>#REF!</v>
      </c>
      <c r="K9" s="963" t="e">
        <f t="shared" si="0"/>
        <v>#REF!</v>
      </c>
      <c r="L9" s="963" t="e">
        <f t="shared" si="0"/>
        <v>#REF!</v>
      </c>
      <c r="M9" s="963" t="e">
        <f t="shared" si="0"/>
        <v>#REF!</v>
      </c>
      <c r="N9" s="963" t="e">
        <f t="shared" si="0"/>
        <v>#REF!</v>
      </c>
      <c r="O9" s="963" t="e">
        <f t="shared" si="0"/>
        <v>#REF!</v>
      </c>
      <c r="P9" s="963" t="e">
        <f t="shared" si="0"/>
        <v>#REF!</v>
      </c>
      <c r="Q9" s="963" t="e">
        <f t="shared" si="0"/>
        <v>#REF!</v>
      </c>
    </row>
  </sheetData>
  <pageMargins left="0.75" right="0.75" top="1" bottom="1" header="0.5" footer="0.5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43" workbookViewId="0">
      <selection activeCell="D85" sqref="D85"/>
    </sheetView>
  </sheetViews>
  <sheetFormatPr defaultColWidth="8.9" defaultRowHeight="12.75"/>
  <cols>
    <col min="1" max="1" width="21.1" style="875" customWidth="1"/>
    <col min="2" max="2" width="10.9" style="876" customWidth="1"/>
    <col min="3" max="3" width="10.1" style="877" customWidth="1"/>
    <col min="4" max="4" width="9.9" style="877" customWidth="1"/>
    <col min="5" max="5" width="10.2" style="877" customWidth="1"/>
    <col min="6" max="6" width="10.7" style="877" customWidth="1"/>
    <col min="7" max="8" width="10.1" style="877" customWidth="1"/>
    <col min="9" max="9" width="8.9" style="875" customWidth="1"/>
    <col min="10" max="16384" width="8.9" style="875"/>
  </cols>
  <sheetData>
    <row r="1" s="865" customFormat="1" ht="36.75" hidden="1" customHeight="1" spans="1:11">
      <c r="A1" s="878" t="s">
        <v>331</v>
      </c>
      <c r="B1" s="879"/>
      <c r="C1" s="879"/>
      <c r="D1" s="879"/>
      <c r="E1" s="879"/>
      <c r="F1" s="879"/>
      <c r="G1" s="879"/>
      <c r="H1" s="879"/>
      <c r="I1" s="879"/>
      <c r="J1" s="879"/>
      <c r="K1" s="879"/>
    </row>
    <row r="2" s="865" customFormat="1" ht="13.5" hidden="1" spans="1:11">
      <c r="A2" s="880"/>
      <c r="B2" s="880"/>
      <c r="C2" s="880"/>
      <c r="D2" s="880"/>
      <c r="E2" s="880"/>
      <c r="F2" s="880"/>
      <c r="G2" s="880"/>
      <c r="H2" s="880"/>
      <c r="I2" s="937"/>
      <c r="J2" s="937"/>
      <c r="K2" s="937"/>
    </row>
    <row r="3" s="865" customFormat="1" ht="29.25" hidden="1" customHeight="1" spans="1:11">
      <c r="A3" s="881" t="s">
        <v>332</v>
      </c>
      <c r="B3" s="881" t="s">
        <v>333</v>
      </c>
      <c r="C3" s="882" t="s">
        <v>334</v>
      </c>
      <c r="D3" s="883" t="s">
        <v>335</v>
      </c>
      <c r="E3" s="882" t="s">
        <v>336</v>
      </c>
      <c r="F3" s="882" t="s">
        <v>337</v>
      </c>
      <c r="G3" s="882" t="s">
        <v>338</v>
      </c>
      <c r="H3" s="882"/>
      <c r="I3" s="881" t="s">
        <v>339</v>
      </c>
      <c r="J3" s="881" t="s">
        <v>340</v>
      </c>
      <c r="K3" s="881" t="s">
        <v>341</v>
      </c>
    </row>
    <row r="4" s="865" customFormat="1" ht="32.25" hidden="1" customHeight="1" spans="1:11">
      <c r="A4" s="884"/>
      <c r="B4" s="884" t="s">
        <v>333</v>
      </c>
      <c r="C4" s="885" t="s">
        <v>334</v>
      </c>
      <c r="D4" s="886" t="s">
        <v>335</v>
      </c>
      <c r="E4" s="885" t="s">
        <v>336</v>
      </c>
      <c r="F4" s="885" t="s">
        <v>337</v>
      </c>
      <c r="G4" s="885" t="s">
        <v>338</v>
      </c>
      <c r="H4" s="885"/>
      <c r="I4" s="884" t="s">
        <v>342</v>
      </c>
      <c r="J4" s="884" t="s">
        <v>343</v>
      </c>
      <c r="K4" s="884" t="s">
        <v>344</v>
      </c>
    </row>
    <row r="5" s="865" customFormat="1" ht="17.25" hidden="1" customHeight="1" spans="1:11">
      <c r="A5" s="887">
        <v>1</v>
      </c>
      <c r="B5" s="888"/>
      <c r="C5" s="889"/>
      <c r="D5" s="890"/>
      <c r="E5" s="891"/>
      <c r="F5" s="892"/>
      <c r="G5" s="893"/>
      <c r="H5" s="893"/>
      <c r="I5" s="938" t="e">
        <f>#REF!-#REF!</f>
        <v>#REF!</v>
      </c>
      <c r="J5" s="939" t="e">
        <f t="shared" ref="J5:J20" si="0">ROUND(IF((I5-msjs1)&gt;0,(I5-msjs1)*VLOOKUP((I5-msjs1),ysfw1,4)-VLOOKUP((I5-msjs1),ysfw1,5),0),2)</f>
        <v>#REF!</v>
      </c>
      <c r="K5" s="938" t="e">
        <f>I5-J5</f>
        <v>#REF!</v>
      </c>
    </row>
    <row r="6" s="865" customFormat="1" ht="17.25" hidden="1" customHeight="1" spans="1:11">
      <c r="A6" s="887">
        <v>2</v>
      </c>
      <c r="B6" s="888"/>
      <c r="C6" s="889"/>
      <c r="D6" s="890"/>
      <c r="E6" s="891"/>
      <c r="F6" s="892"/>
      <c r="G6" s="894"/>
      <c r="H6" s="894"/>
      <c r="I6" s="938" t="e">
        <f>#REF!-#REF!</f>
        <v>#REF!</v>
      </c>
      <c r="J6" s="939" t="e">
        <f t="shared" si="0"/>
        <v>#REF!</v>
      </c>
      <c r="K6" s="938" t="e">
        <f t="shared" ref="K6:K20" si="1">I6-J6</f>
        <v>#REF!</v>
      </c>
    </row>
    <row r="7" s="865" customFormat="1" ht="17.25" hidden="1" customHeight="1" spans="1:11">
      <c r="A7" s="887">
        <v>3</v>
      </c>
      <c r="B7" s="888"/>
      <c r="C7" s="889"/>
      <c r="D7" s="890"/>
      <c r="E7" s="891"/>
      <c r="F7" s="892"/>
      <c r="G7" s="894"/>
      <c r="H7" s="894"/>
      <c r="I7" s="938" t="e">
        <f>#REF!-#REF!</f>
        <v>#REF!</v>
      </c>
      <c r="J7" s="939" t="e">
        <f t="shared" si="0"/>
        <v>#REF!</v>
      </c>
      <c r="K7" s="938" t="e">
        <f t="shared" si="1"/>
        <v>#REF!</v>
      </c>
    </row>
    <row r="8" s="865" customFormat="1" ht="17.25" hidden="1" customHeight="1" spans="1:11">
      <c r="A8" s="887">
        <v>4</v>
      </c>
      <c r="B8" s="888"/>
      <c r="C8" s="889"/>
      <c r="D8" s="890"/>
      <c r="E8" s="891"/>
      <c r="F8" s="892"/>
      <c r="G8" s="894"/>
      <c r="H8" s="894"/>
      <c r="I8" s="938" t="e">
        <f>#REF!-#REF!</f>
        <v>#REF!</v>
      </c>
      <c r="J8" s="939" t="e">
        <f t="shared" si="0"/>
        <v>#REF!</v>
      </c>
      <c r="K8" s="938" t="e">
        <f t="shared" si="1"/>
        <v>#REF!</v>
      </c>
    </row>
    <row r="9" s="865" customFormat="1" ht="17.25" hidden="1" customHeight="1" spans="1:11">
      <c r="A9" s="887">
        <v>5</v>
      </c>
      <c r="B9" s="888"/>
      <c r="C9" s="889"/>
      <c r="D9" s="890"/>
      <c r="E9" s="891"/>
      <c r="F9" s="892"/>
      <c r="G9" s="894"/>
      <c r="H9" s="894"/>
      <c r="I9" s="938" t="e">
        <f>#REF!-#REF!</f>
        <v>#REF!</v>
      </c>
      <c r="J9" s="939" t="e">
        <f t="shared" si="0"/>
        <v>#REF!</v>
      </c>
      <c r="K9" s="938" t="e">
        <f t="shared" si="1"/>
        <v>#REF!</v>
      </c>
    </row>
    <row r="10" s="865" customFormat="1" ht="17.25" hidden="1" customHeight="1" spans="1:11">
      <c r="A10" s="887">
        <v>6</v>
      </c>
      <c r="B10" s="888"/>
      <c r="C10" s="889"/>
      <c r="D10" s="890"/>
      <c r="E10" s="890"/>
      <c r="F10" s="894"/>
      <c r="G10" s="894"/>
      <c r="H10" s="894"/>
      <c r="I10" s="938" t="e">
        <f>#REF!-#REF!</f>
        <v>#REF!</v>
      </c>
      <c r="J10" s="939" t="e">
        <f t="shared" si="0"/>
        <v>#REF!</v>
      </c>
      <c r="K10" s="938" t="e">
        <f t="shared" si="1"/>
        <v>#REF!</v>
      </c>
    </row>
    <row r="11" s="865" customFormat="1" ht="17.25" hidden="1" customHeight="1" spans="1:11">
      <c r="A11" s="887">
        <v>7</v>
      </c>
      <c r="B11" s="888"/>
      <c r="C11" s="889"/>
      <c r="D11" s="890"/>
      <c r="E11" s="890"/>
      <c r="F11" s="894"/>
      <c r="G11" s="894"/>
      <c r="H11" s="894"/>
      <c r="I11" s="938" t="e">
        <f>#REF!-#REF!</f>
        <v>#REF!</v>
      </c>
      <c r="J11" s="939" t="e">
        <f t="shared" si="0"/>
        <v>#REF!</v>
      </c>
      <c r="K11" s="938" t="e">
        <f t="shared" si="1"/>
        <v>#REF!</v>
      </c>
    </row>
    <row r="12" s="865" customFormat="1" ht="17.25" hidden="1" customHeight="1" spans="1:11">
      <c r="A12" s="887">
        <v>8</v>
      </c>
      <c r="B12" s="895"/>
      <c r="C12" s="889"/>
      <c r="D12" s="890"/>
      <c r="E12" s="890"/>
      <c r="F12" s="894"/>
      <c r="G12" s="894"/>
      <c r="H12" s="894"/>
      <c r="I12" s="938" t="e">
        <f>#REF!-#REF!</f>
        <v>#REF!</v>
      </c>
      <c r="J12" s="939" t="e">
        <f t="shared" si="0"/>
        <v>#REF!</v>
      </c>
      <c r="K12" s="938" t="e">
        <f t="shared" si="1"/>
        <v>#REF!</v>
      </c>
    </row>
    <row r="13" s="865" customFormat="1" ht="17.25" hidden="1" customHeight="1" spans="1:11">
      <c r="A13" s="887">
        <v>9</v>
      </c>
      <c r="B13" s="895"/>
      <c r="C13" s="889"/>
      <c r="D13" s="890"/>
      <c r="E13" s="891"/>
      <c r="F13" s="892"/>
      <c r="G13" s="894"/>
      <c r="H13" s="894"/>
      <c r="I13" s="938" t="e">
        <f>#REF!-#REF!</f>
        <v>#REF!</v>
      </c>
      <c r="J13" s="939" t="e">
        <f t="shared" si="0"/>
        <v>#REF!</v>
      </c>
      <c r="K13" s="938" t="e">
        <f t="shared" si="1"/>
        <v>#REF!</v>
      </c>
    </row>
    <row r="14" s="865" customFormat="1" ht="17.25" hidden="1" customHeight="1" spans="1:11">
      <c r="A14" s="887">
        <v>10</v>
      </c>
      <c r="B14" s="895"/>
      <c r="C14" s="889"/>
      <c r="D14" s="890"/>
      <c r="E14" s="891"/>
      <c r="F14" s="892"/>
      <c r="G14" s="894"/>
      <c r="H14" s="894"/>
      <c r="I14" s="938" t="e">
        <f>#REF!-#REF!</f>
        <v>#REF!</v>
      </c>
      <c r="J14" s="939" t="e">
        <f t="shared" si="0"/>
        <v>#REF!</v>
      </c>
      <c r="K14" s="938" t="e">
        <f t="shared" si="1"/>
        <v>#REF!</v>
      </c>
    </row>
    <row r="15" s="865" customFormat="1" ht="17.25" hidden="1" customHeight="1" spans="1:11">
      <c r="A15" s="887">
        <v>11</v>
      </c>
      <c r="B15" s="888"/>
      <c r="C15" s="889"/>
      <c r="D15" s="890"/>
      <c r="E15" s="891"/>
      <c r="F15" s="892"/>
      <c r="G15" s="894"/>
      <c r="H15" s="894"/>
      <c r="I15" s="938" t="e">
        <f>#REF!-#REF!</f>
        <v>#REF!</v>
      </c>
      <c r="J15" s="939" t="e">
        <f t="shared" si="0"/>
        <v>#REF!</v>
      </c>
      <c r="K15" s="938" t="e">
        <f t="shared" si="1"/>
        <v>#REF!</v>
      </c>
    </row>
    <row r="16" s="865" customFormat="1" ht="17.25" hidden="1" customHeight="1" spans="1:11">
      <c r="A16" s="887">
        <v>12</v>
      </c>
      <c r="B16" s="895"/>
      <c r="C16" s="889"/>
      <c r="D16" s="890"/>
      <c r="E16" s="890"/>
      <c r="F16" s="894"/>
      <c r="G16" s="894"/>
      <c r="H16" s="894"/>
      <c r="I16" s="938" t="e">
        <f>#REF!-#REF!</f>
        <v>#REF!</v>
      </c>
      <c r="J16" s="939" t="e">
        <f t="shared" si="0"/>
        <v>#REF!</v>
      </c>
      <c r="K16" s="938" t="e">
        <f t="shared" si="1"/>
        <v>#REF!</v>
      </c>
    </row>
    <row r="17" s="865" customFormat="1" ht="17.25" hidden="1" customHeight="1" spans="1:11">
      <c r="A17" s="887">
        <v>13</v>
      </c>
      <c r="B17" s="888"/>
      <c r="C17" s="889"/>
      <c r="D17" s="890"/>
      <c r="E17" s="890"/>
      <c r="F17" s="894"/>
      <c r="G17" s="894"/>
      <c r="H17" s="894"/>
      <c r="I17" s="938" t="e">
        <f>#REF!-#REF!</f>
        <v>#REF!</v>
      </c>
      <c r="J17" s="939" t="e">
        <f t="shared" si="0"/>
        <v>#REF!</v>
      </c>
      <c r="K17" s="938" t="e">
        <f t="shared" si="1"/>
        <v>#REF!</v>
      </c>
    </row>
    <row r="18" s="865" customFormat="1" ht="17.25" hidden="1" customHeight="1" spans="1:11">
      <c r="A18" s="887">
        <v>14</v>
      </c>
      <c r="B18" s="888"/>
      <c r="C18" s="889"/>
      <c r="D18" s="890"/>
      <c r="E18" s="890"/>
      <c r="F18" s="894"/>
      <c r="G18" s="894"/>
      <c r="H18" s="894"/>
      <c r="I18" s="938" t="e">
        <f>#REF!-#REF!</f>
        <v>#REF!</v>
      </c>
      <c r="J18" s="939" t="e">
        <f t="shared" si="0"/>
        <v>#REF!</v>
      </c>
      <c r="K18" s="938" t="e">
        <f t="shared" si="1"/>
        <v>#REF!</v>
      </c>
    </row>
    <row r="19" s="865" customFormat="1" ht="17.25" hidden="1" customHeight="1" spans="1:11">
      <c r="A19" s="887">
        <v>15</v>
      </c>
      <c r="B19" s="888"/>
      <c r="C19" s="889"/>
      <c r="D19" s="890"/>
      <c r="E19" s="890"/>
      <c r="F19" s="894"/>
      <c r="G19" s="894"/>
      <c r="H19" s="894"/>
      <c r="I19" s="938" t="e">
        <f>#REF!-#REF!</f>
        <v>#REF!</v>
      </c>
      <c r="J19" s="939" t="e">
        <f t="shared" si="0"/>
        <v>#REF!</v>
      </c>
      <c r="K19" s="938" t="e">
        <f t="shared" si="1"/>
        <v>#REF!</v>
      </c>
    </row>
    <row r="20" s="865" customFormat="1" ht="17.25" hidden="1" customHeight="1" spans="1:11">
      <c r="A20" s="887">
        <v>16</v>
      </c>
      <c r="B20" s="888"/>
      <c r="C20" s="889"/>
      <c r="D20" s="890"/>
      <c r="E20" s="890"/>
      <c r="F20" s="894"/>
      <c r="G20" s="894"/>
      <c r="H20" s="894"/>
      <c r="I20" s="938" t="e">
        <f>#REF!-#REF!</f>
        <v>#REF!</v>
      </c>
      <c r="J20" s="939" t="e">
        <f t="shared" si="0"/>
        <v>#REF!</v>
      </c>
      <c r="K20" s="938" t="e">
        <f t="shared" si="1"/>
        <v>#REF!</v>
      </c>
    </row>
    <row r="21" s="865" customFormat="1" ht="13.5" hidden="1" spans="1:11">
      <c r="A21" s="896" t="s">
        <v>157</v>
      </c>
      <c r="B21" s="896"/>
      <c r="C21" s="890">
        <f t="shared" ref="C21:K21" si="2">SUM(C5:C20)</f>
        <v>0</v>
      </c>
      <c r="D21" s="890">
        <f t="shared" si="2"/>
        <v>0</v>
      </c>
      <c r="E21" s="890">
        <f t="shared" si="2"/>
        <v>0</v>
      </c>
      <c r="F21" s="894">
        <f t="shared" si="2"/>
        <v>0</v>
      </c>
      <c r="G21" s="894">
        <f t="shared" si="2"/>
        <v>0</v>
      </c>
      <c r="H21" s="894"/>
      <c r="I21" s="940" t="e">
        <f t="shared" si="2"/>
        <v>#REF!</v>
      </c>
      <c r="J21" s="940" t="e">
        <f t="shared" si="2"/>
        <v>#REF!</v>
      </c>
      <c r="K21" s="940" t="e">
        <f t="shared" si="2"/>
        <v>#REF!</v>
      </c>
    </row>
    <row r="22" s="866" customFormat="1" ht="37.5" hidden="1" customHeight="1" spans="1:11">
      <c r="A22" s="878" t="s">
        <v>331</v>
      </c>
      <c r="B22" s="879"/>
      <c r="C22" s="879"/>
      <c r="D22" s="879"/>
      <c r="E22" s="879"/>
      <c r="F22" s="879"/>
      <c r="G22" s="879"/>
      <c r="H22" s="879"/>
      <c r="I22" s="879"/>
      <c r="J22" s="879"/>
      <c r="K22" s="879"/>
    </row>
    <row r="23" s="866" customFormat="1" ht="13.5" hidden="1" spans="1:11">
      <c r="A23" s="897"/>
      <c r="B23" s="897"/>
      <c r="C23" s="897"/>
      <c r="D23" s="897"/>
      <c r="E23" s="897"/>
      <c r="F23" s="897"/>
      <c r="G23" s="897"/>
      <c r="H23" s="897"/>
      <c r="I23" s="941"/>
      <c r="J23" s="941"/>
      <c r="K23" s="941"/>
    </row>
    <row r="24" s="867" customFormat="1" ht="24.75" hidden="1" customHeight="1" spans="1:12">
      <c r="A24" s="881" t="s">
        <v>332</v>
      </c>
      <c r="B24" s="898" t="s">
        <v>333</v>
      </c>
      <c r="C24" s="882" t="s">
        <v>334</v>
      </c>
      <c r="D24" s="882" t="s">
        <v>335</v>
      </c>
      <c r="E24" s="882" t="s">
        <v>336</v>
      </c>
      <c r="F24" s="882" t="s">
        <v>345</v>
      </c>
      <c r="G24" s="882" t="s">
        <v>346</v>
      </c>
      <c r="H24" s="882"/>
      <c r="I24" s="898" t="s">
        <v>347</v>
      </c>
      <c r="J24" s="898" t="s">
        <v>339</v>
      </c>
      <c r="K24" s="898" t="s">
        <v>340</v>
      </c>
      <c r="L24" s="942" t="s">
        <v>341</v>
      </c>
    </row>
    <row r="25" s="867" customFormat="1" ht="24" hidden="1" customHeight="1" spans="1:12">
      <c r="A25" s="884"/>
      <c r="B25" s="899" t="s">
        <v>333</v>
      </c>
      <c r="C25" s="885" t="s">
        <v>334</v>
      </c>
      <c r="D25" s="885" t="s">
        <v>335</v>
      </c>
      <c r="E25" s="885" t="s">
        <v>336</v>
      </c>
      <c r="F25" s="885" t="s">
        <v>337</v>
      </c>
      <c r="G25" s="885" t="s">
        <v>338</v>
      </c>
      <c r="H25" s="885"/>
      <c r="I25" s="899" t="s">
        <v>347</v>
      </c>
      <c r="J25" s="899" t="s">
        <v>342</v>
      </c>
      <c r="K25" s="899" t="s">
        <v>343</v>
      </c>
      <c r="L25" s="942"/>
    </row>
    <row r="26" s="866" customFormat="1" ht="22.5" hidden="1" customHeight="1" spans="1:12">
      <c r="A26" s="900">
        <v>1</v>
      </c>
      <c r="B26" s="888"/>
      <c r="C26" s="889"/>
      <c r="D26" s="901"/>
      <c r="E26" s="901"/>
      <c r="F26" s="902"/>
      <c r="G26" s="903"/>
      <c r="H26" s="903"/>
      <c r="I26" s="939">
        <v>0</v>
      </c>
      <c r="J26" s="939" t="e">
        <f>#REF!-#REF!-#REF!+I26</f>
        <v>#REF!</v>
      </c>
      <c r="K26" s="939" t="e">
        <f t="shared" ref="K26:K38" si="3">ROUND(IF((J26-msjs1)&gt;0,(J26-msjs1)*VLOOKUP((J26-msjs1),ysfw1,4)-VLOOKUP((J26-msjs1),ysfw1,5),0),2)</f>
        <v>#REF!</v>
      </c>
      <c r="L26" s="943" t="e">
        <f>#REF!-#REF!-#REF!-K26</f>
        <v>#REF!</v>
      </c>
    </row>
    <row r="27" s="868" customFormat="1" ht="22.5" hidden="1" customHeight="1" spans="1:12">
      <c r="A27" s="900">
        <v>2</v>
      </c>
      <c r="B27" s="895"/>
      <c r="C27" s="889"/>
      <c r="D27" s="901"/>
      <c r="E27" s="901"/>
      <c r="F27" s="902"/>
      <c r="G27" s="904"/>
      <c r="H27" s="904"/>
      <c r="I27" s="939" t="e">
        <f>#REF!-#REF!</f>
        <v>#REF!</v>
      </c>
      <c r="J27" s="939" t="e">
        <f>#REF!-#REF!-#REF!+I27</f>
        <v>#REF!</v>
      </c>
      <c r="K27" s="939" t="e">
        <f t="shared" si="3"/>
        <v>#REF!</v>
      </c>
      <c r="L27" s="943" t="e">
        <f>#REF!-#REF!-#REF!-K27</f>
        <v>#REF!</v>
      </c>
    </row>
    <row r="28" s="868" customFormat="1" ht="22.5" hidden="1" customHeight="1" spans="1:12">
      <c r="A28" s="900">
        <v>3</v>
      </c>
      <c r="B28" s="888"/>
      <c r="C28" s="889"/>
      <c r="D28" s="901"/>
      <c r="E28" s="901"/>
      <c r="F28" s="902"/>
      <c r="G28" s="904"/>
      <c r="H28" s="904"/>
      <c r="I28" s="939">
        <v>0</v>
      </c>
      <c r="J28" s="939" t="e">
        <f>#REF!-#REF!-#REF!+I28</f>
        <v>#REF!</v>
      </c>
      <c r="K28" s="939" t="e">
        <f t="shared" si="3"/>
        <v>#REF!</v>
      </c>
      <c r="L28" s="943" t="e">
        <f>#REF!-#REF!-#REF!-K28</f>
        <v>#REF!</v>
      </c>
    </row>
    <row r="29" s="868" customFormat="1" ht="22.5" hidden="1" customHeight="1" spans="1:12">
      <c r="A29" s="900">
        <v>4</v>
      </c>
      <c r="B29" s="895"/>
      <c r="C29" s="889"/>
      <c r="D29" s="901"/>
      <c r="E29" s="901"/>
      <c r="F29" s="902"/>
      <c r="G29" s="904"/>
      <c r="H29" s="904"/>
      <c r="I29" s="939" t="e">
        <f>#REF!-#REF!</f>
        <v>#REF!</v>
      </c>
      <c r="J29" s="939" t="e">
        <f>#REF!-#REF!-#REF!+I29</f>
        <v>#REF!</v>
      </c>
      <c r="K29" s="939" t="e">
        <f t="shared" si="3"/>
        <v>#REF!</v>
      </c>
      <c r="L29" s="943" t="e">
        <f>#REF!-#REF!-#REF!-K29</f>
        <v>#REF!</v>
      </c>
    </row>
    <row r="30" s="868" customFormat="1" ht="22.5" hidden="1" customHeight="1" spans="1:12">
      <c r="A30" s="900">
        <v>5</v>
      </c>
      <c r="B30" s="895"/>
      <c r="C30" s="889"/>
      <c r="D30" s="901"/>
      <c r="E30" s="901"/>
      <c r="F30" s="902"/>
      <c r="G30" s="904"/>
      <c r="H30" s="904"/>
      <c r="I30" s="939" t="e">
        <f>#REF!-#REF!</f>
        <v>#REF!</v>
      </c>
      <c r="J30" s="939" t="e">
        <f>#REF!-#REF!-#REF!+I30</f>
        <v>#REF!</v>
      </c>
      <c r="K30" s="939" t="e">
        <f t="shared" si="3"/>
        <v>#REF!</v>
      </c>
      <c r="L30" s="943" t="e">
        <f>#REF!-#REF!-#REF!-K30</f>
        <v>#REF!</v>
      </c>
    </row>
    <row r="31" s="868" customFormat="1" ht="22.5" hidden="1" customHeight="1" spans="1:12">
      <c r="A31" s="900">
        <v>6</v>
      </c>
      <c r="B31" s="888"/>
      <c r="C31" s="889"/>
      <c r="D31" s="901"/>
      <c r="E31" s="901"/>
      <c r="F31" s="902"/>
      <c r="G31" s="904"/>
      <c r="H31" s="904"/>
      <c r="I31" s="939">
        <v>0</v>
      </c>
      <c r="J31" s="939" t="e">
        <f>#REF!-#REF!-#REF!+I31</f>
        <v>#REF!</v>
      </c>
      <c r="K31" s="939" t="e">
        <f t="shared" si="3"/>
        <v>#REF!</v>
      </c>
      <c r="L31" s="943" t="e">
        <f>#REF!-#REF!-#REF!-K31</f>
        <v>#REF!</v>
      </c>
    </row>
    <row r="32" s="868" customFormat="1" ht="22.5" hidden="1" customHeight="1" spans="1:12">
      <c r="A32" s="900">
        <v>7</v>
      </c>
      <c r="B32" s="888"/>
      <c r="C32" s="889"/>
      <c r="D32" s="901"/>
      <c r="E32" s="901"/>
      <c r="F32" s="902"/>
      <c r="G32" s="904"/>
      <c r="H32" s="904"/>
      <c r="I32" s="939"/>
      <c r="J32" s="939" t="e">
        <f>#REF!-#REF!-#REF!+I32</f>
        <v>#REF!</v>
      </c>
      <c r="K32" s="939" t="e">
        <f t="shared" si="3"/>
        <v>#REF!</v>
      </c>
      <c r="L32" s="943" t="e">
        <f>#REF!-#REF!-#REF!-K32</f>
        <v>#REF!</v>
      </c>
    </row>
    <row r="33" s="868" customFormat="1" ht="22.5" hidden="1" customHeight="1" spans="1:12">
      <c r="A33" s="900">
        <v>8</v>
      </c>
      <c r="B33" s="888"/>
      <c r="C33" s="889"/>
      <c r="D33" s="901"/>
      <c r="E33" s="901"/>
      <c r="F33" s="902"/>
      <c r="G33" s="904"/>
      <c r="H33" s="904"/>
      <c r="I33" s="939">
        <v>0</v>
      </c>
      <c r="J33" s="939" t="e">
        <f>#REF!-#REF!-#REF!+I33</f>
        <v>#REF!</v>
      </c>
      <c r="K33" s="939" t="e">
        <f t="shared" si="3"/>
        <v>#REF!</v>
      </c>
      <c r="L33" s="943" t="e">
        <f>#REF!-#REF!-#REF!-K33</f>
        <v>#REF!</v>
      </c>
    </row>
    <row r="34" s="868" customFormat="1" ht="22.5" hidden="1" customHeight="1" spans="1:12">
      <c r="A34" s="900">
        <v>9</v>
      </c>
      <c r="B34" s="888"/>
      <c r="C34" s="889"/>
      <c r="D34" s="901"/>
      <c r="E34" s="901"/>
      <c r="F34" s="902"/>
      <c r="G34" s="904"/>
      <c r="H34" s="904"/>
      <c r="I34" s="939" t="e">
        <f>#REF!-#REF!</f>
        <v>#REF!</v>
      </c>
      <c r="J34" s="939" t="e">
        <f>#REF!-#REF!-#REF!+I34</f>
        <v>#REF!</v>
      </c>
      <c r="K34" s="939" t="e">
        <f t="shared" si="3"/>
        <v>#REF!</v>
      </c>
      <c r="L34" s="943" t="e">
        <f>#REF!-#REF!-#REF!-K34</f>
        <v>#REF!</v>
      </c>
    </row>
    <row r="35" s="865" customFormat="1" ht="22.5" hidden="1" customHeight="1" spans="1:12">
      <c r="A35" s="900">
        <v>10</v>
      </c>
      <c r="B35" s="888"/>
      <c r="C35" s="889"/>
      <c r="D35" s="905"/>
      <c r="E35" s="905"/>
      <c r="F35" s="906"/>
      <c r="G35" s="907"/>
      <c r="H35" s="907"/>
      <c r="I35" s="944"/>
      <c r="J35" s="944" t="e">
        <f>#REF!-#REF!-#REF!+I35</f>
        <v>#REF!</v>
      </c>
      <c r="K35" s="944" t="e">
        <f t="shared" si="3"/>
        <v>#REF!</v>
      </c>
      <c r="L35" s="945" t="e">
        <f>#REF!-#REF!-#REF!-K35</f>
        <v>#REF!</v>
      </c>
    </row>
    <row r="36" s="868" customFormat="1" ht="22.5" hidden="1" customHeight="1" spans="1:12">
      <c r="A36" s="900">
        <v>11</v>
      </c>
      <c r="B36" s="888"/>
      <c r="C36" s="889"/>
      <c r="D36" s="901"/>
      <c r="E36" s="901"/>
      <c r="F36" s="902"/>
      <c r="G36" s="904"/>
      <c r="H36" s="904"/>
      <c r="I36" s="939">
        <v>0</v>
      </c>
      <c r="J36" s="939" t="e">
        <f>#REF!-#REF!-#REF!+I36</f>
        <v>#REF!</v>
      </c>
      <c r="K36" s="939" t="e">
        <f t="shared" si="3"/>
        <v>#REF!</v>
      </c>
      <c r="L36" s="943" t="e">
        <f>#REF!-#REF!-#REF!-K36</f>
        <v>#REF!</v>
      </c>
    </row>
    <row r="37" s="868" customFormat="1" ht="22.5" hidden="1" customHeight="1" spans="1:12">
      <c r="A37" s="900">
        <v>12</v>
      </c>
      <c r="B37" s="888"/>
      <c r="C37" s="889"/>
      <c r="D37" s="901"/>
      <c r="E37" s="901"/>
      <c r="F37" s="902"/>
      <c r="G37" s="904"/>
      <c r="H37" s="904"/>
      <c r="I37" s="939"/>
      <c r="J37" s="939" t="e">
        <f>#REF!-#REF!-#REF!+I37</f>
        <v>#REF!</v>
      </c>
      <c r="K37" s="939" t="e">
        <f t="shared" si="3"/>
        <v>#REF!</v>
      </c>
      <c r="L37" s="943" t="e">
        <f>#REF!-#REF!-#REF!-K37</f>
        <v>#REF!</v>
      </c>
    </row>
    <row r="38" s="868" customFormat="1" ht="22.5" hidden="1" customHeight="1" spans="1:12">
      <c r="A38" s="900">
        <v>13</v>
      </c>
      <c r="B38" s="888"/>
      <c r="C38" s="889"/>
      <c r="D38" s="901"/>
      <c r="E38" s="901"/>
      <c r="F38" s="902"/>
      <c r="G38" s="904"/>
      <c r="H38" s="904"/>
      <c r="I38" s="939" t="e">
        <f>#REF!-#REF!</f>
        <v>#REF!</v>
      </c>
      <c r="J38" s="939" t="e">
        <f>#REF!-#REF!-#REF!+I38</f>
        <v>#REF!</v>
      </c>
      <c r="K38" s="939" t="e">
        <f t="shared" si="3"/>
        <v>#REF!</v>
      </c>
      <c r="L38" s="943" t="e">
        <f>#REF!-#REF!-#REF!-K38</f>
        <v>#REF!</v>
      </c>
    </row>
    <row r="39" s="868" customFormat="1" ht="22.5" hidden="1" customHeight="1" spans="1:12">
      <c r="A39" s="900">
        <v>14</v>
      </c>
      <c r="B39" s="888"/>
      <c r="C39" s="889"/>
      <c r="D39" s="901"/>
      <c r="E39" s="901"/>
      <c r="F39" s="902"/>
      <c r="G39" s="904"/>
      <c r="H39" s="904"/>
      <c r="I39" s="939"/>
      <c r="J39" s="939" t="e">
        <f>#REF!-#REF!-#REF!+I39</f>
        <v>#REF!</v>
      </c>
      <c r="K39" s="939"/>
      <c r="L39" s="943" t="e">
        <f>#REF!-#REF!-#REF!-K39</f>
        <v>#REF!</v>
      </c>
    </row>
    <row r="40" s="868" customFormat="1" ht="22.5" hidden="1" customHeight="1" spans="1:12">
      <c r="A40" s="900">
        <v>15</v>
      </c>
      <c r="B40" s="888"/>
      <c r="C40" s="889"/>
      <c r="D40" s="901"/>
      <c r="E40" s="901"/>
      <c r="F40" s="902"/>
      <c r="G40" s="904"/>
      <c r="H40" s="904"/>
      <c r="I40" s="939"/>
      <c r="J40" s="939" t="e">
        <f>#REF!-#REF!-#REF!+I40</f>
        <v>#REF!</v>
      </c>
      <c r="K40" s="939"/>
      <c r="L40" s="943" t="e">
        <f>#REF!-#REF!-#REF!-K40</f>
        <v>#REF!</v>
      </c>
    </row>
    <row r="41" s="868" customFormat="1" ht="22.5" hidden="1" customHeight="1" spans="1:12">
      <c r="A41" s="900">
        <v>16</v>
      </c>
      <c r="B41" s="888"/>
      <c r="C41" s="889"/>
      <c r="D41" s="901"/>
      <c r="E41" s="901"/>
      <c r="F41" s="902"/>
      <c r="G41" s="904"/>
      <c r="H41" s="904"/>
      <c r="I41" s="939"/>
      <c r="J41" s="939" t="e">
        <f>#REF!-#REF!-#REF!+I41</f>
        <v>#REF!</v>
      </c>
      <c r="K41" s="939"/>
      <c r="L41" s="943" t="e">
        <f>#REF!-#REF!-#REF!-K41</f>
        <v>#REF!</v>
      </c>
    </row>
    <row r="42" s="866" customFormat="1" ht="13.5" hidden="1" spans="1:12">
      <c r="A42" s="908" t="s">
        <v>157</v>
      </c>
      <c r="B42" s="909"/>
      <c r="C42" s="910">
        <f t="shared" ref="C42:L42" si="4">SUM(C26:C41)</f>
        <v>0</v>
      </c>
      <c r="D42" s="910">
        <f t="shared" si="4"/>
        <v>0</v>
      </c>
      <c r="E42" s="910">
        <f t="shared" si="4"/>
        <v>0</v>
      </c>
      <c r="F42" s="911">
        <f t="shared" si="4"/>
        <v>0</v>
      </c>
      <c r="G42" s="911">
        <f t="shared" si="4"/>
        <v>0</v>
      </c>
      <c r="H42" s="911"/>
      <c r="I42" s="946" t="e">
        <f t="shared" si="4"/>
        <v>#REF!</v>
      </c>
      <c r="J42" s="946" t="e">
        <f t="shared" si="4"/>
        <v>#REF!</v>
      </c>
      <c r="K42" s="946" t="e">
        <f t="shared" si="4"/>
        <v>#REF!</v>
      </c>
      <c r="L42" s="946" t="e">
        <f t="shared" si="4"/>
        <v>#REF!</v>
      </c>
    </row>
    <row r="45" s="869" customFormat="1" ht="15.75" customHeight="1" spans="1:8">
      <c r="A45" s="912" t="s">
        <v>348</v>
      </c>
      <c r="B45" s="292" t="s">
        <v>349</v>
      </c>
      <c r="C45" s="913" t="s">
        <v>350</v>
      </c>
      <c r="D45" s="913" t="s">
        <v>351</v>
      </c>
      <c r="E45" s="913" t="s">
        <v>352</v>
      </c>
      <c r="F45" s="913" t="s">
        <v>353</v>
      </c>
      <c r="G45" s="913" t="s">
        <v>354</v>
      </c>
      <c r="H45" s="914"/>
    </row>
    <row r="46" s="870" customFormat="1" spans="1:8">
      <c r="A46" s="137" t="s">
        <v>355</v>
      </c>
      <c r="B46" s="915"/>
      <c r="C46" s="916"/>
      <c r="D46" s="916"/>
      <c r="E46" s="916"/>
      <c r="F46" s="916"/>
      <c r="G46" s="916"/>
      <c r="H46" s="917"/>
    </row>
    <row r="47" s="870" customFormat="1" spans="1:8">
      <c r="A47" s="918" t="s">
        <v>356</v>
      </c>
      <c r="B47" s="919"/>
      <c r="C47" s="920"/>
      <c r="D47" s="920"/>
      <c r="E47" s="920"/>
      <c r="F47" s="920"/>
      <c r="G47" s="920"/>
      <c r="H47" s="921"/>
    </row>
    <row r="48" s="870" customFormat="1" spans="1:8">
      <c r="A48" s="918" t="s">
        <v>357</v>
      </c>
      <c r="B48" s="919"/>
      <c r="C48" s="920"/>
      <c r="D48" s="920"/>
      <c r="E48" s="920"/>
      <c r="F48" s="920"/>
      <c r="G48" s="920"/>
      <c r="H48" s="921"/>
    </row>
    <row r="49" s="871" customFormat="1" spans="1:8">
      <c r="A49" s="918" t="s">
        <v>358</v>
      </c>
      <c r="B49" s="919"/>
      <c r="C49" s="920"/>
      <c r="D49" s="920"/>
      <c r="E49" s="920"/>
      <c r="F49" s="920"/>
      <c r="G49" s="920"/>
      <c r="H49" s="921"/>
    </row>
    <row r="50" s="872" customFormat="1" spans="1:8">
      <c r="A50" s="918" t="s">
        <v>359</v>
      </c>
      <c r="B50" s="919"/>
      <c r="C50" s="920"/>
      <c r="D50" s="920"/>
      <c r="E50" s="920"/>
      <c r="F50" s="920"/>
      <c r="G50" s="920"/>
      <c r="H50" s="921"/>
    </row>
    <row r="51" s="872" customFormat="1" spans="1:8">
      <c r="A51" s="918" t="s">
        <v>360</v>
      </c>
      <c r="B51" s="922"/>
      <c r="C51" s="920"/>
      <c r="D51" s="920"/>
      <c r="E51" s="920"/>
      <c r="F51" s="920"/>
      <c r="G51" s="920"/>
      <c r="H51" s="921"/>
    </row>
    <row r="52" s="872" customFormat="1" ht="12" customHeight="1" spans="1:9">
      <c r="A52" s="918" t="s">
        <v>361</v>
      </c>
      <c r="B52" s="923"/>
      <c r="C52" s="920"/>
      <c r="D52" s="920"/>
      <c r="E52" s="920"/>
      <c r="F52" s="920"/>
      <c r="G52" s="920"/>
      <c r="H52" s="921"/>
      <c r="I52" s="872">
        <f>G52-B52</f>
        <v>0</v>
      </c>
    </row>
    <row r="53" s="872" customFormat="1" ht="12" hidden="1" customHeight="1" spans="1:8">
      <c r="A53" s="924"/>
      <c r="B53" s="915"/>
      <c r="C53" s="925"/>
      <c r="D53" s="925"/>
      <c r="E53" s="925"/>
      <c r="F53" s="925"/>
      <c r="G53" s="925"/>
      <c r="H53" s="926"/>
    </row>
    <row r="54" s="872" customFormat="1" ht="12" hidden="1" customHeight="1" spans="1:8">
      <c r="A54" s="924"/>
      <c r="B54" s="915"/>
      <c r="C54" s="916"/>
      <c r="D54" s="916"/>
      <c r="E54" s="916"/>
      <c r="F54" s="916"/>
      <c r="G54" s="916"/>
      <c r="H54" s="917"/>
    </row>
    <row r="55" s="872" customFormat="1" ht="12" hidden="1" customHeight="1" spans="1:8">
      <c r="A55" s="924"/>
      <c r="B55" s="915"/>
      <c r="C55" s="925"/>
      <c r="D55" s="925"/>
      <c r="E55" s="925"/>
      <c r="F55" s="925"/>
      <c r="G55" s="925"/>
      <c r="H55" s="926"/>
    </row>
    <row r="56" s="872" customFormat="1" ht="12" hidden="1" customHeight="1" spans="1:8">
      <c r="A56" s="924"/>
      <c r="B56" s="915"/>
      <c r="C56" s="916"/>
      <c r="D56" s="916"/>
      <c r="E56" s="916"/>
      <c r="F56" s="916"/>
      <c r="G56" s="916"/>
      <c r="H56" s="917"/>
    </row>
    <row r="57" s="873" customFormat="1" ht="12" hidden="1" customHeight="1" spans="1:8">
      <c r="A57" s="924"/>
      <c r="B57" s="927"/>
      <c r="C57" s="925"/>
      <c r="D57" s="925"/>
      <c r="E57" s="925"/>
      <c r="F57" s="925"/>
      <c r="G57" s="925"/>
      <c r="H57" s="926"/>
    </row>
    <row r="58" s="872" customFormat="1" hidden="1" spans="1:8">
      <c r="A58" s="924"/>
      <c r="B58" s="928"/>
      <c r="C58" s="929"/>
      <c r="D58" s="929"/>
      <c r="E58" s="929"/>
      <c r="F58" s="929"/>
      <c r="G58" s="929"/>
      <c r="H58" s="926"/>
    </row>
    <row r="59" s="870" customFormat="1" spans="1:8">
      <c r="A59" s="139" t="s">
        <v>362</v>
      </c>
      <c r="B59" s="930"/>
      <c r="C59" s="931"/>
      <c r="D59" s="931"/>
      <c r="E59" s="931"/>
      <c r="F59" s="932"/>
      <c r="G59" s="931"/>
      <c r="H59" s="933"/>
    </row>
    <row r="60" s="871" customFormat="1" spans="1:11">
      <c r="A60" s="918" t="s">
        <v>356</v>
      </c>
      <c r="B60" s="934"/>
      <c r="C60" s="935">
        <f>B60*1.02</f>
        <v>0</v>
      </c>
      <c r="D60" s="935">
        <f>C60*1.02</f>
        <v>0</v>
      </c>
      <c r="E60" s="935">
        <f>D60*1.02</f>
        <v>0</v>
      </c>
      <c r="F60" s="935">
        <f>E60*1.02</f>
        <v>0</v>
      </c>
      <c r="G60" s="935">
        <f>F60*1.02</f>
        <v>0</v>
      </c>
      <c r="H60" s="936"/>
      <c r="K60" s="947"/>
    </row>
    <row r="61" spans="1:8">
      <c r="A61" s="918" t="s">
        <v>357</v>
      </c>
      <c r="B61" s="934"/>
      <c r="C61" s="935">
        <f t="shared" ref="C61:G65" si="5">B61*1.02</f>
        <v>0</v>
      </c>
      <c r="D61" s="935">
        <f t="shared" si="5"/>
        <v>0</v>
      </c>
      <c r="E61" s="935">
        <f t="shared" si="5"/>
        <v>0</v>
      </c>
      <c r="F61" s="935">
        <f t="shared" si="5"/>
        <v>0</v>
      </c>
      <c r="G61" s="935">
        <f t="shared" si="5"/>
        <v>0</v>
      </c>
      <c r="H61" s="936"/>
    </row>
    <row r="62" spans="1:8">
      <c r="A62" s="918" t="s">
        <v>358</v>
      </c>
      <c r="B62" s="934"/>
      <c r="C62" s="935">
        <f t="shared" si="5"/>
        <v>0</v>
      </c>
      <c r="D62" s="935">
        <f t="shared" si="5"/>
        <v>0</v>
      </c>
      <c r="E62" s="935">
        <f t="shared" si="5"/>
        <v>0</v>
      </c>
      <c r="F62" s="935">
        <f t="shared" si="5"/>
        <v>0</v>
      </c>
      <c r="G62" s="935">
        <f t="shared" si="5"/>
        <v>0</v>
      </c>
      <c r="H62" s="936"/>
    </row>
    <row r="63" spans="1:8">
      <c r="A63" s="918" t="s">
        <v>359</v>
      </c>
      <c r="B63" s="934"/>
      <c r="C63" s="935">
        <f t="shared" si="5"/>
        <v>0</v>
      </c>
      <c r="D63" s="935">
        <f t="shared" si="5"/>
        <v>0</v>
      </c>
      <c r="E63" s="935">
        <f t="shared" si="5"/>
        <v>0</v>
      </c>
      <c r="F63" s="935">
        <f t="shared" si="5"/>
        <v>0</v>
      </c>
      <c r="G63" s="935">
        <f t="shared" si="5"/>
        <v>0</v>
      </c>
      <c r="H63" s="936"/>
    </row>
    <row r="64" spans="1:8">
      <c r="A64" s="918" t="s">
        <v>360</v>
      </c>
      <c r="B64" s="934"/>
      <c r="C64" s="935">
        <f t="shared" si="5"/>
        <v>0</v>
      </c>
      <c r="D64" s="935">
        <f t="shared" si="5"/>
        <v>0</v>
      </c>
      <c r="E64" s="935">
        <f t="shared" si="5"/>
        <v>0</v>
      </c>
      <c r="F64" s="935">
        <f t="shared" si="5"/>
        <v>0</v>
      </c>
      <c r="G64" s="935">
        <f t="shared" si="5"/>
        <v>0</v>
      </c>
      <c r="H64" s="936"/>
    </row>
    <row r="65" spans="1:8">
      <c r="A65" s="918" t="s">
        <v>361</v>
      </c>
      <c r="B65" s="934"/>
      <c r="C65" s="935">
        <f t="shared" si="5"/>
        <v>0</v>
      </c>
      <c r="D65" s="935">
        <f t="shared" si="5"/>
        <v>0</v>
      </c>
      <c r="E65" s="935">
        <f t="shared" si="5"/>
        <v>0</v>
      </c>
      <c r="F65" s="935">
        <f t="shared" si="5"/>
        <v>0</v>
      </c>
      <c r="G65" s="935">
        <f t="shared" si="5"/>
        <v>0</v>
      </c>
      <c r="H65" s="936"/>
    </row>
    <row r="66" hidden="1" spans="1:8">
      <c r="A66" s="924"/>
      <c r="B66" s="948"/>
      <c r="C66" s="949"/>
      <c r="D66" s="949"/>
      <c r="E66" s="949"/>
      <c r="F66" s="949"/>
      <c r="G66" s="949"/>
      <c r="H66" s="950"/>
    </row>
    <row r="67" hidden="1" spans="1:8">
      <c r="A67" s="924"/>
      <c r="B67" s="948"/>
      <c r="C67" s="949"/>
      <c r="D67" s="949"/>
      <c r="E67" s="949"/>
      <c r="F67" s="949"/>
      <c r="G67" s="949"/>
      <c r="H67" s="950"/>
    </row>
    <row r="68" hidden="1" spans="1:8">
      <c r="A68" s="924"/>
      <c r="B68" s="948"/>
      <c r="C68" s="949"/>
      <c r="D68" s="949"/>
      <c r="E68" s="949"/>
      <c r="F68" s="949"/>
      <c r="G68" s="949"/>
      <c r="H68" s="950"/>
    </row>
    <row r="69" hidden="1" spans="1:8">
      <c r="A69" s="924"/>
      <c r="B69" s="948"/>
      <c r="C69" s="949"/>
      <c r="D69" s="949"/>
      <c r="E69" s="949"/>
      <c r="F69" s="949"/>
      <c r="G69" s="949"/>
      <c r="H69" s="950"/>
    </row>
    <row r="70" hidden="1" spans="1:8">
      <c r="A70" s="951"/>
      <c r="B70" s="952"/>
      <c r="G70" s="931"/>
      <c r="H70" s="933"/>
    </row>
    <row r="71" s="870" customFormat="1" spans="1:8">
      <c r="A71" s="953" t="s">
        <v>363</v>
      </c>
      <c r="B71" s="292">
        <f t="shared" ref="B71:G71" si="6">SUM(B72:B81)</f>
        <v>0</v>
      </c>
      <c r="C71" s="913">
        <f t="shared" si="6"/>
        <v>0</v>
      </c>
      <c r="D71" s="913">
        <f t="shared" si="6"/>
        <v>0</v>
      </c>
      <c r="E71" s="913">
        <f t="shared" si="6"/>
        <v>0</v>
      </c>
      <c r="F71" s="913">
        <f t="shared" si="6"/>
        <v>0</v>
      </c>
      <c r="G71" s="913">
        <f t="shared" si="6"/>
        <v>0</v>
      </c>
      <c r="H71" s="914"/>
    </row>
    <row r="72" s="874" customFormat="1" spans="1:8">
      <c r="A72" s="954" t="s">
        <v>356</v>
      </c>
      <c r="B72" s="955">
        <f t="shared" ref="B72:G77" si="7">ROUND(B60*B47*12/10000,2)</f>
        <v>0</v>
      </c>
      <c r="C72" s="955">
        <f>ROUND(C60*C47*12/10000,2)</f>
        <v>0</v>
      </c>
      <c r="D72" s="955">
        <f t="shared" si="7"/>
        <v>0</v>
      </c>
      <c r="E72" s="955">
        <f t="shared" si="7"/>
        <v>0</v>
      </c>
      <c r="F72" s="955">
        <f t="shared" si="7"/>
        <v>0</v>
      </c>
      <c r="G72" s="955">
        <f t="shared" si="7"/>
        <v>0</v>
      </c>
      <c r="H72" s="956"/>
    </row>
    <row r="73" s="874" customFormat="1" spans="1:9">
      <c r="A73" s="954" t="s">
        <v>357</v>
      </c>
      <c r="B73" s="955">
        <f t="shared" si="7"/>
        <v>0</v>
      </c>
      <c r="C73" s="955">
        <f t="shared" si="7"/>
        <v>0</v>
      </c>
      <c r="D73" s="955">
        <f t="shared" si="7"/>
        <v>0</v>
      </c>
      <c r="E73" s="955">
        <f t="shared" si="7"/>
        <v>0</v>
      </c>
      <c r="F73" s="955">
        <f t="shared" si="7"/>
        <v>0</v>
      </c>
      <c r="G73" s="955">
        <f t="shared" si="7"/>
        <v>0</v>
      </c>
      <c r="H73" s="956"/>
      <c r="I73" s="957"/>
    </row>
    <row r="74" spans="1:8">
      <c r="A74" s="918" t="s">
        <v>358</v>
      </c>
      <c r="B74" s="292">
        <f t="shared" si="7"/>
        <v>0</v>
      </c>
      <c r="C74" s="913">
        <f t="shared" si="7"/>
        <v>0</v>
      </c>
      <c r="D74" s="913">
        <f t="shared" si="7"/>
        <v>0</v>
      </c>
      <c r="E74" s="913">
        <f t="shared" si="7"/>
        <v>0</v>
      </c>
      <c r="F74" s="913">
        <f t="shared" si="7"/>
        <v>0</v>
      </c>
      <c r="G74" s="913">
        <f t="shared" si="7"/>
        <v>0</v>
      </c>
      <c r="H74" s="914"/>
    </row>
    <row r="75" spans="1:8">
      <c r="A75" s="918" t="s">
        <v>359</v>
      </c>
      <c r="B75" s="292">
        <f t="shared" si="7"/>
        <v>0</v>
      </c>
      <c r="C75" s="913">
        <f t="shared" si="7"/>
        <v>0</v>
      </c>
      <c r="D75" s="913">
        <f t="shared" si="7"/>
        <v>0</v>
      </c>
      <c r="E75" s="913">
        <f t="shared" si="7"/>
        <v>0</v>
      </c>
      <c r="F75" s="913">
        <f t="shared" si="7"/>
        <v>0</v>
      </c>
      <c r="G75" s="913">
        <f t="shared" si="7"/>
        <v>0</v>
      </c>
      <c r="H75" s="914"/>
    </row>
    <row r="76" spans="1:10">
      <c r="A76" s="918" t="s">
        <v>360</v>
      </c>
      <c r="B76" s="292">
        <f t="shared" si="7"/>
        <v>0</v>
      </c>
      <c r="C76" s="913">
        <f t="shared" si="7"/>
        <v>0</v>
      </c>
      <c r="D76" s="913">
        <f t="shared" si="7"/>
        <v>0</v>
      </c>
      <c r="E76" s="913">
        <f t="shared" si="7"/>
        <v>0</v>
      </c>
      <c r="F76" s="913">
        <f t="shared" si="7"/>
        <v>0</v>
      </c>
      <c r="G76" s="913">
        <f t="shared" si="7"/>
        <v>0</v>
      </c>
      <c r="H76" s="914"/>
      <c r="J76" s="958"/>
    </row>
    <row r="77" spans="1:8">
      <c r="A77" s="918" t="s">
        <v>361</v>
      </c>
      <c r="B77" s="292">
        <f t="shared" si="7"/>
        <v>0</v>
      </c>
      <c r="C77" s="913">
        <f t="shared" si="7"/>
        <v>0</v>
      </c>
      <c r="D77" s="913">
        <f t="shared" si="7"/>
        <v>0</v>
      </c>
      <c r="E77" s="913">
        <f t="shared" si="7"/>
        <v>0</v>
      </c>
      <c r="F77" s="913">
        <f t="shared" si="7"/>
        <v>0</v>
      </c>
      <c r="G77" s="913">
        <f t="shared" si="7"/>
        <v>0</v>
      </c>
      <c r="H77" s="914"/>
    </row>
    <row r="78" spans="1:8">
      <c r="A78" s="924"/>
      <c r="B78" s="292"/>
      <c r="C78" s="913"/>
      <c r="D78" s="913"/>
      <c r="E78" s="913"/>
      <c r="F78" s="913"/>
      <c r="G78" s="913"/>
      <c r="H78" s="914"/>
    </row>
    <row r="79" spans="1:10">
      <c r="A79" s="924"/>
      <c r="B79" s="292"/>
      <c r="C79" s="913"/>
      <c r="D79" s="913"/>
      <c r="E79" s="913"/>
      <c r="F79" s="913"/>
      <c r="G79" s="913"/>
      <c r="H79" s="914"/>
      <c r="J79" s="958"/>
    </row>
    <row r="80" spans="1:8">
      <c r="A80" s="924"/>
      <c r="B80" s="292"/>
      <c r="C80" s="913"/>
      <c r="D80" s="913"/>
      <c r="E80" s="913"/>
      <c r="F80" s="913"/>
      <c r="G80" s="913"/>
      <c r="H80" s="914"/>
    </row>
    <row r="81" spans="1:10">
      <c r="A81" s="924"/>
      <c r="B81" s="292"/>
      <c r="C81" s="913"/>
      <c r="D81" s="913"/>
      <c r="E81" s="913"/>
      <c r="F81" s="913"/>
      <c r="G81" s="913"/>
      <c r="H81" s="914"/>
      <c r="J81" s="958"/>
    </row>
  </sheetData>
  <mergeCells count="29">
    <mergeCell ref="A1:K1"/>
    <mergeCell ref="A2:G2"/>
    <mergeCell ref="I2:K2"/>
    <mergeCell ref="A21:B21"/>
    <mergeCell ref="A22:K22"/>
    <mergeCell ref="A23:G23"/>
    <mergeCell ref="I23:K23"/>
    <mergeCell ref="A42:B42"/>
    <mergeCell ref="A3:A4"/>
    <mergeCell ref="A24:A25"/>
    <mergeCell ref="B3:B4"/>
    <mergeCell ref="B24:B25"/>
    <mergeCell ref="C3:C4"/>
    <mergeCell ref="C24:C25"/>
    <mergeCell ref="D3:D4"/>
    <mergeCell ref="D24:D25"/>
    <mergeCell ref="E3:E4"/>
    <mergeCell ref="E24:E25"/>
    <mergeCell ref="F3:F4"/>
    <mergeCell ref="F24:F25"/>
    <mergeCell ref="G3:G4"/>
    <mergeCell ref="G24:G25"/>
    <mergeCell ref="I3:I4"/>
    <mergeCell ref="I24:I25"/>
    <mergeCell ref="J3:J4"/>
    <mergeCell ref="J24:J25"/>
    <mergeCell ref="K3:K4"/>
    <mergeCell ref="K24:K25"/>
    <mergeCell ref="L24:L25"/>
  </mergeCells>
  <conditionalFormatting sqref="E5:E9">
    <cfRule type="duplicateValues" dxfId="0" priority="1"/>
  </conditionalFormatting>
  <conditionalFormatting sqref="E13:E15">
    <cfRule type="duplicateValues" dxfId="0" priority="2"/>
  </conditionalFormatting>
  <pageMargins left="0.75" right="0.75" top="1" bottom="1" header="0.5" footer="0.5"/>
  <pageSetup paperSize="9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workbookViewId="0">
      <selection activeCell="A3" sqref="A3"/>
    </sheetView>
  </sheetViews>
  <sheetFormatPr defaultColWidth="9" defaultRowHeight="14.25"/>
  <cols>
    <col min="1" max="1" width="9" style="833"/>
    <col min="2" max="2" width="16.5" style="832" customWidth="1"/>
    <col min="3" max="4" width="13.5" style="832" hidden="1" customWidth="1"/>
    <col min="5" max="5" width="11.6" style="832" hidden="1" customWidth="1"/>
    <col min="6" max="6" width="6" style="832" hidden="1" customWidth="1"/>
    <col min="7" max="7" width="11.4" style="832" hidden="1" customWidth="1"/>
    <col min="8" max="8" width="6" style="832" hidden="1" customWidth="1"/>
    <col min="9" max="9" width="11.1" style="832" customWidth="1"/>
    <col min="10" max="10" width="5.9" style="832" customWidth="1"/>
    <col min="11" max="11" width="11.9" style="832" customWidth="1"/>
    <col min="12" max="12" width="5.7" style="832" customWidth="1"/>
    <col min="13" max="13" width="11.4" style="832" customWidth="1"/>
    <col min="14" max="14" width="5.4" style="832" customWidth="1"/>
    <col min="15" max="15" width="7" style="832" customWidth="1"/>
    <col min="16" max="16" width="12.9" style="833" customWidth="1"/>
    <col min="17" max="18" width="13.5" style="833" customWidth="1"/>
    <col min="19" max="19" width="14.5" style="833" customWidth="1"/>
    <col min="20" max="20" width="14.9" style="833" customWidth="1"/>
    <col min="21" max="25" width="16.1" style="833" customWidth="1"/>
    <col min="26" max="258" width="9" style="833"/>
    <col min="259" max="259" width="16.5" style="833" customWidth="1"/>
    <col min="260" max="261" width="9" style="833" hidden="1" customWidth="1"/>
    <col min="262" max="262" width="13.5" style="833" customWidth="1"/>
    <col min="263" max="263" width="6.4" style="833" customWidth="1"/>
    <col min="264" max="264" width="12.5" style="833" customWidth="1"/>
    <col min="265" max="265" width="6" style="833" customWidth="1"/>
    <col min="266" max="266" width="17.2" style="833" customWidth="1"/>
    <col min="267" max="267" width="5.9" style="833" customWidth="1"/>
    <col min="268" max="268" width="13.5" style="833" customWidth="1"/>
    <col min="269" max="269" width="7.1" style="833" customWidth="1"/>
    <col min="270" max="270" width="12.2" style="833" customWidth="1"/>
    <col min="271" max="271" width="6.1" style="833" customWidth="1"/>
    <col min="272" max="272" width="12.9" style="833" customWidth="1"/>
    <col min="273" max="274" width="13.5" style="833" customWidth="1"/>
    <col min="275" max="275" width="14.5" style="833" customWidth="1"/>
    <col min="276" max="276" width="14.9" style="833" customWidth="1"/>
    <col min="277" max="281" width="16.1" style="833" customWidth="1"/>
    <col min="282" max="514" width="9" style="833"/>
    <col min="515" max="515" width="16.5" style="833" customWidth="1"/>
    <col min="516" max="517" width="9" style="833" hidden="1" customWidth="1"/>
    <col min="518" max="518" width="13.5" style="833" customWidth="1"/>
    <col min="519" max="519" width="6.4" style="833" customWidth="1"/>
    <col min="520" max="520" width="12.5" style="833" customWidth="1"/>
    <col min="521" max="521" width="6" style="833" customWidth="1"/>
    <col min="522" max="522" width="17.2" style="833" customWidth="1"/>
    <col min="523" max="523" width="5.9" style="833" customWidth="1"/>
    <col min="524" max="524" width="13.5" style="833" customWidth="1"/>
    <col min="525" max="525" width="7.1" style="833" customWidth="1"/>
    <col min="526" max="526" width="12.2" style="833" customWidth="1"/>
    <col min="527" max="527" width="6.1" style="833" customWidth="1"/>
    <col min="528" max="528" width="12.9" style="833" customWidth="1"/>
    <col min="529" max="530" width="13.5" style="833" customWidth="1"/>
    <col min="531" max="531" width="14.5" style="833" customWidth="1"/>
    <col min="532" max="532" width="14.9" style="833" customWidth="1"/>
    <col min="533" max="537" width="16.1" style="833" customWidth="1"/>
    <col min="538" max="770" width="9" style="833"/>
    <col min="771" max="771" width="16.5" style="833" customWidth="1"/>
    <col min="772" max="773" width="9" style="833" hidden="1" customWidth="1"/>
    <col min="774" max="774" width="13.5" style="833" customWidth="1"/>
    <col min="775" max="775" width="6.4" style="833" customWidth="1"/>
    <col min="776" max="776" width="12.5" style="833" customWidth="1"/>
    <col min="777" max="777" width="6" style="833" customWidth="1"/>
    <col min="778" max="778" width="17.2" style="833" customWidth="1"/>
    <col min="779" max="779" width="5.9" style="833" customWidth="1"/>
    <col min="780" max="780" width="13.5" style="833" customWidth="1"/>
    <col min="781" max="781" width="7.1" style="833" customWidth="1"/>
    <col min="782" max="782" width="12.2" style="833" customWidth="1"/>
    <col min="783" max="783" width="6.1" style="833" customWidth="1"/>
    <col min="784" max="784" width="12.9" style="833" customWidth="1"/>
    <col min="785" max="786" width="13.5" style="833" customWidth="1"/>
    <col min="787" max="787" width="14.5" style="833" customWidth="1"/>
    <col min="788" max="788" width="14.9" style="833" customWidth="1"/>
    <col min="789" max="793" width="16.1" style="833" customWidth="1"/>
    <col min="794" max="1026" width="9" style="833"/>
    <col min="1027" max="1027" width="16.5" style="833" customWidth="1"/>
    <col min="1028" max="1029" width="9" style="833" hidden="1" customWidth="1"/>
    <col min="1030" max="1030" width="13.5" style="833" customWidth="1"/>
    <col min="1031" max="1031" width="6.4" style="833" customWidth="1"/>
    <col min="1032" max="1032" width="12.5" style="833" customWidth="1"/>
    <col min="1033" max="1033" width="6" style="833" customWidth="1"/>
    <col min="1034" max="1034" width="17.2" style="833" customWidth="1"/>
    <col min="1035" max="1035" width="5.9" style="833" customWidth="1"/>
    <col min="1036" max="1036" width="13.5" style="833" customWidth="1"/>
    <col min="1037" max="1037" width="7.1" style="833" customWidth="1"/>
    <col min="1038" max="1038" width="12.2" style="833" customWidth="1"/>
    <col min="1039" max="1039" width="6.1" style="833" customWidth="1"/>
    <col min="1040" max="1040" width="12.9" style="833" customWidth="1"/>
    <col min="1041" max="1042" width="13.5" style="833" customWidth="1"/>
    <col min="1043" max="1043" width="14.5" style="833" customWidth="1"/>
    <col min="1044" max="1044" width="14.9" style="833" customWidth="1"/>
    <col min="1045" max="1049" width="16.1" style="833" customWidth="1"/>
    <col min="1050" max="1282" width="9" style="833"/>
    <col min="1283" max="1283" width="16.5" style="833" customWidth="1"/>
    <col min="1284" max="1285" width="9" style="833" hidden="1" customWidth="1"/>
    <col min="1286" max="1286" width="13.5" style="833" customWidth="1"/>
    <col min="1287" max="1287" width="6.4" style="833" customWidth="1"/>
    <col min="1288" max="1288" width="12.5" style="833" customWidth="1"/>
    <col min="1289" max="1289" width="6" style="833" customWidth="1"/>
    <col min="1290" max="1290" width="17.2" style="833" customWidth="1"/>
    <col min="1291" max="1291" width="5.9" style="833" customWidth="1"/>
    <col min="1292" max="1292" width="13.5" style="833" customWidth="1"/>
    <col min="1293" max="1293" width="7.1" style="833" customWidth="1"/>
    <col min="1294" max="1294" width="12.2" style="833" customWidth="1"/>
    <col min="1295" max="1295" width="6.1" style="833" customWidth="1"/>
    <col min="1296" max="1296" width="12.9" style="833" customWidth="1"/>
    <col min="1297" max="1298" width="13.5" style="833" customWidth="1"/>
    <col min="1299" max="1299" width="14.5" style="833" customWidth="1"/>
    <col min="1300" max="1300" width="14.9" style="833" customWidth="1"/>
    <col min="1301" max="1305" width="16.1" style="833" customWidth="1"/>
    <col min="1306" max="1538" width="9" style="833"/>
    <col min="1539" max="1539" width="16.5" style="833" customWidth="1"/>
    <col min="1540" max="1541" width="9" style="833" hidden="1" customWidth="1"/>
    <col min="1542" max="1542" width="13.5" style="833" customWidth="1"/>
    <col min="1543" max="1543" width="6.4" style="833" customWidth="1"/>
    <col min="1544" max="1544" width="12.5" style="833" customWidth="1"/>
    <col min="1545" max="1545" width="6" style="833" customWidth="1"/>
    <col min="1546" max="1546" width="17.2" style="833" customWidth="1"/>
    <col min="1547" max="1547" width="5.9" style="833" customWidth="1"/>
    <col min="1548" max="1548" width="13.5" style="833" customWidth="1"/>
    <col min="1549" max="1549" width="7.1" style="833" customWidth="1"/>
    <col min="1550" max="1550" width="12.2" style="833" customWidth="1"/>
    <col min="1551" max="1551" width="6.1" style="833" customWidth="1"/>
    <col min="1552" max="1552" width="12.9" style="833" customWidth="1"/>
    <col min="1553" max="1554" width="13.5" style="833" customWidth="1"/>
    <col min="1555" max="1555" width="14.5" style="833" customWidth="1"/>
    <col min="1556" max="1556" width="14.9" style="833" customWidth="1"/>
    <col min="1557" max="1561" width="16.1" style="833" customWidth="1"/>
    <col min="1562" max="1794" width="9" style="833"/>
    <col min="1795" max="1795" width="16.5" style="833" customWidth="1"/>
    <col min="1796" max="1797" width="9" style="833" hidden="1" customWidth="1"/>
    <col min="1798" max="1798" width="13.5" style="833" customWidth="1"/>
    <col min="1799" max="1799" width="6.4" style="833" customWidth="1"/>
    <col min="1800" max="1800" width="12.5" style="833" customWidth="1"/>
    <col min="1801" max="1801" width="6" style="833" customWidth="1"/>
    <col min="1802" max="1802" width="17.2" style="833" customWidth="1"/>
    <col min="1803" max="1803" width="5.9" style="833" customWidth="1"/>
    <col min="1804" max="1804" width="13.5" style="833" customWidth="1"/>
    <col min="1805" max="1805" width="7.1" style="833" customWidth="1"/>
    <col min="1806" max="1806" width="12.2" style="833" customWidth="1"/>
    <col min="1807" max="1807" width="6.1" style="833" customWidth="1"/>
    <col min="1808" max="1808" width="12.9" style="833" customWidth="1"/>
    <col min="1809" max="1810" width="13.5" style="833" customWidth="1"/>
    <col min="1811" max="1811" width="14.5" style="833" customWidth="1"/>
    <col min="1812" max="1812" width="14.9" style="833" customWidth="1"/>
    <col min="1813" max="1817" width="16.1" style="833" customWidth="1"/>
    <col min="1818" max="2050" width="9" style="833"/>
    <col min="2051" max="2051" width="16.5" style="833" customWidth="1"/>
    <col min="2052" max="2053" width="9" style="833" hidden="1" customWidth="1"/>
    <col min="2054" max="2054" width="13.5" style="833" customWidth="1"/>
    <col min="2055" max="2055" width="6.4" style="833" customWidth="1"/>
    <col min="2056" max="2056" width="12.5" style="833" customWidth="1"/>
    <col min="2057" max="2057" width="6" style="833" customWidth="1"/>
    <col min="2058" max="2058" width="17.2" style="833" customWidth="1"/>
    <col min="2059" max="2059" width="5.9" style="833" customWidth="1"/>
    <col min="2060" max="2060" width="13.5" style="833" customWidth="1"/>
    <col min="2061" max="2061" width="7.1" style="833" customWidth="1"/>
    <col min="2062" max="2062" width="12.2" style="833" customWidth="1"/>
    <col min="2063" max="2063" width="6.1" style="833" customWidth="1"/>
    <col min="2064" max="2064" width="12.9" style="833" customWidth="1"/>
    <col min="2065" max="2066" width="13.5" style="833" customWidth="1"/>
    <col min="2067" max="2067" width="14.5" style="833" customWidth="1"/>
    <col min="2068" max="2068" width="14.9" style="833" customWidth="1"/>
    <col min="2069" max="2073" width="16.1" style="833" customWidth="1"/>
    <col min="2074" max="2306" width="9" style="833"/>
    <col min="2307" max="2307" width="16.5" style="833" customWidth="1"/>
    <col min="2308" max="2309" width="9" style="833" hidden="1" customWidth="1"/>
    <col min="2310" max="2310" width="13.5" style="833" customWidth="1"/>
    <col min="2311" max="2311" width="6.4" style="833" customWidth="1"/>
    <col min="2312" max="2312" width="12.5" style="833" customWidth="1"/>
    <col min="2313" max="2313" width="6" style="833" customWidth="1"/>
    <col min="2314" max="2314" width="17.2" style="833" customWidth="1"/>
    <col min="2315" max="2315" width="5.9" style="833" customWidth="1"/>
    <col min="2316" max="2316" width="13.5" style="833" customWidth="1"/>
    <col min="2317" max="2317" width="7.1" style="833" customWidth="1"/>
    <col min="2318" max="2318" width="12.2" style="833" customWidth="1"/>
    <col min="2319" max="2319" width="6.1" style="833" customWidth="1"/>
    <col min="2320" max="2320" width="12.9" style="833" customWidth="1"/>
    <col min="2321" max="2322" width="13.5" style="833" customWidth="1"/>
    <col min="2323" max="2323" width="14.5" style="833" customWidth="1"/>
    <col min="2324" max="2324" width="14.9" style="833" customWidth="1"/>
    <col min="2325" max="2329" width="16.1" style="833" customWidth="1"/>
    <col min="2330" max="2562" width="9" style="833"/>
    <col min="2563" max="2563" width="16.5" style="833" customWidth="1"/>
    <col min="2564" max="2565" width="9" style="833" hidden="1" customWidth="1"/>
    <col min="2566" max="2566" width="13.5" style="833" customWidth="1"/>
    <col min="2567" max="2567" width="6.4" style="833" customWidth="1"/>
    <col min="2568" max="2568" width="12.5" style="833" customWidth="1"/>
    <col min="2569" max="2569" width="6" style="833" customWidth="1"/>
    <col min="2570" max="2570" width="17.2" style="833" customWidth="1"/>
    <col min="2571" max="2571" width="5.9" style="833" customWidth="1"/>
    <col min="2572" max="2572" width="13.5" style="833" customWidth="1"/>
    <col min="2573" max="2573" width="7.1" style="833" customWidth="1"/>
    <col min="2574" max="2574" width="12.2" style="833" customWidth="1"/>
    <col min="2575" max="2575" width="6.1" style="833" customWidth="1"/>
    <col min="2576" max="2576" width="12.9" style="833" customWidth="1"/>
    <col min="2577" max="2578" width="13.5" style="833" customWidth="1"/>
    <col min="2579" max="2579" width="14.5" style="833" customWidth="1"/>
    <col min="2580" max="2580" width="14.9" style="833" customWidth="1"/>
    <col min="2581" max="2585" width="16.1" style="833" customWidth="1"/>
    <col min="2586" max="2818" width="9" style="833"/>
    <col min="2819" max="2819" width="16.5" style="833" customWidth="1"/>
    <col min="2820" max="2821" width="9" style="833" hidden="1" customWidth="1"/>
    <col min="2822" max="2822" width="13.5" style="833" customWidth="1"/>
    <col min="2823" max="2823" width="6.4" style="833" customWidth="1"/>
    <col min="2824" max="2824" width="12.5" style="833" customWidth="1"/>
    <col min="2825" max="2825" width="6" style="833" customWidth="1"/>
    <col min="2826" max="2826" width="17.2" style="833" customWidth="1"/>
    <col min="2827" max="2827" width="5.9" style="833" customWidth="1"/>
    <col min="2828" max="2828" width="13.5" style="833" customWidth="1"/>
    <col min="2829" max="2829" width="7.1" style="833" customWidth="1"/>
    <col min="2830" max="2830" width="12.2" style="833" customWidth="1"/>
    <col min="2831" max="2831" width="6.1" style="833" customWidth="1"/>
    <col min="2832" max="2832" width="12.9" style="833" customWidth="1"/>
    <col min="2833" max="2834" width="13.5" style="833" customWidth="1"/>
    <col min="2835" max="2835" width="14.5" style="833" customWidth="1"/>
    <col min="2836" max="2836" width="14.9" style="833" customWidth="1"/>
    <col min="2837" max="2841" width="16.1" style="833" customWidth="1"/>
    <col min="2842" max="3074" width="9" style="833"/>
    <col min="3075" max="3075" width="16.5" style="833" customWidth="1"/>
    <col min="3076" max="3077" width="9" style="833" hidden="1" customWidth="1"/>
    <col min="3078" max="3078" width="13.5" style="833" customWidth="1"/>
    <col min="3079" max="3079" width="6.4" style="833" customWidth="1"/>
    <col min="3080" max="3080" width="12.5" style="833" customWidth="1"/>
    <col min="3081" max="3081" width="6" style="833" customWidth="1"/>
    <col min="3082" max="3082" width="17.2" style="833" customWidth="1"/>
    <col min="3083" max="3083" width="5.9" style="833" customWidth="1"/>
    <col min="3084" max="3084" width="13.5" style="833" customWidth="1"/>
    <col min="3085" max="3085" width="7.1" style="833" customWidth="1"/>
    <col min="3086" max="3086" width="12.2" style="833" customWidth="1"/>
    <col min="3087" max="3087" width="6.1" style="833" customWidth="1"/>
    <col min="3088" max="3088" width="12.9" style="833" customWidth="1"/>
    <col min="3089" max="3090" width="13.5" style="833" customWidth="1"/>
    <col min="3091" max="3091" width="14.5" style="833" customWidth="1"/>
    <col min="3092" max="3092" width="14.9" style="833" customWidth="1"/>
    <col min="3093" max="3097" width="16.1" style="833" customWidth="1"/>
    <col min="3098" max="3330" width="9" style="833"/>
    <col min="3331" max="3331" width="16.5" style="833" customWidth="1"/>
    <col min="3332" max="3333" width="9" style="833" hidden="1" customWidth="1"/>
    <col min="3334" max="3334" width="13.5" style="833" customWidth="1"/>
    <col min="3335" max="3335" width="6.4" style="833" customWidth="1"/>
    <col min="3336" max="3336" width="12.5" style="833" customWidth="1"/>
    <col min="3337" max="3337" width="6" style="833" customWidth="1"/>
    <col min="3338" max="3338" width="17.2" style="833" customWidth="1"/>
    <col min="3339" max="3339" width="5.9" style="833" customWidth="1"/>
    <col min="3340" max="3340" width="13.5" style="833" customWidth="1"/>
    <col min="3341" max="3341" width="7.1" style="833" customWidth="1"/>
    <col min="3342" max="3342" width="12.2" style="833" customWidth="1"/>
    <col min="3343" max="3343" width="6.1" style="833" customWidth="1"/>
    <col min="3344" max="3344" width="12.9" style="833" customWidth="1"/>
    <col min="3345" max="3346" width="13.5" style="833" customWidth="1"/>
    <col min="3347" max="3347" width="14.5" style="833" customWidth="1"/>
    <col min="3348" max="3348" width="14.9" style="833" customWidth="1"/>
    <col min="3349" max="3353" width="16.1" style="833" customWidth="1"/>
    <col min="3354" max="3586" width="9" style="833"/>
    <col min="3587" max="3587" width="16.5" style="833" customWidth="1"/>
    <col min="3588" max="3589" width="9" style="833" hidden="1" customWidth="1"/>
    <col min="3590" max="3590" width="13.5" style="833" customWidth="1"/>
    <col min="3591" max="3591" width="6.4" style="833" customWidth="1"/>
    <col min="3592" max="3592" width="12.5" style="833" customWidth="1"/>
    <col min="3593" max="3593" width="6" style="833" customWidth="1"/>
    <col min="3594" max="3594" width="17.2" style="833" customWidth="1"/>
    <col min="3595" max="3595" width="5.9" style="833" customWidth="1"/>
    <col min="3596" max="3596" width="13.5" style="833" customWidth="1"/>
    <col min="3597" max="3597" width="7.1" style="833" customWidth="1"/>
    <col min="3598" max="3598" width="12.2" style="833" customWidth="1"/>
    <col min="3599" max="3599" width="6.1" style="833" customWidth="1"/>
    <col min="3600" max="3600" width="12.9" style="833" customWidth="1"/>
    <col min="3601" max="3602" width="13.5" style="833" customWidth="1"/>
    <col min="3603" max="3603" width="14.5" style="833" customWidth="1"/>
    <col min="3604" max="3604" width="14.9" style="833" customWidth="1"/>
    <col min="3605" max="3609" width="16.1" style="833" customWidth="1"/>
    <col min="3610" max="3842" width="9" style="833"/>
    <col min="3843" max="3843" width="16.5" style="833" customWidth="1"/>
    <col min="3844" max="3845" width="9" style="833" hidden="1" customWidth="1"/>
    <col min="3846" max="3846" width="13.5" style="833" customWidth="1"/>
    <col min="3847" max="3847" width="6.4" style="833" customWidth="1"/>
    <col min="3848" max="3848" width="12.5" style="833" customWidth="1"/>
    <col min="3849" max="3849" width="6" style="833" customWidth="1"/>
    <col min="3850" max="3850" width="17.2" style="833" customWidth="1"/>
    <col min="3851" max="3851" width="5.9" style="833" customWidth="1"/>
    <col min="3852" max="3852" width="13.5" style="833" customWidth="1"/>
    <col min="3853" max="3853" width="7.1" style="833" customWidth="1"/>
    <col min="3854" max="3854" width="12.2" style="833" customWidth="1"/>
    <col min="3855" max="3855" width="6.1" style="833" customWidth="1"/>
    <col min="3856" max="3856" width="12.9" style="833" customWidth="1"/>
    <col min="3857" max="3858" width="13.5" style="833" customWidth="1"/>
    <col min="3859" max="3859" width="14.5" style="833" customWidth="1"/>
    <col min="3860" max="3860" width="14.9" style="833" customWidth="1"/>
    <col min="3861" max="3865" width="16.1" style="833" customWidth="1"/>
    <col min="3866" max="4098" width="9" style="833"/>
    <col min="4099" max="4099" width="16.5" style="833" customWidth="1"/>
    <col min="4100" max="4101" width="9" style="833" hidden="1" customWidth="1"/>
    <col min="4102" max="4102" width="13.5" style="833" customWidth="1"/>
    <col min="4103" max="4103" width="6.4" style="833" customWidth="1"/>
    <col min="4104" max="4104" width="12.5" style="833" customWidth="1"/>
    <col min="4105" max="4105" width="6" style="833" customWidth="1"/>
    <col min="4106" max="4106" width="17.2" style="833" customWidth="1"/>
    <col min="4107" max="4107" width="5.9" style="833" customWidth="1"/>
    <col min="4108" max="4108" width="13.5" style="833" customWidth="1"/>
    <col min="4109" max="4109" width="7.1" style="833" customWidth="1"/>
    <col min="4110" max="4110" width="12.2" style="833" customWidth="1"/>
    <col min="4111" max="4111" width="6.1" style="833" customWidth="1"/>
    <col min="4112" max="4112" width="12.9" style="833" customWidth="1"/>
    <col min="4113" max="4114" width="13.5" style="833" customWidth="1"/>
    <col min="4115" max="4115" width="14.5" style="833" customWidth="1"/>
    <col min="4116" max="4116" width="14.9" style="833" customWidth="1"/>
    <col min="4117" max="4121" width="16.1" style="833" customWidth="1"/>
    <col min="4122" max="4354" width="9" style="833"/>
    <col min="4355" max="4355" width="16.5" style="833" customWidth="1"/>
    <col min="4356" max="4357" width="9" style="833" hidden="1" customWidth="1"/>
    <col min="4358" max="4358" width="13.5" style="833" customWidth="1"/>
    <col min="4359" max="4359" width="6.4" style="833" customWidth="1"/>
    <col min="4360" max="4360" width="12.5" style="833" customWidth="1"/>
    <col min="4361" max="4361" width="6" style="833" customWidth="1"/>
    <col min="4362" max="4362" width="17.2" style="833" customWidth="1"/>
    <col min="4363" max="4363" width="5.9" style="833" customWidth="1"/>
    <col min="4364" max="4364" width="13.5" style="833" customWidth="1"/>
    <col min="4365" max="4365" width="7.1" style="833" customWidth="1"/>
    <col min="4366" max="4366" width="12.2" style="833" customWidth="1"/>
    <col min="4367" max="4367" width="6.1" style="833" customWidth="1"/>
    <col min="4368" max="4368" width="12.9" style="833" customWidth="1"/>
    <col min="4369" max="4370" width="13.5" style="833" customWidth="1"/>
    <col min="4371" max="4371" width="14.5" style="833" customWidth="1"/>
    <col min="4372" max="4372" width="14.9" style="833" customWidth="1"/>
    <col min="4373" max="4377" width="16.1" style="833" customWidth="1"/>
    <col min="4378" max="4610" width="9" style="833"/>
    <col min="4611" max="4611" width="16.5" style="833" customWidth="1"/>
    <col min="4612" max="4613" width="9" style="833" hidden="1" customWidth="1"/>
    <col min="4614" max="4614" width="13.5" style="833" customWidth="1"/>
    <col min="4615" max="4615" width="6.4" style="833" customWidth="1"/>
    <col min="4616" max="4616" width="12.5" style="833" customWidth="1"/>
    <col min="4617" max="4617" width="6" style="833" customWidth="1"/>
    <col min="4618" max="4618" width="17.2" style="833" customWidth="1"/>
    <col min="4619" max="4619" width="5.9" style="833" customWidth="1"/>
    <col min="4620" max="4620" width="13.5" style="833" customWidth="1"/>
    <col min="4621" max="4621" width="7.1" style="833" customWidth="1"/>
    <col min="4622" max="4622" width="12.2" style="833" customWidth="1"/>
    <col min="4623" max="4623" width="6.1" style="833" customWidth="1"/>
    <col min="4624" max="4624" width="12.9" style="833" customWidth="1"/>
    <col min="4625" max="4626" width="13.5" style="833" customWidth="1"/>
    <col min="4627" max="4627" width="14.5" style="833" customWidth="1"/>
    <col min="4628" max="4628" width="14.9" style="833" customWidth="1"/>
    <col min="4629" max="4633" width="16.1" style="833" customWidth="1"/>
    <col min="4634" max="4866" width="9" style="833"/>
    <col min="4867" max="4867" width="16.5" style="833" customWidth="1"/>
    <col min="4868" max="4869" width="9" style="833" hidden="1" customWidth="1"/>
    <col min="4870" max="4870" width="13.5" style="833" customWidth="1"/>
    <col min="4871" max="4871" width="6.4" style="833" customWidth="1"/>
    <col min="4872" max="4872" width="12.5" style="833" customWidth="1"/>
    <col min="4873" max="4873" width="6" style="833" customWidth="1"/>
    <col min="4874" max="4874" width="17.2" style="833" customWidth="1"/>
    <col min="4875" max="4875" width="5.9" style="833" customWidth="1"/>
    <col min="4876" max="4876" width="13.5" style="833" customWidth="1"/>
    <col min="4877" max="4877" width="7.1" style="833" customWidth="1"/>
    <col min="4878" max="4878" width="12.2" style="833" customWidth="1"/>
    <col min="4879" max="4879" width="6.1" style="833" customWidth="1"/>
    <col min="4880" max="4880" width="12.9" style="833" customWidth="1"/>
    <col min="4881" max="4882" width="13.5" style="833" customWidth="1"/>
    <col min="4883" max="4883" width="14.5" style="833" customWidth="1"/>
    <col min="4884" max="4884" width="14.9" style="833" customWidth="1"/>
    <col min="4885" max="4889" width="16.1" style="833" customWidth="1"/>
    <col min="4890" max="5122" width="9" style="833"/>
    <col min="5123" max="5123" width="16.5" style="833" customWidth="1"/>
    <col min="5124" max="5125" width="9" style="833" hidden="1" customWidth="1"/>
    <col min="5126" max="5126" width="13.5" style="833" customWidth="1"/>
    <col min="5127" max="5127" width="6.4" style="833" customWidth="1"/>
    <col min="5128" max="5128" width="12.5" style="833" customWidth="1"/>
    <col min="5129" max="5129" width="6" style="833" customWidth="1"/>
    <col min="5130" max="5130" width="17.2" style="833" customWidth="1"/>
    <col min="5131" max="5131" width="5.9" style="833" customWidth="1"/>
    <col min="5132" max="5132" width="13.5" style="833" customWidth="1"/>
    <col min="5133" max="5133" width="7.1" style="833" customWidth="1"/>
    <col min="5134" max="5134" width="12.2" style="833" customWidth="1"/>
    <col min="5135" max="5135" width="6.1" style="833" customWidth="1"/>
    <col min="5136" max="5136" width="12.9" style="833" customWidth="1"/>
    <col min="5137" max="5138" width="13.5" style="833" customWidth="1"/>
    <col min="5139" max="5139" width="14.5" style="833" customWidth="1"/>
    <col min="5140" max="5140" width="14.9" style="833" customWidth="1"/>
    <col min="5141" max="5145" width="16.1" style="833" customWidth="1"/>
    <col min="5146" max="5378" width="9" style="833"/>
    <col min="5379" max="5379" width="16.5" style="833" customWidth="1"/>
    <col min="5380" max="5381" width="9" style="833" hidden="1" customWidth="1"/>
    <col min="5382" max="5382" width="13.5" style="833" customWidth="1"/>
    <col min="5383" max="5383" width="6.4" style="833" customWidth="1"/>
    <col min="5384" max="5384" width="12.5" style="833" customWidth="1"/>
    <col min="5385" max="5385" width="6" style="833" customWidth="1"/>
    <col min="5386" max="5386" width="17.2" style="833" customWidth="1"/>
    <col min="5387" max="5387" width="5.9" style="833" customWidth="1"/>
    <col min="5388" max="5388" width="13.5" style="833" customWidth="1"/>
    <col min="5389" max="5389" width="7.1" style="833" customWidth="1"/>
    <col min="5390" max="5390" width="12.2" style="833" customWidth="1"/>
    <col min="5391" max="5391" width="6.1" style="833" customWidth="1"/>
    <col min="5392" max="5392" width="12.9" style="833" customWidth="1"/>
    <col min="5393" max="5394" width="13.5" style="833" customWidth="1"/>
    <col min="5395" max="5395" width="14.5" style="833" customWidth="1"/>
    <col min="5396" max="5396" width="14.9" style="833" customWidth="1"/>
    <col min="5397" max="5401" width="16.1" style="833" customWidth="1"/>
    <col min="5402" max="5634" width="9" style="833"/>
    <col min="5635" max="5635" width="16.5" style="833" customWidth="1"/>
    <col min="5636" max="5637" width="9" style="833" hidden="1" customWidth="1"/>
    <col min="5638" max="5638" width="13.5" style="833" customWidth="1"/>
    <col min="5639" max="5639" width="6.4" style="833" customWidth="1"/>
    <col min="5640" max="5640" width="12.5" style="833" customWidth="1"/>
    <col min="5641" max="5641" width="6" style="833" customWidth="1"/>
    <col min="5642" max="5642" width="17.2" style="833" customWidth="1"/>
    <col min="5643" max="5643" width="5.9" style="833" customWidth="1"/>
    <col min="5644" max="5644" width="13.5" style="833" customWidth="1"/>
    <col min="5645" max="5645" width="7.1" style="833" customWidth="1"/>
    <col min="5646" max="5646" width="12.2" style="833" customWidth="1"/>
    <col min="5647" max="5647" width="6.1" style="833" customWidth="1"/>
    <col min="5648" max="5648" width="12.9" style="833" customWidth="1"/>
    <col min="5649" max="5650" width="13.5" style="833" customWidth="1"/>
    <col min="5651" max="5651" width="14.5" style="833" customWidth="1"/>
    <col min="5652" max="5652" width="14.9" style="833" customWidth="1"/>
    <col min="5653" max="5657" width="16.1" style="833" customWidth="1"/>
    <col min="5658" max="5890" width="9" style="833"/>
    <col min="5891" max="5891" width="16.5" style="833" customWidth="1"/>
    <col min="5892" max="5893" width="9" style="833" hidden="1" customWidth="1"/>
    <col min="5894" max="5894" width="13.5" style="833" customWidth="1"/>
    <col min="5895" max="5895" width="6.4" style="833" customWidth="1"/>
    <col min="5896" max="5896" width="12.5" style="833" customWidth="1"/>
    <col min="5897" max="5897" width="6" style="833" customWidth="1"/>
    <col min="5898" max="5898" width="17.2" style="833" customWidth="1"/>
    <col min="5899" max="5899" width="5.9" style="833" customWidth="1"/>
    <col min="5900" max="5900" width="13.5" style="833" customWidth="1"/>
    <col min="5901" max="5901" width="7.1" style="833" customWidth="1"/>
    <col min="5902" max="5902" width="12.2" style="833" customWidth="1"/>
    <col min="5903" max="5903" width="6.1" style="833" customWidth="1"/>
    <col min="5904" max="5904" width="12.9" style="833" customWidth="1"/>
    <col min="5905" max="5906" width="13.5" style="833" customWidth="1"/>
    <col min="5907" max="5907" width="14.5" style="833" customWidth="1"/>
    <col min="5908" max="5908" width="14.9" style="833" customWidth="1"/>
    <col min="5909" max="5913" width="16.1" style="833" customWidth="1"/>
    <col min="5914" max="6146" width="9" style="833"/>
    <col min="6147" max="6147" width="16.5" style="833" customWidth="1"/>
    <col min="6148" max="6149" width="9" style="833" hidden="1" customWidth="1"/>
    <col min="6150" max="6150" width="13.5" style="833" customWidth="1"/>
    <col min="6151" max="6151" width="6.4" style="833" customWidth="1"/>
    <col min="6152" max="6152" width="12.5" style="833" customWidth="1"/>
    <col min="6153" max="6153" width="6" style="833" customWidth="1"/>
    <col min="6154" max="6154" width="17.2" style="833" customWidth="1"/>
    <col min="6155" max="6155" width="5.9" style="833" customWidth="1"/>
    <col min="6156" max="6156" width="13.5" style="833" customWidth="1"/>
    <col min="6157" max="6157" width="7.1" style="833" customWidth="1"/>
    <col min="6158" max="6158" width="12.2" style="833" customWidth="1"/>
    <col min="6159" max="6159" width="6.1" style="833" customWidth="1"/>
    <col min="6160" max="6160" width="12.9" style="833" customWidth="1"/>
    <col min="6161" max="6162" width="13.5" style="833" customWidth="1"/>
    <col min="6163" max="6163" width="14.5" style="833" customWidth="1"/>
    <col min="6164" max="6164" width="14.9" style="833" customWidth="1"/>
    <col min="6165" max="6169" width="16.1" style="833" customWidth="1"/>
    <col min="6170" max="6402" width="9" style="833"/>
    <col min="6403" max="6403" width="16.5" style="833" customWidth="1"/>
    <col min="6404" max="6405" width="9" style="833" hidden="1" customWidth="1"/>
    <col min="6406" max="6406" width="13.5" style="833" customWidth="1"/>
    <col min="6407" max="6407" width="6.4" style="833" customWidth="1"/>
    <col min="6408" max="6408" width="12.5" style="833" customWidth="1"/>
    <col min="6409" max="6409" width="6" style="833" customWidth="1"/>
    <col min="6410" max="6410" width="17.2" style="833" customWidth="1"/>
    <col min="6411" max="6411" width="5.9" style="833" customWidth="1"/>
    <col min="6412" max="6412" width="13.5" style="833" customWidth="1"/>
    <col min="6413" max="6413" width="7.1" style="833" customWidth="1"/>
    <col min="6414" max="6414" width="12.2" style="833" customWidth="1"/>
    <col min="6415" max="6415" width="6.1" style="833" customWidth="1"/>
    <col min="6416" max="6416" width="12.9" style="833" customWidth="1"/>
    <col min="6417" max="6418" width="13.5" style="833" customWidth="1"/>
    <col min="6419" max="6419" width="14.5" style="833" customWidth="1"/>
    <col min="6420" max="6420" width="14.9" style="833" customWidth="1"/>
    <col min="6421" max="6425" width="16.1" style="833" customWidth="1"/>
    <col min="6426" max="6658" width="9" style="833"/>
    <col min="6659" max="6659" width="16.5" style="833" customWidth="1"/>
    <col min="6660" max="6661" width="9" style="833" hidden="1" customWidth="1"/>
    <col min="6662" max="6662" width="13.5" style="833" customWidth="1"/>
    <col min="6663" max="6663" width="6.4" style="833" customWidth="1"/>
    <col min="6664" max="6664" width="12.5" style="833" customWidth="1"/>
    <col min="6665" max="6665" width="6" style="833" customWidth="1"/>
    <col min="6666" max="6666" width="17.2" style="833" customWidth="1"/>
    <col min="6667" max="6667" width="5.9" style="833" customWidth="1"/>
    <col min="6668" max="6668" width="13.5" style="833" customWidth="1"/>
    <col min="6669" max="6669" width="7.1" style="833" customWidth="1"/>
    <col min="6670" max="6670" width="12.2" style="833" customWidth="1"/>
    <col min="6671" max="6671" width="6.1" style="833" customWidth="1"/>
    <col min="6672" max="6672" width="12.9" style="833" customWidth="1"/>
    <col min="6673" max="6674" width="13.5" style="833" customWidth="1"/>
    <col min="6675" max="6675" width="14.5" style="833" customWidth="1"/>
    <col min="6676" max="6676" width="14.9" style="833" customWidth="1"/>
    <col min="6677" max="6681" width="16.1" style="833" customWidth="1"/>
    <col min="6682" max="6914" width="9" style="833"/>
    <col min="6915" max="6915" width="16.5" style="833" customWidth="1"/>
    <col min="6916" max="6917" width="9" style="833" hidden="1" customWidth="1"/>
    <col min="6918" max="6918" width="13.5" style="833" customWidth="1"/>
    <col min="6919" max="6919" width="6.4" style="833" customWidth="1"/>
    <col min="6920" max="6920" width="12.5" style="833" customWidth="1"/>
    <col min="6921" max="6921" width="6" style="833" customWidth="1"/>
    <col min="6922" max="6922" width="17.2" style="833" customWidth="1"/>
    <col min="6923" max="6923" width="5.9" style="833" customWidth="1"/>
    <col min="6924" max="6924" width="13.5" style="833" customWidth="1"/>
    <col min="6925" max="6925" width="7.1" style="833" customWidth="1"/>
    <col min="6926" max="6926" width="12.2" style="833" customWidth="1"/>
    <col min="6927" max="6927" width="6.1" style="833" customWidth="1"/>
    <col min="6928" max="6928" width="12.9" style="833" customWidth="1"/>
    <col min="6929" max="6930" width="13.5" style="833" customWidth="1"/>
    <col min="6931" max="6931" width="14.5" style="833" customWidth="1"/>
    <col min="6932" max="6932" width="14.9" style="833" customWidth="1"/>
    <col min="6933" max="6937" width="16.1" style="833" customWidth="1"/>
    <col min="6938" max="7170" width="9" style="833"/>
    <col min="7171" max="7171" width="16.5" style="833" customWidth="1"/>
    <col min="7172" max="7173" width="9" style="833" hidden="1" customWidth="1"/>
    <col min="7174" max="7174" width="13.5" style="833" customWidth="1"/>
    <col min="7175" max="7175" width="6.4" style="833" customWidth="1"/>
    <col min="7176" max="7176" width="12.5" style="833" customWidth="1"/>
    <col min="7177" max="7177" width="6" style="833" customWidth="1"/>
    <col min="7178" max="7178" width="17.2" style="833" customWidth="1"/>
    <col min="7179" max="7179" width="5.9" style="833" customWidth="1"/>
    <col min="7180" max="7180" width="13.5" style="833" customWidth="1"/>
    <col min="7181" max="7181" width="7.1" style="833" customWidth="1"/>
    <col min="7182" max="7182" width="12.2" style="833" customWidth="1"/>
    <col min="7183" max="7183" width="6.1" style="833" customWidth="1"/>
    <col min="7184" max="7184" width="12.9" style="833" customWidth="1"/>
    <col min="7185" max="7186" width="13.5" style="833" customWidth="1"/>
    <col min="7187" max="7187" width="14.5" style="833" customWidth="1"/>
    <col min="7188" max="7188" width="14.9" style="833" customWidth="1"/>
    <col min="7189" max="7193" width="16.1" style="833" customWidth="1"/>
    <col min="7194" max="7426" width="9" style="833"/>
    <col min="7427" max="7427" width="16.5" style="833" customWidth="1"/>
    <col min="7428" max="7429" width="9" style="833" hidden="1" customWidth="1"/>
    <col min="7430" max="7430" width="13.5" style="833" customWidth="1"/>
    <col min="7431" max="7431" width="6.4" style="833" customWidth="1"/>
    <col min="7432" max="7432" width="12.5" style="833" customWidth="1"/>
    <col min="7433" max="7433" width="6" style="833" customWidth="1"/>
    <col min="7434" max="7434" width="17.2" style="833" customWidth="1"/>
    <col min="7435" max="7435" width="5.9" style="833" customWidth="1"/>
    <col min="7436" max="7436" width="13.5" style="833" customWidth="1"/>
    <col min="7437" max="7437" width="7.1" style="833" customWidth="1"/>
    <col min="7438" max="7438" width="12.2" style="833" customWidth="1"/>
    <col min="7439" max="7439" width="6.1" style="833" customWidth="1"/>
    <col min="7440" max="7440" width="12.9" style="833" customWidth="1"/>
    <col min="7441" max="7442" width="13.5" style="833" customWidth="1"/>
    <col min="7443" max="7443" width="14.5" style="833" customWidth="1"/>
    <col min="7444" max="7444" width="14.9" style="833" customWidth="1"/>
    <col min="7445" max="7449" width="16.1" style="833" customWidth="1"/>
    <col min="7450" max="7682" width="9" style="833"/>
    <col min="7683" max="7683" width="16.5" style="833" customWidth="1"/>
    <col min="7684" max="7685" width="9" style="833" hidden="1" customWidth="1"/>
    <col min="7686" max="7686" width="13.5" style="833" customWidth="1"/>
    <col min="7687" max="7687" width="6.4" style="833" customWidth="1"/>
    <col min="7688" max="7688" width="12.5" style="833" customWidth="1"/>
    <col min="7689" max="7689" width="6" style="833" customWidth="1"/>
    <col min="7690" max="7690" width="17.2" style="833" customWidth="1"/>
    <col min="7691" max="7691" width="5.9" style="833" customWidth="1"/>
    <col min="7692" max="7692" width="13.5" style="833" customWidth="1"/>
    <col min="7693" max="7693" width="7.1" style="833" customWidth="1"/>
    <col min="7694" max="7694" width="12.2" style="833" customWidth="1"/>
    <col min="7695" max="7695" width="6.1" style="833" customWidth="1"/>
    <col min="7696" max="7696" width="12.9" style="833" customWidth="1"/>
    <col min="7697" max="7698" width="13.5" style="833" customWidth="1"/>
    <col min="7699" max="7699" width="14.5" style="833" customWidth="1"/>
    <col min="7700" max="7700" width="14.9" style="833" customWidth="1"/>
    <col min="7701" max="7705" width="16.1" style="833" customWidth="1"/>
    <col min="7706" max="7938" width="9" style="833"/>
    <col min="7939" max="7939" width="16.5" style="833" customWidth="1"/>
    <col min="7940" max="7941" width="9" style="833" hidden="1" customWidth="1"/>
    <col min="7942" max="7942" width="13.5" style="833" customWidth="1"/>
    <col min="7943" max="7943" width="6.4" style="833" customWidth="1"/>
    <col min="7944" max="7944" width="12.5" style="833" customWidth="1"/>
    <col min="7945" max="7945" width="6" style="833" customWidth="1"/>
    <col min="7946" max="7946" width="17.2" style="833" customWidth="1"/>
    <col min="7947" max="7947" width="5.9" style="833" customWidth="1"/>
    <col min="7948" max="7948" width="13.5" style="833" customWidth="1"/>
    <col min="7949" max="7949" width="7.1" style="833" customWidth="1"/>
    <col min="7950" max="7950" width="12.2" style="833" customWidth="1"/>
    <col min="7951" max="7951" width="6.1" style="833" customWidth="1"/>
    <col min="7952" max="7952" width="12.9" style="833" customWidth="1"/>
    <col min="7953" max="7954" width="13.5" style="833" customWidth="1"/>
    <col min="7955" max="7955" width="14.5" style="833" customWidth="1"/>
    <col min="7956" max="7956" width="14.9" style="833" customWidth="1"/>
    <col min="7957" max="7961" width="16.1" style="833" customWidth="1"/>
    <col min="7962" max="8194" width="9" style="833"/>
    <col min="8195" max="8195" width="16.5" style="833" customWidth="1"/>
    <col min="8196" max="8197" width="9" style="833" hidden="1" customWidth="1"/>
    <col min="8198" max="8198" width="13.5" style="833" customWidth="1"/>
    <col min="8199" max="8199" width="6.4" style="833" customWidth="1"/>
    <col min="8200" max="8200" width="12.5" style="833" customWidth="1"/>
    <col min="8201" max="8201" width="6" style="833" customWidth="1"/>
    <col min="8202" max="8202" width="17.2" style="833" customWidth="1"/>
    <col min="8203" max="8203" width="5.9" style="833" customWidth="1"/>
    <col min="8204" max="8204" width="13.5" style="833" customWidth="1"/>
    <col min="8205" max="8205" width="7.1" style="833" customWidth="1"/>
    <col min="8206" max="8206" width="12.2" style="833" customWidth="1"/>
    <col min="8207" max="8207" width="6.1" style="833" customWidth="1"/>
    <col min="8208" max="8208" width="12.9" style="833" customWidth="1"/>
    <col min="8209" max="8210" width="13.5" style="833" customWidth="1"/>
    <col min="8211" max="8211" width="14.5" style="833" customWidth="1"/>
    <col min="8212" max="8212" width="14.9" style="833" customWidth="1"/>
    <col min="8213" max="8217" width="16.1" style="833" customWidth="1"/>
    <col min="8218" max="8450" width="9" style="833"/>
    <col min="8451" max="8451" width="16.5" style="833" customWidth="1"/>
    <col min="8452" max="8453" width="9" style="833" hidden="1" customWidth="1"/>
    <col min="8454" max="8454" width="13.5" style="833" customWidth="1"/>
    <col min="8455" max="8455" width="6.4" style="833" customWidth="1"/>
    <col min="8456" max="8456" width="12.5" style="833" customWidth="1"/>
    <col min="8457" max="8457" width="6" style="833" customWidth="1"/>
    <col min="8458" max="8458" width="17.2" style="833" customWidth="1"/>
    <col min="8459" max="8459" width="5.9" style="833" customWidth="1"/>
    <col min="8460" max="8460" width="13.5" style="833" customWidth="1"/>
    <col min="8461" max="8461" width="7.1" style="833" customWidth="1"/>
    <col min="8462" max="8462" width="12.2" style="833" customWidth="1"/>
    <col min="8463" max="8463" width="6.1" style="833" customWidth="1"/>
    <col min="8464" max="8464" width="12.9" style="833" customWidth="1"/>
    <col min="8465" max="8466" width="13.5" style="833" customWidth="1"/>
    <col min="8467" max="8467" width="14.5" style="833" customWidth="1"/>
    <col min="8468" max="8468" width="14.9" style="833" customWidth="1"/>
    <col min="8469" max="8473" width="16.1" style="833" customWidth="1"/>
    <col min="8474" max="8706" width="9" style="833"/>
    <col min="8707" max="8707" width="16.5" style="833" customWidth="1"/>
    <col min="8708" max="8709" width="9" style="833" hidden="1" customWidth="1"/>
    <col min="8710" max="8710" width="13.5" style="833" customWidth="1"/>
    <col min="8711" max="8711" width="6.4" style="833" customWidth="1"/>
    <col min="8712" max="8712" width="12.5" style="833" customWidth="1"/>
    <col min="8713" max="8713" width="6" style="833" customWidth="1"/>
    <col min="8714" max="8714" width="17.2" style="833" customWidth="1"/>
    <col min="8715" max="8715" width="5.9" style="833" customWidth="1"/>
    <col min="8716" max="8716" width="13.5" style="833" customWidth="1"/>
    <col min="8717" max="8717" width="7.1" style="833" customWidth="1"/>
    <col min="8718" max="8718" width="12.2" style="833" customWidth="1"/>
    <col min="8719" max="8719" width="6.1" style="833" customWidth="1"/>
    <col min="8720" max="8720" width="12.9" style="833" customWidth="1"/>
    <col min="8721" max="8722" width="13.5" style="833" customWidth="1"/>
    <col min="8723" max="8723" width="14.5" style="833" customWidth="1"/>
    <col min="8724" max="8724" width="14.9" style="833" customWidth="1"/>
    <col min="8725" max="8729" width="16.1" style="833" customWidth="1"/>
    <col min="8730" max="8962" width="9" style="833"/>
    <col min="8963" max="8963" width="16.5" style="833" customWidth="1"/>
    <col min="8964" max="8965" width="9" style="833" hidden="1" customWidth="1"/>
    <col min="8966" max="8966" width="13.5" style="833" customWidth="1"/>
    <col min="8967" max="8967" width="6.4" style="833" customWidth="1"/>
    <col min="8968" max="8968" width="12.5" style="833" customWidth="1"/>
    <col min="8969" max="8969" width="6" style="833" customWidth="1"/>
    <col min="8970" max="8970" width="17.2" style="833" customWidth="1"/>
    <col min="8971" max="8971" width="5.9" style="833" customWidth="1"/>
    <col min="8972" max="8972" width="13.5" style="833" customWidth="1"/>
    <col min="8973" max="8973" width="7.1" style="833" customWidth="1"/>
    <col min="8974" max="8974" width="12.2" style="833" customWidth="1"/>
    <col min="8975" max="8975" width="6.1" style="833" customWidth="1"/>
    <col min="8976" max="8976" width="12.9" style="833" customWidth="1"/>
    <col min="8977" max="8978" width="13.5" style="833" customWidth="1"/>
    <col min="8979" max="8979" width="14.5" style="833" customWidth="1"/>
    <col min="8980" max="8980" width="14.9" style="833" customWidth="1"/>
    <col min="8981" max="8985" width="16.1" style="833" customWidth="1"/>
    <col min="8986" max="9218" width="9" style="833"/>
    <col min="9219" max="9219" width="16.5" style="833" customWidth="1"/>
    <col min="9220" max="9221" width="9" style="833" hidden="1" customWidth="1"/>
    <col min="9222" max="9222" width="13.5" style="833" customWidth="1"/>
    <col min="9223" max="9223" width="6.4" style="833" customWidth="1"/>
    <col min="9224" max="9224" width="12.5" style="833" customWidth="1"/>
    <col min="9225" max="9225" width="6" style="833" customWidth="1"/>
    <col min="9226" max="9226" width="17.2" style="833" customWidth="1"/>
    <col min="9227" max="9227" width="5.9" style="833" customWidth="1"/>
    <col min="9228" max="9228" width="13.5" style="833" customWidth="1"/>
    <col min="9229" max="9229" width="7.1" style="833" customWidth="1"/>
    <col min="9230" max="9230" width="12.2" style="833" customWidth="1"/>
    <col min="9231" max="9231" width="6.1" style="833" customWidth="1"/>
    <col min="9232" max="9232" width="12.9" style="833" customWidth="1"/>
    <col min="9233" max="9234" width="13.5" style="833" customWidth="1"/>
    <col min="9235" max="9235" width="14.5" style="833" customWidth="1"/>
    <col min="9236" max="9236" width="14.9" style="833" customWidth="1"/>
    <col min="9237" max="9241" width="16.1" style="833" customWidth="1"/>
    <col min="9242" max="9474" width="9" style="833"/>
    <col min="9475" max="9475" width="16.5" style="833" customWidth="1"/>
    <col min="9476" max="9477" width="9" style="833" hidden="1" customWidth="1"/>
    <col min="9478" max="9478" width="13.5" style="833" customWidth="1"/>
    <col min="9479" max="9479" width="6.4" style="833" customWidth="1"/>
    <col min="9480" max="9480" width="12.5" style="833" customWidth="1"/>
    <col min="9481" max="9481" width="6" style="833" customWidth="1"/>
    <col min="9482" max="9482" width="17.2" style="833" customWidth="1"/>
    <col min="9483" max="9483" width="5.9" style="833" customWidth="1"/>
    <col min="9484" max="9484" width="13.5" style="833" customWidth="1"/>
    <col min="9485" max="9485" width="7.1" style="833" customWidth="1"/>
    <col min="9486" max="9486" width="12.2" style="833" customWidth="1"/>
    <col min="9487" max="9487" width="6.1" style="833" customWidth="1"/>
    <col min="9488" max="9488" width="12.9" style="833" customWidth="1"/>
    <col min="9489" max="9490" width="13.5" style="833" customWidth="1"/>
    <col min="9491" max="9491" width="14.5" style="833" customWidth="1"/>
    <col min="9492" max="9492" width="14.9" style="833" customWidth="1"/>
    <col min="9493" max="9497" width="16.1" style="833" customWidth="1"/>
    <col min="9498" max="9730" width="9" style="833"/>
    <col min="9731" max="9731" width="16.5" style="833" customWidth="1"/>
    <col min="9732" max="9733" width="9" style="833" hidden="1" customWidth="1"/>
    <col min="9734" max="9734" width="13.5" style="833" customWidth="1"/>
    <col min="9735" max="9735" width="6.4" style="833" customWidth="1"/>
    <col min="9736" max="9736" width="12.5" style="833" customWidth="1"/>
    <col min="9737" max="9737" width="6" style="833" customWidth="1"/>
    <col min="9738" max="9738" width="17.2" style="833" customWidth="1"/>
    <col min="9739" max="9739" width="5.9" style="833" customWidth="1"/>
    <col min="9740" max="9740" width="13.5" style="833" customWidth="1"/>
    <col min="9741" max="9741" width="7.1" style="833" customWidth="1"/>
    <col min="9742" max="9742" width="12.2" style="833" customWidth="1"/>
    <col min="9743" max="9743" width="6.1" style="833" customWidth="1"/>
    <col min="9744" max="9744" width="12.9" style="833" customWidth="1"/>
    <col min="9745" max="9746" width="13.5" style="833" customWidth="1"/>
    <col min="9747" max="9747" width="14.5" style="833" customWidth="1"/>
    <col min="9748" max="9748" width="14.9" style="833" customWidth="1"/>
    <col min="9749" max="9753" width="16.1" style="833" customWidth="1"/>
    <col min="9754" max="9986" width="9" style="833"/>
    <col min="9987" max="9987" width="16.5" style="833" customWidth="1"/>
    <col min="9988" max="9989" width="9" style="833" hidden="1" customWidth="1"/>
    <col min="9990" max="9990" width="13.5" style="833" customWidth="1"/>
    <col min="9991" max="9991" width="6.4" style="833" customWidth="1"/>
    <col min="9992" max="9992" width="12.5" style="833" customWidth="1"/>
    <col min="9993" max="9993" width="6" style="833" customWidth="1"/>
    <col min="9994" max="9994" width="17.2" style="833" customWidth="1"/>
    <col min="9995" max="9995" width="5.9" style="833" customWidth="1"/>
    <col min="9996" max="9996" width="13.5" style="833" customWidth="1"/>
    <col min="9997" max="9997" width="7.1" style="833" customWidth="1"/>
    <col min="9998" max="9998" width="12.2" style="833" customWidth="1"/>
    <col min="9999" max="9999" width="6.1" style="833" customWidth="1"/>
    <col min="10000" max="10000" width="12.9" style="833" customWidth="1"/>
    <col min="10001" max="10002" width="13.5" style="833" customWidth="1"/>
    <col min="10003" max="10003" width="14.5" style="833" customWidth="1"/>
    <col min="10004" max="10004" width="14.9" style="833" customWidth="1"/>
    <col min="10005" max="10009" width="16.1" style="833" customWidth="1"/>
    <col min="10010" max="10242" width="9" style="833"/>
    <col min="10243" max="10243" width="16.5" style="833" customWidth="1"/>
    <col min="10244" max="10245" width="9" style="833" hidden="1" customWidth="1"/>
    <col min="10246" max="10246" width="13.5" style="833" customWidth="1"/>
    <col min="10247" max="10247" width="6.4" style="833" customWidth="1"/>
    <col min="10248" max="10248" width="12.5" style="833" customWidth="1"/>
    <col min="10249" max="10249" width="6" style="833" customWidth="1"/>
    <col min="10250" max="10250" width="17.2" style="833" customWidth="1"/>
    <col min="10251" max="10251" width="5.9" style="833" customWidth="1"/>
    <col min="10252" max="10252" width="13.5" style="833" customWidth="1"/>
    <col min="10253" max="10253" width="7.1" style="833" customWidth="1"/>
    <col min="10254" max="10254" width="12.2" style="833" customWidth="1"/>
    <col min="10255" max="10255" width="6.1" style="833" customWidth="1"/>
    <col min="10256" max="10256" width="12.9" style="833" customWidth="1"/>
    <col min="10257" max="10258" width="13.5" style="833" customWidth="1"/>
    <col min="10259" max="10259" width="14.5" style="833" customWidth="1"/>
    <col min="10260" max="10260" width="14.9" style="833" customWidth="1"/>
    <col min="10261" max="10265" width="16.1" style="833" customWidth="1"/>
    <col min="10266" max="10498" width="9" style="833"/>
    <col min="10499" max="10499" width="16.5" style="833" customWidth="1"/>
    <col min="10500" max="10501" width="9" style="833" hidden="1" customWidth="1"/>
    <col min="10502" max="10502" width="13.5" style="833" customWidth="1"/>
    <col min="10503" max="10503" width="6.4" style="833" customWidth="1"/>
    <col min="10504" max="10504" width="12.5" style="833" customWidth="1"/>
    <col min="10505" max="10505" width="6" style="833" customWidth="1"/>
    <col min="10506" max="10506" width="17.2" style="833" customWidth="1"/>
    <col min="10507" max="10507" width="5.9" style="833" customWidth="1"/>
    <col min="10508" max="10508" width="13.5" style="833" customWidth="1"/>
    <col min="10509" max="10509" width="7.1" style="833" customWidth="1"/>
    <col min="10510" max="10510" width="12.2" style="833" customWidth="1"/>
    <col min="10511" max="10511" width="6.1" style="833" customWidth="1"/>
    <col min="10512" max="10512" width="12.9" style="833" customWidth="1"/>
    <col min="10513" max="10514" width="13.5" style="833" customWidth="1"/>
    <col min="10515" max="10515" width="14.5" style="833" customWidth="1"/>
    <col min="10516" max="10516" width="14.9" style="833" customWidth="1"/>
    <col min="10517" max="10521" width="16.1" style="833" customWidth="1"/>
    <col min="10522" max="10754" width="9" style="833"/>
    <col min="10755" max="10755" width="16.5" style="833" customWidth="1"/>
    <col min="10756" max="10757" width="9" style="833" hidden="1" customWidth="1"/>
    <col min="10758" max="10758" width="13.5" style="833" customWidth="1"/>
    <col min="10759" max="10759" width="6.4" style="833" customWidth="1"/>
    <col min="10760" max="10760" width="12.5" style="833" customWidth="1"/>
    <col min="10761" max="10761" width="6" style="833" customWidth="1"/>
    <col min="10762" max="10762" width="17.2" style="833" customWidth="1"/>
    <col min="10763" max="10763" width="5.9" style="833" customWidth="1"/>
    <col min="10764" max="10764" width="13.5" style="833" customWidth="1"/>
    <col min="10765" max="10765" width="7.1" style="833" customWidth="1"/>
    <col min="10766" max="10766" width="12.2" style="833" customWidth="1"/>
    <col min="10767" max="10767" width="6.1" style="833" customWidth="1"/>
    <col min="10768" max="10768" width="12.9" style="833" customWidth="1"/>
    <col min="10769" max="10770" width="13.5" style="833" customWidth="1"/>
    <col min="10771" max="10771" width="14.5" style="833" customWidth="1"/>
    <col min="10772" max="10772" width="14.9" style="833" customWidth="1"/>
    <col min="10773" max="10777" width="16.1" style="833" customWidth="1"/>
    <col min="10778" max="11010" width="9" style="833"/>
    <col min="11011" max="11011" width="16.5" style="833" customWidth="1"/>
    <col min="11012" max="11013" width="9" style="833" hidden="1" customWidth="1"/>
    <col min="11014" max="11014" width="13.5" style="833" customWidth="1"/>
    <col min="11015" max="11015" width="6.4" style="833" customWidth="1"/>
    <col min="11016" max="11016" width="12.5" style="833" customWidth="1"/>
    <col min="11017" max="11017" width="6" style="833" customWidth="1"/>
    <col min="11018" max="11018" width="17.2" style="833" customWidth="1"/>
    <col min="11019" max="11019" width="5.9" style="833" customWidth="1"/>
    <col min="11020" max="11020" width="13.5" style="833" customWidth="1"/>
    <col min="11021" max="11021" width="7.1" style="833" customWidth="1"/>
    <col min="11022" max="11022" width="12.2" style="833" customWidth="1"/>
    <col min="11023" max="11023" width="6.1" style="833" customWidth="1"/>
    <col min="11024" max="11024" width="12.9" style="833" customWidth="1"/>
    <col min="11025" max="11026" width="13.5" style="833" customWidth="1"/>
    <col min="11027" max="11027" width="14.5" style="833" customWidth="1"/>
    <col min="11028" max="11028" width="14.9" style="833" customWidth="1"/>
    <col min="11029" max="11033" width="16.1" style="833" customWidth="1"/>
    <col min="11034" max="11266" width="9" style="833"/>
    <col min="11267" max="11267" width="16.5" style="833" customWidth="1"/>
    <col min="11268" max="11269" width="9" style="833" hidden="1" customWidth="1"/>
    <col min="11270" max="11270" width="13.5" style="833" customWidth="1"/>
    <col min="11271" max="11271" width="6.4" style="833" customWidth="1"/>
    <col min="11272" max="11272" width="12.5" style="833" customWidth="1"/>
    <col min="11273" max="11273" width="6" style="833" customWidth="1"/>
    <col min="11274" max="11274" width="17.2" style="833" customWidth="1"/>
    <col min="11275" max="11275" width="5.9" style="833" customWidth="1"/>
    <col min="11276" max="11276" width="13.5" style="833" customWidth="1"/>
    <col min="11277" max="11277" width="7.1" style="833" customWidth="1"/>
    <col min="11278" max="11278" width="12.2" style="833" customWidth="1"/>
    <col min="11279" max="11279" width="6.1" style="833" customWidth="1"/>
    <col min="11280" max="11280" width="12.9" style="833" customWidth="1"/>
    <col min="11281" max="11282" width="13.5" style="833" customWidth="1"/>
    <col min="11283" max="11283" width="14.5" style="833" customWidth="1"/>
    <col min="11284" max="11284" width="14.9" style="833" customWidth="1"/>
    <col min="11285" max="11289" width="16.1" style="833" customWidth="1"/>
    <col min="11290" max="11522" width="9" style="833"/>
    <col min="11523" max="11523" width="16.5" style="833" customWidth="1"/>
    <col min="11524" max="11525" width="9" style="833" hidden="1" customWidth="1"/>
    <col min="11526" max="11526" width="13.5" style="833" customWidth="1"/>
    <col min="11527" max="11527" width="6.4" style="833" customWidth="1"/>
    <col min="11528" max="11528" width="12.5" style="833" customWidth="1"/>
    <col min="11529" max="11529" width="6" style="833" customWidth="1"/>
    <col min="11530" max="11530" width="17.2" style="833" customWidth="1"/>
    <col min="11531" max="11531" width="5.9" style="833" customWidth="1"/>
    <col min="11532" max="11532" width="13.5" style="833" customWidth="1"/>
    <col min="11533" max="11533" width="7.1" style="833" customWidth="1"/>
    <col min="11534" max="11534" width="12.2" style="833" customWidth="1"/>
    <col min="11535" max="11535" width="6.1" style="833" customWidth="1"/>
    <col min="11536" max="11536" width="12.9" style="833" customWidth="1"/>
    <col min="11537" max="11538" width="13.5" style="833" customWidth="1"/>
    <col min="11539" max="11539" width="14.5" style="833" customWidth="1"/>
    <col min="11540" max="11540" width="14.9" style="833" customWidth="1"/>
    <col min="11541" max="11545" width="16.1" style="833" customWidth="1"/>
    <col min="11546" max="11778" width="9" style="833"/>
    <col min="11779" max="11779" width="16.5" style="833" customWidth="1"/>
    <col min="11780" max="11781" width="9" style="833" hidden="1" customWidth="1"/>
    <col min="11782" max="11782" width="13.5" style="833" customWidth="1"/>
    <col min="11783" max="11783" width="6.4" style="833" customWidth="1"/>
    <col min="11784" max="11784" width="12.5" style="833" customWidth="1"/>
    <col min="11785" max="11785" width="6" style="833" customWidth="1"/>
    <col min="11786" max="11786" width="17.2" style="833" customWidth="1"/>
    <col min="11787" max="11787" width="5.9" style="833" customWidth="1"/>
    <col min="11788" max="11788" width="13.5" style="833" customWidth="1"/>
    <col min="11789" max="11789" width="7.1" style="833" customWidth="1"/>
    <col min="11790" max="11790" width="12.2" style="833" customWidth="1"/>
    <col min="11791" max="11791" width="6.1" style="833" customWidth="1"/>
    <col min="11792" max="11792" width="12.9" style="833" customWidth="1"/>
    <col min="11793" max="11794" width="13.5" style="833" customWidth="1"/>
    <col min="11795" max="11795" width="14.5" style="833" customWidth="1"/>
    <col min="11796" max="11796" width="14.9" style="833" customWidth="1"/>
    <col min="11797" max="11801" width="16.1" style="833" customWidth="1"/>
    <col min="11802" max="12034" width="9" style="833"/>
    <col min="12035" max="12035" width="16.5" style="833" customWidth="1"/>
    <col min="12036" max="12037" width="9" style="833" hidden="1" customWidth="1"/>
    <col min="12038" max="12038" width="13.5" style="833" customWidth="1"/>
    <col min="12039" max="12039" width="6.4" style="833" customWidth="1"/>
    <col min="12040" max="12040" width="12.5" style="833" customWidth="1"/>
    <col min="12041" max="12041" width="6" style="833" customWidth="1"/>
    <col min="12042" max="12042" width="17.2" style="833" customWidth="1"/>
    <col min="12043" max="12043" width="5.9" style="833" customWidth="1"/>
    <col min="12044" max="12044" width="13.5" style="833" customWidth="1"/>
    <col min="12045" max="12045" width="7.1" style="833" customWidth="1"/>
    <col min="12046" max="12046" width="12.2" style="833" customWidth="1"/>
    <col min="12047" max="12047" width="6.1" style="833" customWidth="1"/>
    <col min="12048" max="12048" width="12.9" style="833" customWidth="1"/>
    <col min="12049" max="12050" width="13.5" style="833" customWidth="1"/>
    <col min="12051" max="12051" width="14.5" style="833" customWidth="1"/>
    <col min="12052" max="12052" width="14.9" style="833" customWidth="1"/>
    <col min="12053" max="12057" width="16.1" style="833" customWidth="1"/>
    <col min="12058" max="12290" width="9" style="833"/>
    <col min="12291" max="12291" width="16.5" style="833" customWidth="1"/>
    <col min="12292" max="12293" width="9" style="833" hidden="1" customWidth="1"/>
    <col min="12294" max="12294" width="13.5" style="833" customWidth="1"/>
    <col min="12295" max="12295" width="6.4" style="833" customWidth="1"/>
    <col min="12296" max="12296" width="12.5" style="833" customWidth="1"/>
    <col min="12297" max="12297" width="6" style="833" customWidth="1"/>
    <col min="12298" max="12298" width="17.2" style="833" customWidth="1"/>
    <col min="12299" max="12299" width="5.9" style="833" customWidth="1"/>
    <col min="12300" max="12300" width="13.5" style="833" customWidth="1"/>
    <col min="12301" max="12301" width="7.1" style="833" customWidth="1"/>
    <col min="12302" max="12302" width="12.2" style="833" customWidth="1"/>
    <col min="12303" max="12303" width="6.1" style="833" customWidth="1"/>
    <col min="12304" max="12304" width="12.9" style="833" customWidth="1"/>
    <col min="12305" max="12306" width="13.5" style="833" customWidth="1"/>
    <col min="12307" max="12307" width="14.5" style="833" customWidth="1"/>
    <col min="12308" max="12308" width="14.9" style="833" customWidth="1"/>
    <col min="12309" max="12313" width="16.1" style="833" customWidth="1"/>
    <col min="12314" max="12546" width="9" style="833"/>
    <col min="12547" max="12547" width="16.5" style="833" customWidth="1"/>
    <col min="12548" max="12549" width="9" style="833" hidden="1" customWidth="1"/>
    <col min="12550" max="12550" width="13.5" style="833" customWidth="1"/>
    <col min="12551" max="12551" width="6.4" style="833" customWidth="1"/>
    <col min="12552" max="12552" width="12.5" style="833" customWidth="1"/>
    <col min="12553" max="12553" width="6" style="833" customWidth="1"/>
    <col min="12554" max="12554" width="17.2" style="833" customWidth="1"/>
    <col min="12555" max="12555" width="5.9" style="833" customWidth="1"/>
    <col min="12556" max="12556" width="13.5" style="833" customWidth="1"/>
    <col min="12557" max="12557" width="7.1" style="833" customWidth="1"/>
    <col min="12558" max="12558" width="12.2" style="833" customWidth="1"/>
    <col min="12559" max="12559" width="6.1" style="833" customWidth="1"/>
    <col min="12560" max="12560" width="12.9" style="833" customWidth="1"/>
    <col min="12561" max="12562" width="13.5" style="833" customWidth="1"/>
    <col min="12563" max="12563" width="14.5" style="833" customWidth="1"/>
    <col min="12564" max="12564" width="14.9" style="833" customWidth="1"/>
    <col min="12565" max="12569" width="16.1" style="833" customWidth="1"/>
    <col min="12570" max="12802" width="9" style="833"/>
    <col min="12803" max="12803" width="16.5" style="833" customWidth="1"/>
    <col min="12804" max="12805" width="9" style="833" hidden="1" customWidth="1"/>
    <col min="12806" max="12806" width="13.5" style="833" customWidth="1"/>
    <col min="12807" max="12807" width="6.4" style="833" customWidth="1"/>
    <col min="12808" max="12808" width="12.5" style="833" customWidth="1"/>
    <col min="12809" max="12809" width="6" style="833" customWidth="1"/>
    <col min="12810" max="12810" width="17.2" style="833" customWidth="1"/>
    <col min="12811" max="12811" width="5.9" style="833" customWidth="1"/>
    <col min="12812" max="12812" width="13.5" style="833" customWidth="1"/>
    <col min="12813" max="12813" width="7.1" style="833" customWidth="1"/>
    <col min="12814" max="12814" width="12.2" style="833" customWidth="1"/>
    <col min="12815" max="12815" width="6.1" style="833" customWidth="1"/>
    <col min="12816" max="12816" width="12.9" style="833" customWidth="1"/>
    <col min="12817" max="12818" width="13.5" style="833" customWidth="1"/>
    <col min="12819" max="12819" width="14.5" style="833" customWidth="1"/>
    <col min="12820" max="12820" width="14.9" style="833" customWidth="1"/>
    <col min="12821" max="12825" width="16.1" style="833" customWidth="1"/>
    <col min="12826" max="13058" width="9" style="833"/>
    <col min="13059" max="13059" width="16.5" style="833" customWidth="1"/>
    <col min="13060" max="13061" width="9" style="833" hidden="1" customWidth="1"/>
    <col min="13062" max="13062" width="13.5" style="833" customWidth="1"/>
    <col min="13063" max="13063" width="6.4" style="833" customWidth="1"/>
    <col min="13064" max="13064" width="12.5" style="833" customWidth="1"/>
    <col min="13065" max="13065" width="6" style="833" customWidth="1"/>
    <col min="13066" max="13066" width="17.2" style="833" customWidth="1"/>
    <col min="13067" max="13067" width="5.9" style="833" customWidth="1"/>
    <col min="13068" max="13068" width="13.5" style="833" customWidth="1"/>
    <col min="13069" max="13069" width="7.1" style="833" customWidth="1"/>
    <col min="13070" max="13070" width="12.2" style="833" customWidth="1"/>
    <col min="13071" max="13071" width="6.1" style="833" customWidth="1"/>
    <col min="13072" max="13072" width="12.9" style="833" customWidth="1"/>
    <col min="13073" max="13074" width="13.5" style="833" customWidth="1"/>
    <col min="13075" max="13075" width="14.5" style="833" customWidth="1"/>
    <col min="13076" max="13076" width="14.9" style="833" customWidth="1"/>
    <col min="13077" max="13081" width="16.1" style="833" customWidth="1"/>
    <col min="13082" max="13314" width="9" style="833"/>
    <col min="13315" max="13315" width="16.5" style="833" customWidth="1"/>
    <col min="13316" max="13317" width="9" style="833" hidden="1" customWidth="1"/>
    <col min="13318" max="13318" width="13.5" style="833" customWidth="1"/>
    <col min="13319" max="13319" width="6.4" style="833" customWidth="1"/>
    <col min="13320" max="13320" width="12.5" style="833" customWidth="1"/>
    <col min="13321" max="13321" width="6" style="833" customWidth="1"/>
    <col min="13322" max="13322" width="17.2" style="833" customWidth="1"/>
    <col min="13323" max="13323" width="5.9" style="833" customWidth="1"/>
    <col min="13324" max="13324" width="13.5" style="833" customWidth="1"/>
    <col min="13325" max="13325" width="7.1" style="833" customWidth="1"/>
    <col min="13326" max="13326" width="12.2" style="833" customWidth="1"/>
    <col min="13327" max="13327" width="6.1" style="833" customWidth="1"/>
    <col min="13328" max="13328" width="12.9" style="833" customWidth="1"/>
    <col min="13329" max="13330" width="13.5" style="833" customWidth="1"/>
    <col min="13331" max="13331" width="14.5" style="833" customWidth="1"/>
    <col min="13332" max="13332" width="14.9" style="833" customWidth="1"/>
    <col min="13333" max="13337" width="16.1" style="833" customWidth="1"/>
    <col min="13338" max="13570" width="9" style="833"/>
    <col min="13571" max="13571" width="16.5" style="833" customWidth="1"/>
    <col min="13572" max="13573" width="9" style="833" hidden="1" customWidth="1"/>
    <col min="13574" max="13574" width="13.5" style="833" customWidth="1"/>
    <col min="13575" max="13575" width="6.4" style="833" customWidth="1"/>
    <col min="13576" max="13576" width="12.5" style="833" customWidth="1"/>
    <col min="13577" max="13577" width="6" style="833" customWidth="1"/>
    <col min="13578" max="13578" width="17.2" style="833" customWidth="1"/>
    <col min="13579" max="13579" width="5.9" style="833" customWidth="1"/>
    <col min="13580" max="13580" width="13.5" style="833" customWidth="1"/>
    <col min="13581" max="13581" width="7.1" style="833" customWidth="1"/>
    <col min="13582" max="13582" width="12.2" style="833" customWidth="1"/>
    <col min="13583" max="13583" width="6.1" style="833" customWidth="1"/>
    <col min="13584" max="13584" width="12.9" style="833" customWidth="1"/>
    <col min="13585" max="13586" width="13.5" style="833" customWidth="1"/>
    <col min="13587" max="13587" width="14.5" style="833" customWidth="1"/>
    <col min="13588" max="13588" width="14.9" style="833" customWidth="1"/>
    <col min="13589" max="13593" width="16.1" style="833" customWidth="1"/>
    <col min="13594" max="13826" width="9" style="833"/>
    <col min="13827" max="13827" width="16.5" style="833" customWidth="1"/>
    <col min="13828" max="13829" width="9" style="833" hidden="1" customWidth="1"/>
    <col min="13830" max="13830" width="13.5" style="833" customWidth="1"/>
    <col min="13831" max="13831" width="6.4" style="833" customWidth="1"/>
    <col min="13832" max="13832" width="12.5" style="833" customWidth="1"/>
    <col min="13833" max="13833" width="6" style="833" customWidth="1"/>
    <col min="13834" max="13834" width="17.2" style="833" customWidth="1"/>
    <col min="13835" max="13835" width="5.9" style="833" customWidth="1"/>
    <col min="13836" max="13836" width="13.5" style="833" customWidth="1"/>
    <col min="13837" max="13837" width="7.1" style="833" customWidth="1"/>
    <col min="13838" max="13838" width="12.2" style="833" customWidth="1"/>
    <col min="13839" max="13839" width="6.1" style="833" customWidth="1"/>
    <col min="13840" max="13840" width="12.9" style="833" customWidth="1"/>
    <col min="13841" max="13842" width="13.5" style="833" customWidth="1"/>
    <col min="13843" max="13843" width="14.5" style="833" customWidth="1"/>
    <col min="13844" max="13844" width="14.9" style="833" customWidth="1"/>
    <col min="13845" max="13849" width="16.1" style="833" customWidth="1"/>
    <col min="13850" max="14082" width="9" style="833"/>
    <col min="14083" max="14083" width="16.5" style="833" customWidth="1"/>
    <col min="14084" max="14085" width="9" style="833" hidden="1" customWidth="1"/>
    <col min="14086" max="14086" width="13.5" style="833" customWidth="1"/>
    <col min="14087" max="14087" width="6.4" style="833" customWidth="1"/>
    <col min="14088" max="14088" width="12.5" style="833" customWidth="1"/>
    <col min="14089" max="14089" width="6" style="833" customWidth="1"/>
    <col min="14090" max="14090" width="17.2" style="833" customWidth="1"/>
    <col min="14091" max="14091" width="5.9" style="833" customWidth="1"/>
    <col min="14092" max="14092" width="13.5" style="833" customWidth="1"/>
    <col min="14093" max="14093" width="7.1" style="833" customWidth="1"/>
    <col min="14094" max="14094" width="12.2" style="833" customWidth="1"/>
    <col min="14095" max="14095" width="6.1" style="833" customWidth="1"/>
    <col min="14096" max="14096" width="12.9" style="833" customWidth="1"/>
    <col min="14097" max="14098" width="13.5" style="833" customWidth="1"/>
    <col min="14099" max="14099" width="14.5" style="833" customWidth="1"/>
    <col min="14100" max="14100" width="14.9" style="833" customWidth="1"/>
    <col min="14101" max="14105" width="16.1" style="833" customWidth="1"/>
    <col min="14106" max="14338" width="9" style="833"/>
    <col min="14339" max="14339" width="16.5" style="833" customWidth="1"/>
    <col min="14340" max="14341" width="9" style="833" hidden="1" customWidth="1"/>
    <col min="14342" max="14342" width="13.5" style="833" customWidth="1"/>
    <col min="14343" max="14343" width="6.4" style="833" customWidth="1"/>
    <col min="14344" max="14344" width="12.5" style="833" customWidth="1"/>
    <col min="14345" max="14345" width="6" style="833" customWidth="1"/>
    <col min="14346" max="14346" width="17.2" style="833" customWidth="1"/>
    <col min="14347" max="14347" width="5.9" style="833" customWidth="1"/>
    <col min="14348" max="14348" width="13.5" style="833" customWidth="1"/>
    <col min="14349" max="14349" width="7.1" style="833" customWidth="1"/>
    <col min="14350" max="14350" width="12.2" style="833" customWidth="1"/>
    <col min="14351" max="14351" width="6.1" style="833" customWidth="1"/>
    <col min="14352" max="14352" width="12.9" style="833" customWidth="1"/>
    <col min="14353" max="14354" width="13.5" style="833" customWidth="1"/>
    <col min="14355" max="14355" width="14.5" style="833" customWidth="1"/>
    <col min="14356" max="14356" width="14.9" style="833" customWidth="1"/>
    <col min="14357" max="14361" width="16.1" style="833" customWidth="1"/>
    <col min="14362" max="14594" width="9" style="833"/>
    <col min="14595" max="14595" width="16.5" style="833" customWidth="1"/>
    <col min="14596" max="14597" width="9" style="833" hidden="1" customWidth="1"/>
    <col min="14598" max="14598" width="13.5" style="833" customWidth="1"/>
    <col min="14599" max="14599" width="6.4" style="833" customWidth="1"/>
    <col min="14600" max="14600" width="12.5" style="833" customWidth="1"/>
    <col min="14601" max="14601" width="6" style="833" customWidth="1"/>
    <col min="14602" max="14602" width="17.2" style="833" customWidth="1"/>
    <col min="14603" max="14603" width="5.9" style="833" customWidth="1"/>
    <col min="14604" max="14604" width="13.5" style="833" customWidth="1"/>
    <col min="14605" max="14605" width="7.1" style="833" customWidth="1"/>
    <col min="14606" max="14606" width="12.2" style="833" customWidth="1"/>
    <col min="14607" max="14607" width="6.1" style="833" customWidth="1"/>
    <col min="14608" max="14608" width="12.9" style="833" customWidth="1"/>
    <col min="14609" max="14610" width="13.5" style="833" customWidth="1"/>
    <col min="14611" max="14611" width="14.5" style="833" customWidth="1"/>
    <col min="14612" max="14612" width="14.9" style="833" customWidth="1"/>
    <col min="14613" max="14617" width="16.1" style="833" customWidth="1"/>
    <col min="14618" max="14850" width="9" style="833"/>
    <col min="14851" max="14851" width="16.5" style="833" customWidth="1"/>
    <col min="14852" max="14853" width="9" style="833" hidden="1" customWidth="1"/>
    <col min="14854" max="14854" width="13.5" style="833" customWidth="1"/>
    <col min="14855" max="14855" width="6.4" style="833" customWidth="1"/>
    <col min="14856" max="14856" width="12.5" style="833" customWidth="1"/>
    <col min="14857" max="14857" width="6" style="833" customWidth="1"/>
    <col min="14858" max="14858" width="17.2" style="833" customWidth="1"/>
    <col min="14859" max="14859" width="5.9" style="833" customWidth="1"/>
    <col min="14860" max="14860" width="13.5" style="833" customWidth="1"/>
    <col min="14861" max="14861" width="7.1" style="833" customWidth="1"/>
    <col min="14862" max="14862" width="12.2" style="833" customWidth="1"/>
    <col min="14863" max="14863" width="6.1" style="833" customWidth="1"/>
    <col min="14864" max="14864" width="12.9" style="833" customWidth="1"/>
    <col min="14865" max="14866" width="13.5" style="833" customWidth="1"/>
    <col min="14867" max="14867" width="14.5" style="833" customWidth="1"/>
    <col min="14868" max="14868" width="14.9" style="833" customWidth="1"/>
    <col min="14869" max="14873" width="16.1" style="833" customWidth="1"/>
    <col min="14874" max="15106" width="9" style="833"/>
    <col min="15107" max="15107" width="16.5" style="833" customWidth="1"/>
    <col min="15108" max="15109" width="9" style="833" hidden="1" customWidth="1"/>
    <col min="15110" max="15110" width="13.5" style="833" customWidth="1"/>
    <col min="15111" max="15111" width="6.4" style="833" customWidth="1"/>
    <col min="15112" max="15112" width="12.5" style="833" customWidth="1"/>
    <col min="15113" max="15113" width="6" style="833" customWidth="1"/>
    <col min="15114" max="15114" width="17.2" style="833" customWidth="1"/>
    <col min="15115" max="15115" width="5.9" style="833" customWidth="1"/>
    <col min="15116" max="15116" width="13.5" style="833" customWidth="1"/>
    <col min="15117" max="15117" width="7.1" style="833" customWidth="1"/>
    <col min="15118" max="15118" width="12.2" style="833" customWidth="1"/>
    <col min="15119" max="15119" width="6.1" style="833" customWidth="1"/>
    <col min="15120" max="15120" width="12.9" style="833" customWidth="1"/>
    <col min="15121" max="15122" width="13.5" style="833" customWidth="1"/>
    <col min="15123" max="15123" width="14.5" style="833" customWidth="1"/>
    <col min="15124" max="15124" width="14.9" style="833" customWidth="1"/>
    <col min="15125" max="15129" width="16.1" style="833" customWidth="1"/>
    <col min="15130" max="15362" width="9" style="833"/>
    <col min="15363" max="15363" width="16.5" style="833" customWidth="1"/>
    <col min="15364" max="15365" width="9" style="833" hidden="1" customWidth="1"/>
    <col min="15366" max="15366" width="13.5" style="833" customWidth="1"/>
    <col min="15367" max="15367" width="6.4" style="833" customWidth="1"/>
    <col min="15368" max="15368" width="12.5" style="833" customWidth="1"/>
    <col min="15369" max="15369" width="6" style="833" customWidth="1"/>
    <col min="15370" max="15370" width="17.2" style="833" customWidth="1"/>
    <col min="15371" max="15371" width="5.9" style="833" customWidth="1"/>
    <col min="15372" max="15372" width="13.5" style="833" customWidth="1"/>
    <col min="15373" max="15373" width="7.1" style="833" customWidth="1"/>
    <col min="15374" max="15374" width="12.2" style="833" customWidth="1"/>
    <col min="15375" max="15375" width="6.1" style="833" customWidth="1"/>
    <col min="15376" max="15376" width="12.9" style="833" customWidth="1"/>
    <col min="15377" max="15378" width="13.5" style="833" customWidth="1"/>
    <col min="15379" max="15379" width="14.5" style="833" customWidth="1"/>
    <col min="15380" max="15380" width="14.9" style="833" customWidth="1"/>
    <col min="15381" max="15385" width="16.1" style="833" customWidth="1"/>
    <col min="15386" max="15618" width="9" style="833"/>
    <col min="15619" max="15619" width="16.5" style="833" customWidth="1"/>
    <col min="15620" max="15621" width="9" style="833" hidden="1" customWidth="1"/>
    <col min="15622" max="15622" width="13.5" style="833" customWidth="1"/>
    <col min="15623" max="15623" width="6.4" style="833" customWidth="1"/>
    <col min="15624" max="15624" width="12.5" style="833" customWidth="1"/>
    <col min="15625" max="15625" width="6" style="833" customWidth="1"/>
    <col min="15626" max="15626" width="17.2" style="833" customWidth="1"/>
    <col min="15627" max="15627" width="5.9" style="833" customWidth="1"/>
    <col min="15628" max="15628" width="13.5" style="833" customWidth="1"/>
    <col min="15629" max="15629" width="7.1" style="833" customWidth="1"/>
    <col min="15630" max="15630" width="12.2" style="833" customWidth="1"/>
    <col min="15631" max="15631" width="6.1" style="833" customWidth="1"/>
    <col min="15632" max="15632" width="12.9" style="833" customWidth="1"/>
    <col min="15633" max="15634" width="13.5" style="833" customWidth="1"/>
    <col min="15635" max="15635" width="14.5" style="833" customWidth="1"/>
    <col min="15636" max="15636" width="14.9" style="833" customWidth="1"/>
    <col min="15637" max="15641" width="16.1" style="833" customWidth="1"/>
    <col min="15642" max="15874" width="9" style="833"/>
    <col min="15875" max="15875" width="16.5" style="833" customWidth="1"/>
    <col min="15876" max="15877" width="9" style="833" hidden="1" customWidth="1"/>
    <col min="15878" max="15878" width="13.5" style="833" customWidth="1"/>
    <col min="15879" max="15879" width="6.4" style="833" customWidth="1"/>
    <col min="15880" max="15880" width="12.5" style="833" customWidth="1"/>
    <col min="15881" max="15881" width="6" style="833" customWidth="1"/>
    <col min="15882" max="15882" width="17.2" style="833" customWidth="1"/>
    <col min="15883" max="15883" width="5.9" style="833" customWidth="1"/>
    <col min="15884" max="15884" width="13.5" style="833" customWidth="1"/>
    <col min="15885" max="15885" width="7.1" style="833" customWidth="1"/>
    <col min="15886" max="15886" width="12.2" style="833" customWidth="1"/>
    <col min="15887" max="15887" width="6.1" style="833" customWidth="1"/>
    <col min="15888" max="15888" width="12.9" style="833" customWidth="1"/>
    <col min="15889" max="15890" width="13.5" style="833" customWidth="1"/>
    <col min="15891" max="15891" width="14.5" style="833" customWidth="1"/>
    <col min="15892" max="15892" width="14.9" style="833" customWidth="1"/>
    <col min="15893" max="15897" width="16.1" style="833" customWidth="1"/>
    <col min="15898" max="16130" width="9" style="833"/>
    <col min="16131" max="16131" width="16.5" style="833" customWidth="1"/>
    <col min="16132" max="16133" width="9" style="833" hidden="1" customWidth="1"/>
    <col min="16134" max="16134" width="13.5" style="833" customWidth="1"/>
    <col min="16135" max="16135" width="6.4" style="833" customWidth="1"/>
    <col min="16136" max="16136" width="12.5" style="833" customWidth="1"/>
    <col min="16137" max="16137" width="6" style="833" customWidth="1"/>
    <col min="16138" max="16138" width="17.2" style="833" customWidth="1"/>
    <col min="16139" max="16139" width="5.9" style="833" customWidth="1"/>
    <col min="16140" max="16140" width="13.5" style="833" customWidth="1"/>
    <col min="16141" max="16141" width="7.1" style="833" customWidth="1"/>
    <col min="16142" max="16142" width="12.2" style="833" customWidth="1"/>
    <col min="16143" max="16143" width="6.1" style="833" customWidth="1"/>
    <col min="16144" max="16144" width="12.9" style="833" customWidth="1"/>
    <col min="16145" max="16146" width="13.5" style="833" customWidth="1"/>
    <col min="16147" max="16147" width="14.5" style="833" customWidth="1"/>
    <col min="16148" max="16148" width="14.9" style="833" customWidth="1"/>
    <col min="16149" max="16153" width="16.1" style="833" customWidth="1"/>
    <col min="16154" max="16384" width="9" style="833"/>
  </cols>
  <sheetData>
    <row r="1" ht="24" customHeight="1" spans="1:21">
      <c r="A1" s="834" t="s">
        <v>364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4"/>
      <c r="P1" s="834"/>
      <c r="Q1" s="834"/>
      <c r="R1" s="834"/>
      <c r="S1" s="834"/>
      <c r="T1" s="834"/>
      <c r="U1" s="862"/>
    </row>
    <row r="2" ht="24" customHeight="1" spans="1:20">
      <c r="A2" s="832"/>
      <c r="P2" s="832"/>
      <c r="Q2" s="376" t="str">
        <f>[35]封面!A11</f>
        <v>评估基准日:2017年12月31日</v>
      </c>
      <c r="R2" s="832"/>
      <c r="S2" s="832"/>
      <c r="T2" s="832"/>
    </row>
    <row r="3" spans="1:20">
      <c r="A3" s="835"/>
      <c r="T3" s="262" t="s">
        <v>365</v>
      </c>
    </row>
    <row r="4" spans="1:20">
      <c r="A4" s="571"/>
      <c r="C4" s="836"/>
      <c r="D4" s="836"/>
      <c r="E4" s="836"/>
      <c r="F4" s="836"/>
      <c r="G4" s="836"/>
      <c r="H4" s="836"/>
      <c r="I4" s="836"/>
      <c r="J4" s="836"/>
      <c r="K4" s="853"/>
      <c r="L4" s="853"/>
      <c r="M4" s="854"/>
      <c r="N4" s="854"/>
      <c r="O4" s="854"/>
      <c r="P4" s="855">
        <v>0.04</v>
      </c>
      <c r="Q4" s="855">
        <v>0.04</v>
      </c>
      <c r="R4" s="855">
        <v>0.04</v>
      </c>
      <c r="S4" s="855">
        <v>0.04</v>
      </c>
      <c r="T4" s="855">
        <v>0.04</v>
      </c>
    </row>
    <row r="5" spans="1:20">
      <c r="A5" s="576"/>
      <c r="B5" s="837"/>
      <c r="C5" s="838" t="s">
        <v>366</v>
      </c>
      <c r="D5" s="839"/>
      <c r="E5" s="839"/>
      <c r="F5" s="839"/>
      <c r="G5" s="839"/>
      <c r="H5" s="839"/>
      <c r="I5" s="839"/>
      <c r="J5" s="839"/>
      <c r="K5" s="839"/>
      <c r="L5" s="839"/>
      <c r="M5" s="839"/>
      <c r="N5" s="856"/>
      <c r="O5" s="857" t="s">
        <v>367</v>
      </c>
      <c r="P5" s="838" t="s">
        <v>368</v>
      </c>
      <c r="Q5" s="839"/>
      <c r="R5" s="839"/>
      <c r="S5" s="839"/>
      <c r="T5" s="856"/>
    </row>
    <row r="6" s="832" customFormat="1" spans="1:20">
      <c r="A6" s="837" t="s">
        <v>195</v>
      </c>
      <c r="B6" s="837"/>
      <c r="C6" s="840" t="str">
        <f>[35]未来收入预测表!C6</f>
        <v>2013年</v>
      </c>
      <c r="D6" s="840" t="str">
        <f>[35]未来收入预测表!D6</f>
        <v>2014年</v>
      </c>
      <c r="E6" s="840" t="s">
        <v>369</v>
      </c>
      <c r="F6" s="840"/>
      <c r="G6" s="840" t="s">
        <v>370</v>
      </c>
      <c r="H6" s="840"/>
      <c r="I6" s="840" t="str">
        <f>[35]未来收入预测表!E6</f>
        <v>2015年</v>
      </c>
      <c r="J6" s="840"/>
      <c r="K6" s="840" t="str">
        <f>[35]未来收入预测表!F6</f>
        <v>2016年</v>
      </c>
      <c r="L6" s="840"/>
      <c r="M6" s="840" t="str">
        <f>[35]未来收入预测表!G6</f>
        <v>2017年</v>
      </c>
      <c r="N6" s="840"/>
      <c r="O6" s="858"/>
      <c r="P6" s="840" t="str">
        <f>[35]未来收入预测表!H6</f>
        <v>2018年</v>
      </c>
      <c r="Q6" s="840" t="str">
        <f>[35]未来收入预测表!I6</f>
        <v>2019年</v>
      </c>
      <c r="R6" s="840" t="str">
        <f>[35]未来收入预测表!J6</f>
        <v>2020年</v>
      </c>
      <c r="S6" s="840" t="str">
        <f>[35]未来收入预测表!K6</f>
        <v>2021年</v>
      </c>
      <c r="T6" s="840" t="str">
        <f>[35]未来收入预测表!L6</f>
        <v>2022年</v>
      </c>
    </row>
    <row r="7" spans="1:25">
      <c r="A7" s="841" t="s">
        <v>220</v>
      </c>
      <c r="B7" s="842" t="s">
        <v>371</v>
      </c>
      <c r="C7" s="843">
        <v>14748904.72</v>
      </c>
      <c r="D7" s="843">
        <v>10224823.68</v>
      </c>
      <c r="E7" s="843">
        <v>1474.89</v>
      </c>
      <c r="F7" s="844" t="e">
        <f>E7/'收入--历史经营情况分析'!#REF!</f>
        <v>#REF!</v>
      </c>
      <c r="G7" s="843">
        <v>1022.48</v>
      </c>
      <c r="H7" s="844" t="e">
        <f>G7/'收入--历史经营情况分析'!#REF!</f>
        <v>#REF!</v>
      </c>
      <c r="I7" s="843">
        <v>920.73</v>
      </c>
      <c r="J7" s="844" t="e">
        <f>I7/'收入--历史经营情况分析'!#REF!</f>
        <v>#REF!</v>
      </c>
      <c r="K7" s="843">
        <v>771.42</v>
      </c>
      <c r="L7" s="844" t="e">
        <f>K7/'收入--历史经营情况分析'!#REF!</f>
        <v>#REF!</v>
      </c>
      <c r="M7" s="843">
        <v>857.05</v>
      </c>
      <c r="N7" s="844" t="e">
        <f>M7/'收入--历史经营情况分析'!#REF!</f>
        <v>#REF!</v>
      </c>
      <c r="O7" s="844" t="e">
        <f>(J7+L7+N7)/3</f>
        <v>#REF!</v>
      </c>
      <c r="P7" s="859"/>
      <c r="Q7" s="859"/>
      <c r="R7" s="859"/>
      <c r="S7" s="859"/>
      <c r="T7" s="859"/>
      <c r="U7" s="863"/>
      <c r="V7" s="863">
        <f>U7*1.02</f>
        <v>0</v>
      </c>
      <c r="W7" s="863">
        <f t="shared" ref="W7:Y7" si="0">V7*1.02</f>
        <v>0</v>
      </c>
      <c r="X7" s="863">
        <f t="shared" si="0"/>
        <v>0</v>
      </c>
      <c r="Y7" s="863">
        <f t="shared" si="0"/>
        <v>0</v>
      </c>
    </row>
    <row r="8" spans="1:25">
      <c r="A8" s="845"/>
      <c r="B8" s="842" t="s">
        <v>372</v>
      </c>
      <c r="C8" s="843"/>
      <c r="D8" s="843"/>
      <c r="E8" s="843">
        <v>607.53</v>
      </c>
      <c r="F8" s="844" t="e">
        <f>E8/'收入--历史经营情况分析'!#REF!</f>
        <v>#REF!</v>
      </c>
      <c r="G8" s="843">
        <v>520.07</v>
      </c>
      <c r="H8" s="844" t="e">
        <f>G8/'收入--历史经营情况分析'!#REF!</f>
        <v>#REF!</v>
      </c>
      <c r="I8" s="843">
        <v>551.4</v>
      </c>
      <c r="J8" s="844" t="e">
        <f>I8/'收入--历史经营情况分析'!#REF!</f>
        <v>#REF!</v>
      </c>
      <c r="K8" s="843">
        <v>550.74</v>
      </c>
      <c r="L8" s="844" t="e">
        <f>K8/'收入--历史经营情况分析'!#REF!</f>
        <v>#REF!</v>
      </c>
      <c r="M8" s="843">
        <v>690.42</v>
      </c>
      <c r="N8" s="844" t="e">
        <f>M8/'收入--历史经营情况分析'!#REF!</f>
        <v>#REF!</v>
      </c>
      <c r="O8" s="844" t="e">
        <f t="shared" ref="O8:O14" si="1">(J8+L8+N8)/3</f>
        <v>#REF!</v>
      </c>
      <c r="P8" s="859"/>
      <c r="Q8" s="859"/>
      <c r="R8" s="859"/>
      <c r="S8" s="859"/>
      <c r="T8" s="859"/>
      <c r="U8" s="863"/>
      <c r="V8" s="863" t="e">
        <f t="shared" ref="V8:X8" si="2">N8*1.02</f>
        <v>#REF!</v>
      </c>
      <c r="W8" s="863" t="e">
        <f t="shared" si="2"/>
        <v>#REF!</v>
      </c>
      <c r="X8" s="863">
        <f t="shared" si="2"/>
        <v>0</v>
      </c>
      <c r="Y8" s="863">
        <f t="shared" ref="Y8" si="3">Y9-Y7</f>
        <v>0</v>
      </c>
    </row>
    <row r="9" spans="1:25">
      <c r="A9" s="845"/>
      <c r="B9" s="842" t="s">
        <v>373</v>
      </c>
      <c r="C9" s="843"/>
      <c r="D9" s="843"/>
      <c r="E9" s="843">
        <v>113.94</v>
      </c>
      <c r="F9" s="844" t="e">
        <f>E9/'收入--历史经营情况分析'!#REF!</f>
        <v>#REF!</v>
      </c>
      <c r="G9" s="843">
        <v>89.82</v>
      </c>
      <c r="H9" s="844" t="e">
        <f>G9/'收入--历史经营情况分析'!#REF!</f>
        <v>#REF!</v>
      </c>
      <c r="I9" s="843">
        <v>96.38</v>
      </c>
      <c r="J9" s="844" t="e">
        <f>I9/'收入--历史经营情况分析'!#REF!</f>
        <v>#REF!</v>
      </c>
      <c r="K9" s="843">
        <v>98.69</v>
      </c>
      <c r="L9" s="844" t="e">
        <f>K9/'收入--历史经营情况分析'!#REF!</f>
        <v>#REF!</v>
      </c>
      <c r="M9" s="843">
        <v>52.67</v>
      </c>
      <c r="N9" s="844" t="e">
        <f>M9/'收入--历史经营情况分析'!#REF!</f>
        <v>#REF!</v>
      </c>
      <c r="O9" s="844" t="e">
        <f t="shared" si="1"/>
        <v>#REF!</v>
      </c>
      <c r="P9" s="859"/>
      <c r="Q9" s="859"/>
      <c r="R9" s="859"/>
      <c r="S9" s="859"/>
      <c r="T9" s="859"/>
      <c r="U9" s="863">
        <f>P7+P8</f>
        <v>0</v>
      </c>
      <c r="V9" s="863">
        <f t="shared" ref="V9:Y9" si="4">Q7+Q8</f>
        <v>0</v>
      </c>
      <c r="W9" s="863">
        <f t="shared" si="4"/>
        <v>0</v>
      </c>
      <c r="X9" s="863">
        <f t="shared" si="4"/>
        <v>0</v>
      </c>
      <c r="Y9" s="863">
        <f t="shared" si="4"/>
        <v>0</v>
      </c>
    </row>
    <row r="10" spans="1:24">
      <c r="A10" s="845"/>
      <c r="B10" s="842" t="s">
        <v>374</v>
      </c>
      <c r="C10" s="843"/>
      <c r="D10" s="843"/>
      <c r="E10" s="843">
        <v>389.33</v>
      </c>
      <c r="F10" s="844" t="e">
        <f>E10/'收入--历史经营情况分析'!#REF!</f>
        <v>#REF!</v>
      </c>
      <c r="G10" s="843">
        <v>355.71</v>
      </c>
      <c r="H10" s="844" t="e">
        <f>G10/'收入--历史经营情况分析'!#REF!</f>
        <v>#REF!</v>
      </c>
      <c r="I10" s="843">
        <v>352.33</v>
      </c>
      <c r="J10" s="844" t="e">
        <f>I10/'收入--历史经营情况分析'!#REF!</f>
        <v>#REF!</v>
      </c>
      <c r="K10" s="843">
        <v>249.66</v>
      </c>
      <c r="L10" s="844" t="e">
        <f>K10/'收入--历史经营情况分析'!#REF!</f>
        <v>#REF!</v>
      </c>
      <c r="M10" s="843">
        <v>215.42</v>
      </c>
      <c r="N10" s="844" t="e">
        <f>M10/'收入--历史经营情况分析'!#REF!</f>
        <v>#REF!</v>
      </c>
      <c r="O10" s="844" t="e">
        <f t="shared" si="1"/>
        <v>#REF!</v>
      </c>
      <c r="P10" s="859"/>
      <c r="Q10" s="859"/>
      <c r="R10" s="859"/>
      <c r="S10" s="859"/>
      <c r="T10" s="859"/>
      <c r="V10" s="864"/>
      <c r="W10" s="864"/>
      <c r="X10" s="864"/>
    </row>
    <row r="11" spans="1:24">
      <c r="A11" s="845"/>
      <c r="B11" s="842" t="s">
        <v>375</v>
      </c>
      <c r="C11" s="843"/>
      <c r="D11" s="843"/>
      <c r="E11" s="843">
        <v>120.19</v>
      </c>
      <c r="F11" s="844" t="e">
        <f>E11/'收入--历史经营情况分析'!#REF!</f>
        <v>#REF!</v>
      </c>
      <c r="G11" s="843">
        <v>137.97</v>
      </c>
      <c r="H11" s="844" t="e">
        <f>G11/'收入--历史经营情况分析'!#REF!</f>
        <v>#REF!</v>
      </c>
      <c r="I11" s="843">
        <v>159.74</v>
      </c>
      <c r="J11" s="844" t="e">
        <f>I11/'收入--历史经营情况分析'!#REF!</f>
        <v>#REF!</v>
      </c>
      <c r="K11" s="843">
        <v>89.01</v>
      </c>
      <c r="L11" s="844" t="e">
        <f>K11/'收入--历史经营情况分析'!#REF!</f>
        <v>#REF!</v>
      </c>
      <c r="M11" s="843">
        <v>40.28</v>
      </c>
      <c r="N11" s="844" t="e">
        <f>M11/'收入--历史经营情况分析'!#REF!</f>
        <v>#REF!</v>
      </c>
      <c r="O11" s="844" t="e">
        <f>(L11+N11)/2</f>
        <v>#REF!</v>
      </c>
      <c r="P11" s="859"/>
      <c r="Q11" s="859"/>
      <c r="R11" s="859"/>
      <c r="S11" s="859"/>
      <c r="T11" s="859"/>
      <c r="V11" s="864"/>
      <c r="W11" s="864"/>
      <c r="X11" s="864"/>
    </row>
    <row r="12" spans="1:24">
      <c r="A12" s="845"/>
      <c r="B12" s="846" t="s">
        <v>376</v>
      </c>
      <c r="C12" s="843">
        <v>1201928.82</v>
      </c>
      <c r="D12" s="843">
        <v>1379692.68</v>
      </c>
      <c r="E12" s="847">
        <v>139.11</v>
      </c>
      <c r="F12" s="844" t="e">
        <f>E12/'收入--历史经营情况分析'!#REF!</f>
        <v>#REF!</v>
      </c>
      <c r="G12" s="847">
        <v>169.72</v>
      </c>
      <c r="H12" s="844" t="e">
        <f>G12/'收入--历史经营情况分析'!#REF!</f>
        <v>#REF!</v>
      </c>
      <c r="I12" s="847">
        <v>105.68</v>
      </c>
      <c r="J12" s="844" t="e">
        <f>I12/'收入--历史经营情况分析'!#REF!</f>
        <v>#REF!</v>
      </c>
      <c r="K12" s="847">
        <v>71.24</v>
      </c>
      <c r="L12" s="844" t="e">
        <f>K12/'收入--历史经营情况分析'!#REF!</f>
        <v>#REF!</v>
      </c>
      <c r="M12" s="847">
        <v>16.17</v>
      </c>
      <c r="N12" s="844" t="e">
        <f>M12/'收入--历史经营情况分析'!#REF!</f>
        <v>#REF!</v>
      </c>
      <c r="O12" s="844" t="e">
        <f t="shared" si="1"/>
        <v>#REF!</v>
      </c>
      <c r="P12" s="859"/>
      <c r="Q12" s="859"/>
      <c r="R12" s="859"/>
      <c r="S12" s="859"/>
      <c r="T12" s="859"/>
      <c r="U12" s="262"/>
      <c r="V12" s="864"/>
      <c r="W12" s="864"/>
      <c r="X12" s="864"/>
    </row>
    <row r="13" spans="1:24">
      <c r="A13" s="845"/>
      <c r="B13" s="846" t="s">
        <v>377</v>
      </c>
      <c r="C13" s="847">
        <v>1391076.97</v>
      </c>
      <c r="D13" s="847">
        <v>1697191.3</v>
      </c>
      <c r="E13" s="847">
        <v>956.19</v>
      </c>
      <c r="F13" s="844" t="e">
        <f>E13/'收入--历史经营情况分析'!#REF!</f>
        <v>#REF!</v>
      </c>
      <c r="G13" s="847">
        <v>743.39</v>
      </c>
      <c r="H13" s="844" t="e">
        <f>G13/'收入--历史经营情况分析'!#REF!</f>
        <v>#REF!</v>
      </c>
      <c r="I13" s="847">
        <v>430.74</v>
      </c>
      <c r="J13" s="844" t="e">
        <f>I13/'收入--历史经营情况分析'!#REF!</f>
        <v>#REF!</v>
      </c>
      <c r="K13" s="847">
        <v>489.94</v>
      </c>
      <c r="L13" s="844" t="e">
        <f>K13/'收入--历史经营情况分析'!#REF!</f>
        <v>#REF!</v>
      </c>
      <c r="M13" s="847">
        <v>374.94</v>
      </c>
      <c r="N13" s="844" t="e">
        <f>M13/'收入--历史经营情况分析'!#REF!</f>
        <v>#REF!</v>
      </c>
      <c r="O13" s="844" t="e">
        <f t="shared" si="1"/>
        <v>#REF!</v>
      </c>
      <c r="P13" s="859"/>
      <c r="Q13" s="859"/>
      <c r="R13" s="859"/>
      <c r="S13" s="859"/>
      <c r="T13" s="859"/>
      <c r="U13" s="262"/>
      <c r="V13" s="864"/>
      <c r="W13" s="864"/>
      <c r="X13" s="864"/>
    </row>
    <row r="14" spans="1:24">
      <c r="A14" s="848"/>
      <c r="B14" s="397" t="s">
        <v>157</v>
      </c>
      <c r="C14" s="843">
        <f t="shared" ref="C14:L14" si="5">SUM(C7:C13)</f>
        <v>17341910.51</v>
      </c>
      <c r="D14" s="843">
        <f t="shared" si="5"/>
        <v>13301707.66</v>
      </c>
      <c r="E14" s="843">
        <f t="shared" si="5"/>
        <v>3801.18</v>
      </c>
      <c r="F14" s="843" t="e">
        <f t="shared" si="5"/>
        <v>#REF!</v>
      </c>
      <c r="G14" s="843">
        <f t="shared" si="5"/>
        <v>3039.16</v>
      </c>
      <c r="H14" s="843" t="e">
        <f t="shared" si="5"/>
        <v>#REF!</v>
      </c>
      <c r="I14" s="843">
        <f t="shared" si="5"/>
        <v>2617</v>
      </c>
      <c r="J14" s="844" t="e">
        <f t="shared" si="5"/>
        <v>#REF!</v>
      </c>
      <c r="K14" s="843">
        <f t="shared" si="5"/>
        <v>2320.7</v>
      </c>
      <c r="L14" s="844" t="e">
        <f t="shared" si="5"/>
        <v>#REF!</v>
      </c>
      <c r="M14" s="843">
        <f>2289.78</f>
        <v>2289.78</v>
      </c>
      <c r="N14" s="844" t="e">
        <f>M14/'收入--历史经营情况分析'!#REF!</f>
        <v>#REF!</v>
      </c>
      <c r="O14" s="844" t="e">
        <f t="shared" si="1"/>
        <v>#REF!</v>
      </c>
      <c r="P14" s="859"/>
      <c r="Q14" s="859"/>
      <c r="R14" s="859"/>
      <c r="S14" s="859"/>
      <c r="T14" s="859"/>
      <c r="V14" s="864"/>
      <c r="W14" s="864"/>
      <c r="X14" s="864"/>
    </row>
    <row r="15" spans="9:10">
      <c r="I15" s="836"/>
      <c r="J15" s="836"/>
    </row>
    <row r="16" spans="1:20">
      <c r="A16" s="571" t="str">
        <f>[35]封面!A17</f>
        <v>被评估单位填表人：</v>
      </c>
      <c r="B16" s="833"/>
      <c r="C16" s="849"/>
      <c r="D16" s="849"/>
      <c r="E16" s="849"/>
      <c r="F16" s="849"/>
      <c r="G16" s="849"/>
      <c r="H16" s="849"/>
      <c r="I16" s="849"/>
      <c r="J16" s="849"/>
      <c r="K16" s="849"/>
      <c r="L16" s="849"/>
      <c r="M16" s="849"/>
      <c r="N16" s="849"/>
      <c r="O16" s="849"/>
      <c r="P16" s="849"/>
      <c r="Q16" s="849"/>
      <c r="R16" s="849"/>
      <c r="S16" s="849"/>
      <c r="T16" s="849"/>
    </row>
    <row r="17" spans="1:15">
      <c r="A17" s="850"/>
      <c r="B17" s="833"/>
      <c r="C17" s="851"/>
      <c r="D17" s="851"/>
      <c r="E17" s="851"/>
      <c r="F17" s="851"/>
      <c r="G17" s="851"/>
      <c r="H17" s="851"/>
      <c r="I17" s="851"/>
      <c r="J17" s="851"/>
      <c r="K17" s="851"/>
      <c r="L17" s="851"/>
      <c r="M17" s="851"/>
      <c r="N17" s="851"/>
      <c r="O17" s="851"/>
    </row>
    <row r="18" spans="1:15">
      <c r="A18" s="571" t="str">
        <f>[35]封面!A15</f>
        <v>填表日期：</v>
      </c>
      <c r="B18" s="833"/>
      <c r="C18" s="852"/>
      <c r="D18" s="852"/>
      <c r="E18" s="852"/>
      <c r="F18" s="852"/>
      <c r="G18" s="852"/>
      <c r="H18" s="852"/>
      <c r="I18" s="852"/>
      <c r="J18" s="852"/>
      <c r="K18" s="852"/>
      <c r="L18" s="852"/>
      <c r="M18" s="851"/>
      <c r="N18" s="851"/>
      <c r="O18" s="851"/>
    </row>
    <row r="19" spans="3:19">
      <c r="C19" s="849"/>
      <c r="D19" s="849"/>
      <c r="E19" s="849"/>
      <c r="F19" s="849"/>
      <c r="G19" s="849"/>
      <c r="H19" s="849"/>
      <c r="I19" s="849"/>
      <c r="J19" s="849"/>
      <c r="K19" s="849"/>
      <c r="L19" s="849"/>
      <c r="M19" s="849"/>
      <c r="N19" s="849"/>
      <c r="O19" s="849"/>
      <c r="S19" s="860"/>
    </row>
    <row r="20" spans="3:19">
      <c r="C20" s="836"/>
      <c r="D20" s="836"/>
      <c r="E20" s="836"/>
      <c r="F20" s="836"/>
      <c r="G20" s="836"/>
      <c r="H20" s="836"/>
      <c r="I20" s="836"/>
      <c r="J20" s="836"/>
      <c r="K20" s="836"/>
      <c r="L20" s="836"/>
      <c r="M20" s="836"/>
      <c r="N20" s="836"/>
      <c r="O20" s="836"/>
      <c r="P20" s="860"/>
      <c r="S20" s="860"/>
    </row>
    <row r="21" spans="16:19">
      <c r="P21" s="860"/>
      <c r="S21" s="860"/>
    </row>
    <row r="22" spans="13:19">
      <c r="M22" s="861"/>
      <c r="N22" s="861"/>
      <c r="O22" s="861"/>
      <c r="P22" s="860"/>
      <c r="S22" s="860"/>
    </row>
    <row r="23" spans="19:19">
      <c r="S23" s="860"/>
    </row>
    <row r="24" spans="19:19">
      <c r="S24" s="860"/>
    </row>
  </sheetData>
  <mergeCells count="6">
    <mergeCell ref="A1:T1"/>
    <mergeCell ref="C5:N5"/>
    <mergeCell ref="P5:T5"/>
    <mergeCell ref="A6:B6"/>
    <mergeCell ref="A7:A14"/>
    <mergeCell ref="O5:O6"/>
  </mergeCells>
  <pageMargins left="0.699305555555556" right="0.699305555555556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workbookViewId="0">
      <selection activeCell="A3" sqref="A3"/>
    </sheetView>
  </sheetViews>
  <sheetFormatPr defaultColWidth="9" defaultRowHeight="14.25"/>
  <cols>
    <col min="2" max="2" width="13.2" customWidth="1"/>
    <col min="3" max="3" width="13.9" hidden="1" customWidth="1"/>
    <col min="4" max="4" width="5.1" hidden="1" customWidth="1"/>
    <col min="5" max="5" width="12.2" hidden="1" customWidth="1"/>
    <col min="6" max="6" width="8.6" hidden="1" customWidth="1"/>
    <col min="7" max="7" width="12.2" customWidth="1"/>
    <col min="8" max="8" width="5.1" customWidth="1"/>
    <col min="9" max="9" width="12.2" customWidth="1"/>
    <col min="10" max="10" width="5.4" customWidth="1"/>
    <col min="11" max="11" width="12.2" customWidth="1"/>
    <col min="12" max="12" width="5.6" customWidth="1"/>
    <col min="13" max="13" width="5.7" customWidth="1"/>
    <col min="14" max="18" width="12.2" customWidth="1"/>
  </cols>
  <sheetData>
    <row r="1" ht="25.5" spans="1:18">
      <c r="A1" s="569" t="s">
        <v>378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  <c r="R1" s="569"/>
    </row>
    <row r="2" spans="1:18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 t="str">
        <f>[35]封面!A11</f>
        <v>评估基准日:2017年12月31日</v>
      </c>
      <c r="P2" s="570"/>
      <c r="Q2" s="570"/>
      <c r="R2" s="570"/>
    </row>
    <row r="3" spans="1:18">
      <c r="A3" s="571"/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68"/>
      <c r="O3" s="568"/>
      <c r="P3" s="568" t="s">
        <v>379</v>
      </c>
      <c r="Q3" s="568"/>
      <c r="R3" s="568"/>
    </row>
    <row r="4" spans="1:18">
      <c r="A4" s="571"/>
      <c r="B4" s="570"/>
      <c r="C4" s="572"/>
      <c r="D4" s="572"/>
      <c r="E4" s="572"/>
      <c r="F4" s="572"/>
      <c r="G4" s="572"/>
      <c r="H4" s="572"/>
      <c r="I4" s="573"/>
      <c r="J4" s="573"/>
      <c r="K4" s="574"/>
      <c r="L4" s="574"/>
      <c r="M4" s="574"/>
      <c r="N4" s="826"/>
      <c r="O4" s="826"/>
      <c r="P4" s="826"/>
      <c r="Q4" s="826"/>
      <c r="R4" s="826"/>
    </row>
    <row r="5" spans="1:18">
      <c r="A5" s="576"/>
      <c r="B5" s="577"/>
      <c r="C5" s="578" t="s">
        <v>366</v>
      </c>
      <c r="D5" s="578"/>
      <c r="E5" s="578"/>
      <c r="F5" s="578"/>
      <c r="G5" s="578"/>
      <c r="H5" s="578"/>
      <c r="I5" s="578"/>
      <c r="J5" s="578"/>
      <c r="K5" s="578"/>
      <c r="L5" s="579"/>
      <c r="M5" s="827" t="s">
        <v>380</v>
      </c>
      <c r="N5" s="579" t="s">
        <v>368</v>
      </c>
      <c r="O5" s="589"/>
      <c r="P5" s="589"/>
      <c r="Q5" s="589"/>
      <c r="R5" s="590"/>
    </row>
    <row r="6" spans="1:18">
      <c r="A6" s="577" t="s">
        <v>195</v>
      </c>
      <c r="B6" s="577"/>
      <c r="C6" s="580" t="str">
        <f>[35]未来收入预测表!C6</f>
        <v>2013年</v>
      </c>
      <c r="D6" s="580"/>
      <c r="E6" s="580" t="str">
        <f>[35]未来收入预测表!D6</f>
        <v>2014年</v>
      </c>
      <c r="F6" s="580"/>
      <c r="G6" s="580" t="str">
        <f>[35]未来收入预测表!E6</f>
        <v>2015年</v>
      </c>
      <c r="H6" s="580"/>
      <c r="I6" s="580" t="str">
        <f>[35]未来收入预测表!F6</f>
        <v>2016年</v>
      </c>
      <c r="J6" s="580"/>
      <c r="K6" s="580" t="str">
        <f>[35]未来收入预测表!G6</f>
        <v>2017年</v>
      </c>
      <c r="L6" s="580"/>
      <c r="M6" s="828"/>
      <c r="N6" s="580" t="str">
        <f>[35]未来收入预测表!H6</f>
        <v>2018年</v>
      </c>
      <c r="O6" s="580" t="str">
        <f>[35]未来收入预测表!I6</f>
        <v>2019年</v>
      </c>
      <c r="P6" s="580" t="str">
        <f>[35]未来收入预测表!J6</f>
        <v>2020年</v>
      </c>
      <c r="Q6" s="580" t="str">
        <f>[35]未来收入预测表!K6</f>
        <v>2021年</v>
      </c>
      <c r="R6" s="580" t="str">
        <f>[35]未来收入预测表!L6</f>
        <v>2022年</v>
      </c>
    </row>
    <row r="7" spans="1:18">
      <c r="A7" s="814" t="s">
        <v>381</v>
      </c>
      <c r="B7" s="815" t="s">
        <v>371</v>
      </c>
      <c r="C7" s="816">
        <v>4197.51</v>
      </c>
      <c r="D7" s="817" t="e">
        <f>C7/'收入--历史经营情况分析'!#REF!</f>
        <v>#REF!</v>
      </c>
      <c r="E7" s="816">
        <v>5296.882858</v>
      </c>
      <c r="F7" s="817" t="e">
        <f>E7/'收入--历史经营情况分析'!#REF!</f>
        <v>#REF!</v>
      </c>
      <c r="G7" s="816">
        <v>4161.72</v>
      </c>
      <c r="H7" s="817" t="e">
        <f>G7/'收入--历史经营情况分析'!#REF!</f>
        <v>#REF!</v>
      </c>
      <c r="I7" s="816">
        <v>4241.4</v>
      </c>
      <c r="J7" s="817" t="e">
        <f>I7/'收入--历史经营情况分析'!#REF!</f>
        <v>#REF!</v>
      </c>
      <c r="K7" s="816">
        <v>5179.95</v>
      </c>
      <c r="L7" s="817" t="e">
        <f>K7/'收入--历史经营情况分析'!#REF!</f>
        <v>#REF!</v>
      </c>
      <c r="M7" s="829"/>
      <c r="N7" s="830"/>
      <c r="O7" s="830"/>
      <c r="P7" s="830"/>
      <c r="Q7" s="830"/>
      <c r="R7" s="830"/>
    </row>
    <row r="8" spans="1:23">
      <c r="A8" s="818"/>
      <c r="B8" s="819" t="s">
        <v>373</v>
      </c>
      <c r="C8" s="820">
        <v>12497.84</v>
      </c>
      <c r="D8" s="817" t="e">
        <f>C8/'收入--历史经营情况分析'!#REF!</f>
        <v>#REF!</v>
      </c>
      <c r="E8" s="820">
        <v>5173.3567</v>
      </c>
      <c r="F8" s="817" t="e">
        <f>E8/'收入--历史经营情况分析'!#REF!</f>
        <v>#REF!</v>
      </c>
      <c r="G8" s="820">
        <v>5369.8</v>
      </c>
      <c r="H8" s="817" t="e">
        <f>G8/'收入--历史经营情况分析'!#REF!</f>
        <v>#REF!</v>
      </c>
      <c r="I8" s="820">
        <v>6859.83</v>
      </c>
      <c r="J8" s="817" t="e">
        <f>I8/'收入--历史经营情况分析'!#REF!</f>
        <v>#REF!</v>
      </c>
      <c r="K8" s="820">
        <v>8323.9</v>
      </c>
      <c r="L8" s="817" t="e">
        <f>K8/'收入--历史经营情况分析'!#REF!</f>
        <v>#REF!</v>
      </c>
      <c r="M8" s="829"/>
      <c r="N8" s="830"/>
      <c r="O8" s="830"/>
      <c r="P8" s="830"/>
      <c r="Q8" s="830"/>
      <c r="R8" s="830"/>
      <c r="S8" s="176" t="e">
        <f>(O8-N8)/N8</f>
        <v>#DIV/0!</v>
      </c>
      <c r="T8" s="176" t="e">
        <f t="shared" ref="T8:V8" si="0">(P8-O8)/O8</f>
        <v>#DIV/0!</v>
      </c>
      <c r="U8" s="176" t="e">
        <f t="shared" si="0"/>
        <v>#DIV/0!</v>
      </c>
      <c r="V8" s="176" t="e">
        <f t="shared" si="0"/>
        <v>#DIV/0!</v>
      </c>
      <c r="W8" s="176"/>
    </row>
    <row r="9" spans="1:18">
      <c r="A9" s="818"/>
      <c r="B9" s="821" t="s">
        <v>382</v>
      </c>
      <c r="C9" s="820">
        <v>2638.4</v>
      </c>
      <c r="D9" s="817" t="e">
        <f>C9/'收入--历史经营情况分析'!#REF!</f>
        <v>#REF!</v>
      </c>
      <c r="E9" s="820">
        <v>709.176537</v>
      </c>
      <c r="F9" s="817" t="e">
        <f>E9/'收入--历史经营情况分析'!#REF!</f>
        <v>#REF!</v>
      </c>
      <c r="G9" s="820">
        <v>956.2</v>
      </c>
      <c r="H9" s="817" t="e">
        <f>G9/'收入--历史经营情况分析'!#REF!</f>
        <v>#REF!</v>
      </c>
      <c r="I9" s="820">
        <v>1835.7</v>
      </c>
      <c r="J9" s="817" t="e">
        <f>I9/'收入--历史经营情况分析'!#REF!</f>
        <v>#REF!</v>
      </c>
      <c r="K9" s="820">
        <v>1936.47</v>
      </c>
      <c r="L9" s="817" t="e">
        <f>K9/'收入--历史经营情况分析'!#REF!</f>
        <v>#REF!</v>
      </c>
      <c r="M9" s="829" t="e">
        <f t="shared" ref="M9:M18" si="1">(H9+J9+L9)/3</f>
        <v>#REF!</v>
      </c>
      <c r="N9" s="830"/>
      <c r="O9" s="830"/>
      <c r="P9" s="830"/>
      <c r="Q9" s="830"/>
      <c r="R9" s="830"/>
    </row>
    <row r="10" spans="1:18">
      <c r="A10" s="818"/>
      <c r="B10" s="821" t="s">
        <v>383</v>
      </c>
      <c r="C10" s="820">
        <v>558.79</v>
      </c>
      <c r="D10" s="817" t="e">
        <f>C10/'收入--历史经营情况分析'!#REF!</f>
        <v>#REF!</v>
      </c>
      <c r="E10" s="820">
        <v>422.036086</v>
      </c>
      <c r="F10" s="817" t="e">
        <f>E10/'收入--历史经营情况分析'!#REF!</f>
        <v>#REF!</v>
      </c>
      <c r="G10" s="820">
        <v>375.65</v>
      </c>
      <c r="H10" s="817" t="e">
        <f>G10/'收入--历史经营情况分析'!#REF!</f>
        <v>#REF!</v>
      </c>
      <c r="I10" s="820">
        <v>343.4</v>
      </c>
      <c r="J10" s="817" t="e">
        <f>I10/'收入--历史经营情况分析'!#REF!</f>
        <v>#REF!</v>
      </c>
      <c r="K10" s="820">
        <v>376.69</v>
      </c>
      <c r="L10" s="817" t="e">
        <f>K10/'收入--历史经营情况分析'!#REF!</f>
        <v>#REF!</v>
      </c>
      <c r="M10" s="829" t="e">
        <f t="shared" si="1"/>
        <v>#REF!</v>
      </c>
      <c r="N10" s="830"/>
      <c r="O10" s="830"/>
      <c r="P10" s="830"/>
      <c r="Q10" s="830"/>
      <c r="R10" s="830"/>
    </row>
    <row r="11" spans="1:18">
      <c r="A11" s="818"/>
      <c r="B11" s="822" t="s">
        <v>384</v>
      </c>
      <c r="C11" s="587">
        <v>1063.62</v>
      </c>
      <c r="D11" s="817" t="e">
        <f>C11/'收入--历史经营情况分析'!#REF!</f>
        <v>#REF!</v>
      </c>
      <c r="E11" s="587">
        <v>558.250528</v>
      </c>
      <c r="F11" s="817" t="e">
        <f>E11/'收入--历史经营情况分析'!#REF!</f>
        <v>#REF!</v>
      </c>
      <c r="G11" s="587">
        <v>524.83</v>
      </c>
      <c r="H11" s="817" t="e">
        <f>G11/'收入--历史经营情况分析'!#REF!</f>
        <v>#REF!</v>
      </c>
      <c r="I11" s="587">
        <v>496.44</v>
      </c>
      <c r="J11" s="817" t="e">
        <f>I11/'收入--历史经营情况分析'!#REF!</f>
        <v>#REF!</v>
      </c>
      <c r="K11" s="587">
        <v>623.29</v>
      </c>
      <c r="L11" s="817" t="e">
        <f>K11/'收入--历史经营情况分析'!#REF!</f>
        <v>#REF!</v>
      </c>
      <c r="M11" s="829" t="e">
        <f t="shared" si="1"/>
        <v>#REF!</v>
      </c>
      <c r="N11" s="830"/>
      <c r="O11" s="830"/>
      <c r="P11" s="830"/>
      <c r="Q11" s="830"/>
      <c r="R11" s="830"/>
    </row>
    <row r="12" spans="1:23">
      <c r="A12" s="818"/>
      <c r="B12" s="815" t="s">
        <v>385</v>
      </c>
      <c r="C12" s="816">
        <v>1153.72</v>
      </c>
      <c r="D12" s="817" t="e">
        <f>C12/'收入--历史经营情况分析'!#REF!</f>
        <v>#REF!</v>
      </c>
      <c r="E12" s="816">
        <v>1066.41565</v>
      </c>
      <c r="F12" s="817" t="e">
        <f>E12/'收入--历史经营情况分析'!#REF!</f>
        <v>#REF!</v>
      </c>
      <c r="G12" s="816">
        <v>1202.34</v>
      </c>
      <c r="H12" s="817" t="e">
        <f>G12/'收入--历史经营情况分析'!#REF!</f>
        <v>#REF!</v>
      </c>
      <c r="I12" s="816">
        <v>996.9</v>
      </c>
      <c r="J12" s="817" t="e">
        <f>I12/'收入--历史经营情况分析'!#REF!</f>
        <v>#REF!</v>
      </c>
      <c r="K12" s="816">
        <v>1114.68</v>
      </c>
      <c r="L12" s="817" t="e">
        <f>K12/'收入--历史经营情况分析'!#REF!</f>
        <v>#REF!</v>
      </c>
      <c r="M12" s="829">
        <v>0.011</v>
      </c>
      <c r="N12" s="830"/>
      <c r="O12" s="830"/>
      <c r="P12" s="830"/>
      <c r="Q12" s="830"/>
      <c r="R12" s="830"/>
      <c r="S12" s="176">
        <f>(N12-K12)/K12</f>
        <v>-1</v>
      </c>
      <c r="T12" s="176" t="e">
        <f>(O12-N12)/N12</f>
        <v>#DIV/0!</v>
      </c>
      <c r="U12" s="176" t="e">
        <f t="shared" ref="U12:W12" si="2">(P12-O12)/O12</f>
        <v>#DIV/0!</v>
      </c>
      <c r="V12" s="176" t="e">
        <f t="shared" si="2"/>
        <v>#DIV/0!</v>
      </c>
      <c r="W12" s="176" t="e">
        <f t="shared" si="2"/>
        <v>#DIV/0!</v>
      </c>
    </row>
    <row r="13" spans="1:23">
      <c r="A13" s="818"/>
      <c r="B13" s="822" t="s">
        <v>386</v>
      </c>
      <c r="C13" s="587">
        <v>283.65</v>
      </c>
      <c r="D13" s="817" t="e">
        <f>C13/'收入--历史经营情况分析'!#REF!</f>
        <v>#REF!</v>
      </c>
      <c r="E13" s="587">
        <v>215.010098</v>
      </c>
      <c r="F13" s="817" t="e">
        <f>E13/'收入--历史经营情况分析'!#REF!</f>
        <v>#REF!</v>
      </c>
      <c r="G13" s="587">
        <v>283.67</v>
      </c>
      <c r="H13" s="817" t="e">
        <f>G13/'收入--历史经营情况分析'!#REF!</f>
        <v>#REF!</v>
      </c>
      <c r="I13" s="587">
        <v>268.33</v>
      </c>
      <c r="J13" s="817" t="e">
        <f>I13/'收入--历史经营情况分析'!#REF!</f>
        <v>#REF!</v>
      </c>
      <c r="K13" s="587">
        <v>254.41</v>
      </c>
      <c r="L13" s="817" t="e">
        <f>K13/'收入--历史经营情况分析'!#REF!</f>
        <v>#REF!</v>
      </c>
      <c r="M13" s="829" t="e">
        <f t="shared" si="1"/>
        <v>#REF!</v>
      </c>
      <c r="N13" s="830"/>
      <c r="O13" s="830"/>
      <c r="P13" s="830"/>
      <c r="Q13" s="830"/>
      <c r="R13" s="830"/>
      <c r="S13" s="176">
        <f t="shared" ref="S13:S17" si="3">(N13-K13)/K13</f>
        <v>-1</v>
      </c>
      <c r="T13" s="176" t="e">
        <f t="shared" ref="T13:T17" si="4">(O13-N13)/N13</f>
        <v>#DIV/0!</v>
      </c>
      <c r="U13" s="176" t="e">
        <f t="shared" ref="U13:U17" si="5">(P13-O13)/O13</f>
        <v>#DIV/0!</v>
      </c>
      <c r="V13" s="176" t="e">
        <f t="shared" ref="V13:V17" si="6">(Q13-P13)/P13</f>
        <v>#DIV/0!</v>
      </c>
      <c r="W13" s="176" t="e">
        <f t="shared" ref="W13:W17" si="7">(R13-Q13)/Q13</f>
        <v>#DIV/0!</v>
      </c>
    </row>
    <row r="14" spans="1:23">
      <c r="A14" s="818"/>
      <c r="B14" s="822" t="s">
        <v>387</v>
      </c>
      <c r="C14" s="587">
        <v>124.73</v>
      </c>
      <c r="D14" s="817" t="e">
        <f>C14/'收入--历史经营情况分析'!#REF!</f>
        <v>#REF!</v>
      </c>
      <c r="E14" s="587">
        <v>105.863818</v>
      </c>
      <c r="F14" s="817" t="e">
        <f>E14/'收入--历史经营情况分析'!#REF!</f>
        <v>#REF!</v>
      </c>
      <c r="G14" s="587">
        <v>107.64</v>
      </c>
      <c r="H14" s="817" t="e">
        <f>G14/'收入--历史经营情况分析'!#REF!</f>
        <v>#REF!</v>
      </c>
      <c r="I14" s="587">
        <v>104.48</v>
      </c>
      <c r="J14" s="817" t="e">
        <f>I14/'收入--历史经营情况分析'!#REF!</f>
        <v>#REF!</v>
      </c>
      <c r="K14" s="587">
        <v>110.91</v>
      </c>
      <c r="L14" s="817" t="e">
        <f>K14/'收入--历史经营情况分析'!#REF!</f>
        <v>#REF!</v>
      </c>
      <c r="M14" s="829" t="e">
        <f t="shared" si="1"/>
        <v>#REF!</v>
      </c>
      <c r="N14" s="830"/>
      <c r="O14" s="830"/>
      <c r="P14" s="830"/>
      <c r="Q14" s="830"/>
      <c r="R14" s="830"/>
      <c r="S14" s="176">
        <f t="shared" si="3"/>
        <v>-1</v>
      </c>
      <c r="T14" s="176" t="e">
        <f t="shared" si="4"/>
        <v>#DIV/0!</v>
      </c>
      <c r="U14" s="176" t="e">
        <f t="shared" si="5"/>
        <v>#DIV/0!</v>
      </c>
      <c r="V14" s="176" t="e">
        <f t="shared" si="6"/>
        <v>#DIV/0!</v>
      </c>
      <c r="W14" s="176" t="e">
        <f t="shared" si="7"/>
        <v>#DIV/0!</v>
      </c>
    </row>
    <row r="15" spans="1:23">
      <c r="A15" s="818"/>
      <c r="B15" s="822" t="s">
        <v>388</v>
      </c>
      <c r="C15" s="587">
        <v>165.18</v>
      </c>
      <c r="D15" s="817" t="e">
        <f>C15/'收入--历史经营情况分析'!#REF!</f>
        <v>#REF!</v>
      </c>
      <c r="E15" s="587">
        <v>138.794713</v>
      </c>
      <c r="F15" s="817" t="e">
        <f>E15/'收入--历史经营情况分析'!#REF!</f>
        <v>#REF!</v>
      </c>
      <c r="G15" s="587">
        <v>121.99</v>
      </c>
      <c r="H15" s="817" t="e">
        <f>G15/'收入--历史经营情况分析'!#REF!</f>
        <v>#REF!</v>
      </c>
      <c r="I15" s="587">
        <v>169.2</v>
      </c>
      <c r="J15" s="817" t="e">
        <f>I15/'收入--历史经营情况分析'!#REF!</f>
        <v>#REF!</v>
      </c>
      <c r="K15" s="587">
        <v>167.68</v>
      </c>
      <c r="L15" s="817" t="e">
        <f>K15/'收入--历史经营情况分析'!#REF!</f>
        <v>#REF!</v>
      </c>
      <c r="M15" s="829" t="e">
        <f t="shared" si="1"/>
        <v>#REF!</v>
      </c>
      <c r="N15" s="830"/>
      <c r="O15" s="830"/>
      <c r="P15" s="830"/>
      <c r="Q15" s="830"/>
      <c r="R15" s="830"/>
      <c r="S15" s="176">
        <f t="shared" si="3"/>
        <v>-1</v>
      </c>
      <c r="T15" s="176" t="e">
        <f t="shared" si="4"/>
        <v>#DIV/0!</v>
      </c>
      <c r="U15" s="176" t="e">
        <f t="shared" si="5"/>
        <v>#DIV/0!</v>
      </c>
      <c r="V15" s="176" t="e">
        <f t="shared" si="6"/>
        <v>#DIV/0!</v>
      </c>
      <c r="W15" s="176" t="e">
        <f t="shared" si="7"/>
        <v>#DIV/0!</v>
      </c>
    </row>
    <row r="16" spans="1:23">
      <c r="A16" s="818"/>
      <c r="B16" s="822" t="s">
        <v>329</v>
      </c>
      <c r="C16" s="587">
        <v>156.39</v>
      </c>
      <c r="D16" s="817" t="e">
        <f>C16/'收入--历史经营情况分析'!#REF!</f>
        <v>#REF!</v>
      </c>
      <c r="E16" s="587">
        <v>109.704519</v>
      </c>
      <c r="F16" s="817" t="e">
        <f>E16/'收入--历史经营情况分析'!#REF!</f>
        <v>#REF!</v>
      </c>
      <c r="G16" s="587">
        <v>126.49</v>
      </c>
      <c r="H16" s="817" t="e">
        <f>G16/'收入--历史经营情况分析'!#REF!</f>
        <v>#REF!</v>
      </c>
      <c r="I16" s="587">
        <v>161.55</v>
      </c>
      <c r="J16" s="817" t="e">
        <f>I16/'收入--历史经营情况分析'!#REF!</f>
        <v>#REF!</v>
      </c>
      <c r="K16" s="587">
        <v>118.79</v>
      </c>
      <c r="L16" s="817" t="e">
        <f>K16/'收入--历史经营情况分析'!#REF!</f>
        <v>#REF!</v>
      </c>
      <c r="M16" s="829" t="e">
        <f t="shared" si="1"/>
        <v>#REF!</v>
      </c>
      <c r="N16" s="830"/>
      <c r="O16" s="830"/>
      <c r="P16" s="830"/>
      <c r="Q16" s="830"/>
      <c r="R16" s="830"/>
      <c r="S16" s="176">
        <f t="shared" si="3"/>
        <v>-1</v>
      </c>
      <c r="T16" s="176" t="e">
        <f t="shared" si="4"/>
        <v>#DIV/0!</v>
      </c>
      <c r="U16" s="176" t="e">
        <f t="shared" si="5"/>
        <v>#DIV/0!</v>
      </c>
      <c r="V16" s="176" t="e">
        <f t="shared" si="6"/>
        <v>#DIV/0!</v>
      </c>
      <c r="W16" s="176" t="e">
        <f t="shared" si="7"/>
        <v>#DIV/0!</v>
      </c>
    </row>
    <row r="17" spans="1:23">
      <c r="A17" s="818"/>
      <c r="B17" s="823" t="s">
        <v>377</v>
      </c>
      <c r="C17" s="587">
        <v>1937.85364600001</v>
      </c>
      <c r="D17" s="817" t="e">
        <f>C17/'收入--历史经营情况分析'!#REF!</f>
        <v>#REF!</v>
      </c>
      <c r="E17" s="587">
        <v>558.738317000001</v>
      </c>
      <c r="F17" s="817" t="e">
        <f>E17/'收入--历史经营情况分析'!#REF!</f>
        <v>#REF!</v>
      </c>
      <c r="G17" s="587">
        <f>536.48+207.86</f>
        <v>744.34</v>
      </c>
      <c r="H17" s="817" t="e">
        <f>G17/'收入--历史经营情况分析'!#REF!</f>
        <v>#REF!</v>
      </c>
      <c r="I17" s="587">
        <f>440.29+56.1</f>
        <v>496.39</v>
      </c>
      <c r="J17" s="817" t="e">
        <f>I17/'收入--历史经营情况分析'!#REF!</f>
        <v>#REF!</v>
      </c>
      <c r="K17" s="587">
        <f>346.85+2.73</f>
        <v>349.58</v>
      </c>
      <c r="L17" s="817" t="e">
        <f>K17/'收入--历史经营情况分析'!#REF!</f>
        <v>#REF!</v>
      </c>
      <c r="M17" s="829" t="e">
        <f t="shared" si="1"/>
        <v>#REF!</v>
      </c>
      <c r="N17" s="830"/>
      <c r="O17" s="830"/>
      <c r="P17" s="830"/>
      <c r="Q17" s="830"/>
      <c r="R17" s="830"/>
      <c r="S17" s="176">
        <f t="shared" si="3"/>
        <v>-1</v>
      </c>
      <c r="T17" s="176" t="e">
        <f t="shared" si="4"/>
        <v>#DIV/0!</v>
      </c>
      <c r="U17" s="176" t="e">
        <f t="shared" si="5"/>
        <v>#DIV/0!</v>
      </c>
      <c r="V17" s="176" t="e">
        <f t="shared" si="6"/>
        <v>#DIV/0!</v>
      </c>
      <c r="W17" s="176" t="e">
        <f t="shared" si="7"/>
        <v>#DIV/0!</v>
      </c>
    </row>
    <row r="18" spans="1:18">
      <c r="A18" s="818"/>
      <c r="B18" s="824" t="s">
        <v>157</v>
      </c>
      <c r="C18" s="825">
        <f>SUM(C7:C17)</f>
        <v>24777.683646</v>
      </c>
      <c r="D18" s="825"/>
      <c r="E18" s="825">
        <f>SUM(E7:E17)</f>
        <v>14354.229824</v>
      </c>
      <c r="F18" s="825"/>
      <c r="G18" s="825">
        <v>13766.8</v>
      </c>
      <c r="H18" s="817" t="e">
        <f>G18/'收入--历史经营情况分析'!#REF!</f>
        <v>#REF!</v>
      </c>
      <c r="I18" s="825">
        <v>15917.53</v>
      </c>
      <c r="J18" s="817" t="e">
        <f>I18/'收入--历史经营情况分析'!#REF!</f>
        <v>#REF!</v>
      </c>
      <c r="K18" s="825">
        <v>18561.55</v>
      </c>
      <c r="L18" s="817" t="e">
        <f>K18/'收入--历史经营情况分析'!#REF!</f>
        <v>#REF!</v>
      </c>
      <c r="M18" s="829" t="e">
        <f t="shared" si="1"/>
        <v>#REF!</v>
      </c>
      <c r="N18" s="831">
        <f>SUM(N7:N16)</f>
        <v>0</v>
      </c>
      <c r="O18" s="831">
        <f>SUM(O7:O16)</f>
        <v>0</v>
      </c>
      <c r="P18" s="831">
        <f>SUM(P7:P16)</f>
        <v>0</v>
      </c>
      <c r="Q18" s="831">
        <f>SUM(Q7:Q16)</f>
        <v>0</v>
      </c>
      <c r="R18" s="831">
        <f>SUM(R7:R16)</f>
        <v>0</v>
      </c>
    </row>
  </sheetData>
  <mergeCells count="6">
    <mergeCell ref="A1:R1"/>
    <mergeCell ref="C5:K5"/>
    <mergeCell ref="N5:R5"/>
    <mergeCell ref="A6:B6"/>
    <mergeCell ref="A7:A18"/>
    <mergeCell ref="M5:M6"/>
  </mergeCells>
  <pageMargins left="0.699305555555556" right="0.699305555555556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6"/>
  <sheetViews>
    <sheetView topLeftCell="F1" workbookViewId="0">
      <pane xSplit="6" ySplit="1" topLeftCell="L104" activePane="bottomRight" state="frozen"/>
      <selection/>
      <selection pane="topRight"/>
      <selection pane="bottomLeft"/>
      <selection pane="bottomRight" activeCell="F1" sqref="$A1:$XFD1048576"/>
    </sheetView>
  </sheetViews>
  <sheetFormatPr defaultColWidth="9" defaultRowHeight="12.75"/>
  <cols>
    <col min="1" max="1" width="4.4" style="600" customWidth="1"/>
    <col min="2" max="2" width="10" style="601" hidden="1" customWidth="1"/>
    <col min="3" max="3" width="5.1" style="601" hidden="1" customWidth="1"/>
    <col min="4" max="4" width="5.1" style="601" customWidth="1"/>
    <col min="5" max="5" width="4.4" style="601" hidden="1" customWidth="1"/>
    <col min="6" max="6" width="6.5" style="601" customWidth="1"/>
    <col min="7" max="7" width="18.6" style="601" customWidth="1"/>
    <col min="8" max="8" width="18.1" style="601" hidden="1" customWidth="1"/>
    <col min="9" max="9" width="11.7" style="601" hidden="1" customWidth="1"/>
    <col min="10" max="10" width="22.6" style="601" hidden="1" customWidth="1"/>
    <col min="11" max="11" width="49.1" style="601" customWidth="1"/>
    <col min="12" max="12" width="8.7" style="602" customWidth="1"/>
    <col min="13" max="13" width="33.9" style="603" customWidth="1"/>
    <col min="14" max="14" width="12.9" style="603" customWidth="1"/>
    <col min="15" max="15" width="11.9" style="603" customWidth="1"/>
    <col min="16" max="19" width="11.9" style="603" hidden="1" customWidth="1"/>
    <col min="20" max="20" width="6.1" style="603" customWidth="1"/>
    <col min="21" max="21" width="35.5" style="603" customWidth="1"/>
    <col min="22" max="22" width="17.5" style="603" customWidth="1"/>
    <col min="23" max="23" width="9.7" style="604" customWidth="1"/>
    <col min="24" max="16384" width="9" style="604"/>
  </cols>
  <sheetData>
    <row r="1" s="592" customFormat="1" ht="33" spans="1:24">
      <c r="A1" s="605" t="s">
        <v>389</v>
      </c>
      <c r="B1" s="606" t="s">
        <v>390</v>
      </c>
      <c r="C1" s="607" t="s">
        <v>391</v>
      </c>
      <c r="D1" s="607" t="s">
        <v>392</v>
      </c>
      <c r="E1" s="607" t="s">
        <v>393</v>
      </c>
      <c r="F1" s="607" t="s">
        <v>394</v>
      </c>
      <c r="G1" s="608" t="s">
        <v>395</v>
      </c>
      <c r="H1" s="608" t="s">
        <v>396</v>
      </c>
      <c r="I1" s="606" t="s">
        <v>397</v>
      </c>
      <c r="J1" s="608" t="s">
        <v>398</v>
      </c>
      <c r="K1" s="608" t="s">
        <v>399</v>
      </c>
      <c r="L1" s="656" t="s">
        <v>400</v>
      </c>
      <c r="M1" s="608" t="s">
        <v>401</v>
      </c>
      <c r="N1" s="657" t="s">
        <v>402</v>
      </c>
      <c r="O1" s="657" t="s">
        <v>403</v>
      </c>
      <c r="P1" s="657" t="s">
        <v>248</v>
      </c>
      <c r="Q1" s="657" t="s">
        <v>249</v>
      </c>
      <c r="R1" s="657" t="s">
        <v>250</v>
      </c>
      <c r="S1" s="657" t="s">
        <v>251</v>
      </c>
      <c r="T1" s="657" t="s">
        <v>404</v>
      </c>
      <c r="U1" s="608" t="s">
        <v>405</v>
      </c>
      <c r="V1" s="657" t="s">
        <v>406</v>
      </c>
      <c r="W1" s="696" t="s">
        <v>407</v>
      </c>
      <c r="X1" s="697"/>
    </row>
    <row r="2" s="593" customFormat="1" ht="16.5" spans="1:24">
      <c r="A2" s="609">
        <v>1</v>
      </c>
      <c r="B2" s="610" t="s">
        <v>408</v>
      </c>
      <c r="C2" s="611" t="s">
        <v>409</v>
      </c>
      <c r="D2" s="611" t="s">
        <v>410</v>
      </c>
      <c r="E2" s="611" t="s">
        <v>411</v>
      </c>
      <c r="F2" s="611" t="s">
        <v>412</v>
      </c>
      <c r="G2" s="612" t="s">
        <v>413</v>
      </c>
      <c r="H2" s="612" t="s">
        <v>414</v>
      </c>
      <c r="I2" s="610" t="s">
        <v>408</v>
      </c>
      <c r="J2" s="639" t="s">
        <v>415</v>
      </c>
      <c r="K2" s="658" t="s">
        <v>416</v>
      </c>
      <c r="L2" s="659">
        <v>180</v>
      </c>
      <c r="M2" s="660" t="s">
        <v>417</v>
      </c>
      <c r="N2" s="659">
        <f>O2/180/365</f>
        <v>35.0076103500761</v>
      </c>
      <c r="O2" s="659">
        <v>2300000</v>
      </c>
      <c r="P2" s="659"/>
      <c r="Q2" s="659"/>
      <c r="R2" s="659"/>
      <c r="S2" s="659"/>
      <c r="T2" s="698" t="s">
        <v>418</v>
      </c>
      <c r="U2" s="660"/>
      <c r="V2" s="660"/>
      <c r="W2" s="699"/>
      <c r="X2" s="700"/>
    </row>
    <row r="3" ht="16.5" spans="1:24">
      <c r="A3" s="613">
        <v>2</v>
      </c>
      <c r="B3" s="610" t="s">
        <v>408</v>
      </c>
      <c r="C3" s="611" t="s">
        <v>409</v>
      </c>
      <c r="D3" s="611" t="s">
        <v>410</v>
      </c>
      <c r="E3" s="611" t="s">
        <v>411</v>
      </c>
      <c r="F3" s="611" t="s">
        <v>419</v>
      </c>
      <c r="G3" s="612" t="s">
        <v>420</v>
      </c>
      <c r="H3" s="612" t="s">
        <v>420</v>
      </c>
      <c r="I3" s="610" t="s">
        <v>408</v>
      </c>
      <c r="J3" s="639" t="s">
        <v>421</v>
      </c>
      <c r="K3" s="612" t="s">
        <v>422</v>
      </c>
      <c r="L3" s="659">
        <v>1784.57</v>
      </c>
      <c r="M3" s="661" t="s">
        <v>423</v>
      </c>
      <c r="N3" s="659">
        <f>O3/L3/365</f>
        <v>1.53523035095136</v>
      </c>
      <c r="O3" s="659">
        <v>1000000</v>
      </c>
      <c r="P3" s="659"/>
      <c r="Q3" s="659"/>
      <c r="R3" s="659"/>
      <c r="S3" s="659"/>
      <c r="T3" s="698" t="s">
        <v>418</v>
      </c>
      <c r="U3" s="660"/>
      <c r="V3" s="660"/>
      <c r="W3" s="699"/>
      <c r="X3" s="700"/>
    </row>
    <row r="4" ht="38.25" spans="1:24">
      <c r="A4" s="614"/>
      <c r="B4" s="610" t="s">
        <v>408</v>
      </c>
      <c r="C4" s="611" t="s">
        <v>409</v>
      </c>
      <c r="D4" s="611" t="s">
        <v>410</v>
      </c>
      <c r="E4" s="611" t="s">
        <v>411</v>
      </c>
      <c r="F4" s="611" t="s">
        <v>419</v>
      </c>
      <c r="G4" s="612" t="s">
        <v>420</v>
      </c>
      <c r="H4" s="612" t="s">
        <v>420</v>
      </c>
      <c r="I4" s="610" t="s">
        <v>408</v>
      </c>
      <c r="J4" s="639" t="s">
        <v>421</v>
      </c>
      <c r="K4" s="612" t="s">
        <v>422</v>
      </c>
      <c r="L4" s="659">
        <v>2466.43</v>
      </c>
      <c r="M4" s="661" t="s">
        <v>424</v>
      </c>
      <c r="N4" s="659">
        <f>O4/L4/365</f>
        <v>15.5512882326344</v>
      </c>
      <c r="O4" s="659">
        <f>(9000000+8333333*0.05*12)</f>
        <v>13999999.8</v>
      </c>
      <c r="P4" s="659"/>
      <c r="Q4" s="659"/>
      <c r="R4" s="659"/>
      <c r="S4" s="659"/>
      <c r="T4" s="698" t="s">
        <v>418</v>
      </c>
      <c r="U4" s="660" t="s">
        <v>425</v>
      </c>
      <c r="V4" s="659">
        <v>10000000</v>
      </c>
      <c r="W4" s="699"/>
      <c r="X4" s="700"/>
    </row>
    <row r="5" ht="81" customHeight="1" spans="1:24">
      <c r="A5" s="613">
        <v>3</v>
      </c>
      <c r="B5" s="610" t="s">
        <v>408</v>
      </c>
      <c r="C5" s="611" t="s">
        <v>409</v>
      </c>
      <c r="D5" s="611" t="s">
        <v>410</v>
      </c>
      <c r="E5" s="611" t="s">
        <v>411</v>
      </c>
      <c r="F5" s="611" t="s">
        <v>412</v>
      </c>
      <c r="G5" s="612" t="s">
        <v>426</v>
      </c>
      <c r="H5" s="615" t="s">
        <v>427</v>
      </c>
      <c r="I5" s="610" t="s">
        <v>408</v>
      </c>
      <c r="J5" s="639" t="s">
        <v>428</v>
      </c>
      <c r="K5" s="662" t="s">
        <v>429</v>
      </c>
      <c r="L5" s="659">
        <v>71.22</v>
      </c>
      <c r="M5" s="660" t="s">
        <v>430</v>
      </c>
      <c r="N5" s="659">
        <f>O5/L5/365</f>
        <v>8.87652768000369</v>
      </c>
      <c r="O5" s="659">
        <v>230748</v>
      </c>
      <c r="P5" s="659"/>
      <c r="Q5" s="659"/>
      <c r="R5" s="659"/>
      <c r="S5" s="659"/>
      <c r="T5" s="701">
        <f>(230748-213660)/213660/3</f>
        <v>0.0266591781334831</v>
      </c>
      <c r="U5" s="660" t="s">
        <v>431</v>
      </c>
      <c r="V5" s="659">
        <v>51278</v>
      </c>
      <c r="W5" s="699"/>
      <c r="X5" s="700"/>
    </row>
    <row r="6" ht="117" customHeight="1" spans="1:24">
      <c r="A6" s="609">
        <v>4</v>
      </c>
      <c r="B6" s="610" t="s">
        <v>408</v>
      </c>
      <c r="C6" s="611" t="s">
        <v>409</v>
      </c>
      <c r="D6" s="611" t="s">
        <v>410</v>
      </c>
      <c r="E6" s="611" t="s">
        <v>411</v>
      </c>
      <c r="F6" s="611" t="s">
        <v>432</v>
      </c>
      <c r="G6" s="612" t="s">
        <v>433</v>
      </c>
      <c r="H6" s="612" t="s">
        <v>434</v>
      </c>
      <c r="I6" s="610" t="s">
        <v>408</v>
      </c>
      <c r="J6" s="623" t="s">
        <v>435</v>
      </c>
      <c r="K6" s="623" t="s">
        <v>436</v>
      </c>
      <c r="L6" s="663">
        <v>425</v>
      </c>
      <c r="M6" s="661" t="s">
        <v>437</v>
      </c>
      <c r="N6" s="659">
        <v>182.5</v>
      </c>
      <c r="O6" s="659">
        <f>L6*N6*12</f>
        <v>930750</v>
      </c>
      <c r="P6" s="659"/>
      <c r="Q6" s="659"/>
      <c r="R6" s="659"/>
      <c r="S6" s="659"/>
      <c r="T6" s="701">
        <f>(182.5-121.67)/121.67</f>
        <v>0.499958905235473</v>
      </c>
      <c r="U6" s="661" t="s">
        <v>438</v>
      </c>
      <c r="V6" s="659">
        <f>(70+13.23)*12*L6</f>
        <v>424473</v>
      </c>
      <c r="W6" s="699"/>
      <c r="X6" s="700"/>
    </row>
    <row r="7" ht="82.5" spans="1:24">
      <c r="A7" s="609">
        <v>5</v>
      </c>
      <c r="B7" s="610" t="s">
        <v>408</v>
      </c>
      <c r="C7" s="611" t="s">
        <v>409</v>
      </c>
      <c r="D7" s="611" t="s">
        <v>410</v>
      </c>
      <c r="E7" s="611" t="s">
        <v>411</v>
      </c>
      <c r="F7" s="611" t="s">
        <v>412</v>
      </c>
      <c r="G7" s="612" t="s">
        <v>439</v>
      </c>
      <c r="H7" s="612" t="s">
        <v>440</v>
      </c>
      <c r="I7" s="610" t="s">
        <v>408</v>
      </c>
      <c r="J7" s="623" t="s">
        <v>435</v>
      </c>
      <c r="K7" s="623" t="s">
        <v>441</v>
      </c>
      <c r="L7" s="663">
        <v>197</v>
      </c>
      <c r="M7" s="661" t="s">
        <v>442</v>
      </c>
      <c r="N7" s="659"/>
      <c r="O7" s="659"/>
      <c r="P7" s="659"/>
      <c r="Q7" s="659"/>
      <c r="R7" s="659"/>
      <c r="S7" s="659"/>
      <c r="T7" s="659"/>
      <c r="U7" s="661" t="s">
        <v>443</v>
      </c>
      <c r="V7" s="659"/>
      <c r="W7" s="699" t="s">
        <v>444</v>
      </c>
      <c r="X7" s="700"/>
    </row>
    <row r="8" ht="66" spans="1:24">
      <c r="A8" s="609">
        <v>6</v>
      </c>
      <c r="B8" s="610" t="s">
        <v>408</v>
      </c>
      <c r="C8" s="611" t="s">
        <v>409</v>
      </c>
      <c r="D8" s="611" t="s">
        <v>410</v>
      </c>
      <c r="E8" s="611" t="s">
        <v>411</v>
      </c>
      <c r="F8" s="611" t="s">
        <v>432</v>
      </c>
      <c r="G8" s="616" t="s">
        <v>445</v>
      </c>
      <c r="H8" s="616" t="s">
        <v>446</v>
      </c>
      <c r="I8" s="610" t="s">
        <v>408</v>
      </c>
      <c r="J8" s="623" t="s">
        <v>447</v>
      </c>
      <c r="K8" s="623" t="s">
        <v>448</v>
      </c>
      <c r="L8" s="663">
        <v>270</v>
      </c>
      <c r="M8" s="661" t="s">
        <v>449</v>
      </c>
      <c r="N8" s="659"/>
      <c r="O8" s="659"/>
      <c r="P8" s="659"/>
      <c r="Q8" s="659"/>
      <c r="R8" s="659"/>
      <c r="S8" s="659"/>
      <c r="T8" s="659"/>
      <c r="U8" s="661"/>
      <c r="V8" s="659"/>
      <c r="W8" s="702">
        <v>42826</v>
      </c>
      <c r="X8" s="700"/>
    </row>
    <row r="9" ht="49.5" spans="1:24">
      <c r="A9" s="613">
        <v>7</v>
      </c>
      <c r="B9" s="610" t="s">
        <v>408</v>
      </c>
      <c r="C9" s="611" t="s">
        <v>409</v>
      </c>
      <c r="D9" s="611" t="s">
        <v>410</v>
      </c>
      <c r="E9" s="611" t="s">
        <v>411</v>
      </c>
      <c r="F9" s="611" t="s">
        <v>412</v>
      </c>
      <c r="G9" s="616" t="s">
        <v>450</v>
      </c>
      <c r="H9" s="616" t="s">
        <v>450</v>
      </c>
      <c r="I9" s="610" t="s">
        <v>408</v>
      </c>
      <c r="J9" s="664" t="s">
        <v>428</v>
      </c>
      <c r="K9" s="623" t="s">
        <v>451</v>
      </c>
      <c r="L9" s="663">
        <v>150</v>
      </c>
      <c r="M9" s="661" t="s">
        <v>452</v>
      </c>
      <c r="N9" s="659"/>
      <c r="O9" s="659"/>
      <c r="P9" s="659"/>
      <c r="Q9" s="659"/>
      <c r="R9" s="659"/>
      <c r="S9" s="659"/>
      <c r="T9" s="701"/>
      <c r="U9" s="661" t="s">
        <v>453</v>
      </c>
      <c r="V9" s="659"/>
      <c r="W9" s="703" t="s">
        <v>454</v>
      </c>
      <c r="X9" s="700"/>
    </row>
    <row r="10" ht="25.5" spans="1:24">
      <c r="A10" s="614"/>
      <c r="B10" s="610" t="s">
        <v>408</v>
      </c>
      <c r="C10" s="611" t="s">
        <v>409</v>
      </c>
      <c r="D10" s="611" t="s">
        <v>410</v>
      </c>
      <c r="E10" s="611" t="s">
        <v>411</v>
      </c>
      <c r="F10" s="611" t="s">
        <v>412</v>
      </c>
      <c r="G10" s="616" t="s">
        <v>450</v>
      </c>
      <c r="H10" s="616" t="s">
        <v>450</v>
      </c>
      <c r="I10" s="610" t="s">
        <v>408</v>
      </c>
      <c r="J10" s="664" t="s">
        <v>428</v>
      </c>
      <c r="K10" s="623" t="s">
        <v>451</v>
      </c>
      <c r="L10" s="663">
        <v>150</v>
      </c>
      <c r="M10" s="661" t="s">
        <v>455</v>
      </c>
      <c r="N10" s="659">
        <f>O10/L10/365</f>
        <v>15.1232876712329</v>
      </c>
      <c r="O10" s="659">
        <f>69000*12</f>
        <v>828000</v>
      </c>
      <c r="P10" s="659"/>
      <c r="Q10" s="659"/>
      <c r="R10" s="659"/>
      <c r="S10" s="659"/>
      <c r="T10" s="701">
        <f>(828000-752400)/752400</f>
        <v>0.100478468899522</v>
      </c>
      <c r="U10" s="661" t="s">
        <v>456</v>
      </c>
      <c r="V10" s="659">
        <f>60*L10*12</f>
        <v>108000</v>
      </c>
      <c r="W10" s="699"/>
      <c r="X10" s="700"/>
    </row>
    <row r="11" ht="33" spans="1:24">
      <c r="A11" s="613">
        <v>8</v>
      </c>
      <c r="B11" s="610" t="s">
        <v>408</v>
      </c>
      <c r="C11" s="611" t="s">
        <v>409</v>
      </c>
      <c r="D11" s="611" t="s">
        <v>410</v>
      </c>
      <c r="E11" s="611" t="s">
        <v>411</v>
      </c>
      <c r="F11" s="611" t="s">
        <v>419</v>
      </c>
      <c r="G11" s="612" t="s">
        <v>457</v>
      </c>
      <c r="H11" s="612" t="s">
        <v>457</v>
      </c>
      <c r="I11" s="610" t="s">
        <v>408</v>
      </c>
      <c r="J11" s="639" t="s">
        <v>458</v>
      </c>
      <c r="K11" s="658" t="s">
        <v>459</v>
      </c>
      <c r="L11" s="659">
        <v>1605.88</v>
      </c>
      <c r="M11" s="660" t="s">
        <v>460</v>
      </c>
      <c r="N11" s="659"/>
      <c r="O11" s="659"/>
      <c r="P11" s="659"/>
      <c r="Q11" s="659"/>
      <c r="R11" s="659"/>
      <c r="S11" s="659"/>
      <c r="T11" s="659"/>
      <c r="U11" s="660" t="s">
        <v>461</v>
      </c>
      <c r="V11" s="659"/>
      <c r="W11" s="703" t="s">
        <v>454</v>
      </c>
      <c r="X11" s="700"/>
    </row>
    <row r="12" ht="96" customHeight="1" spans="1:24">
      <c r="A12" s="614"/>
      <c r="B12" s="610" t="s">
        <v>408</v>
      </c>
      <c r="C12" s="611" t="s">
        <v>409</v>
      </c>
      <c r="D12" s="611" t="s">
        <v>410</v>
      </c>
      <c r="E12" s="611" t="s">
        <v>411</v>
      </c>
      <c r="F12" s="611" t="s">
        <v>419</v>
      </c>
      <c r="G12" s="612" t="s">
        <v>457</v>
      </c>
      <c r="H12" s="612" t="s">
        <v>457</v>
      </c>
      <c r="I12" s="610" t="s">
        <v>408</v>
      </c>
      <c r="J12" s="639" t="s">
        <v>458</v>
      </c>
      <c r="K12" s="658" t="s">
        <v>459</v>
      </c>
      <c r="L12" s="659">
        <v>1605.88</v>
      </c>
      <c r="M12" s="660" t="s">
        <v>462</v>
      </c>
      <c r="N12" s="659">
        <f>O12/L12/365</f>
        <v>5.91780821917808</v>
      </c>
      <c r="O12" s="659">
        <v>3468700.8</v>
      </c>
      <c r="P12" s="659"/>
      <c r="Q12" s="659"/>
      <c r="R12" s="659"/>
      <c r="S12" s="659"/>
      <c r="T12" s="701">
        <f>(3607448.88-3468700.8)/3468700.8</f>
        <v>0.0400000138380341</v>
      </c>
      <c r="U12" s="660" t="s">
        <v>463</v>
      </c>
      <c r="V12" s="659">
        <f>16*L12*12</f>
        <v>308328.96</v>
      </c>
      <c r="W12" s="699"/>
      <c r="X12" s="700"/>
    </row>
    <row r="13" ht="89.25" spans="1:24">
      <c r="A13" s="613">
        <v>9</v>
      </c>
      <c r="B13" s="610" t="s">
        <v>408</v>
      </c>
      <c r="C13" s="611" t="s">
        <v>409</v>
      </c>
      <c r="D13" s="611" t="s">
        <v>410</v>
      </c>
      <c r="E13" s="611" t="s">
        <v>411</v>
      </c>
      <c r="F13" s="611" t="s">
        <v>419</v>
      </c>
      <c r="G13" s="612" t="s">
        <v>464</v>
      </c>
      <c r="H13" s="612" t="s">
        <v>465</v>
      </c>
      <c r="I13" s="610" t="s">
        <v>408</v>
      </c>
      <c r="J13" s="639" t="s">
        <v>466</v>
      </c>
      <c r="K13" s="665" t="s">
        <v>467</v>
      </c>
      <c r="L13" s="659">
        <v>2848.15</v>
      </c>
      <c r="M13" s="661" t="s">
        <v>468</v>
      </c>
      <c r="N13" s="659"/>
      <c r="O13" s="659"/>
      <c r="P13" s="659"/>
      <c r="Q13" s="659"/>
      <c r="R13" s="659"/>
      <c r="S13" s="659"/>
      <c r="T13" s="701"/>
      <c r="U13" s="661" t="s">
        <v>469</v>
      </c>
      <c r="V13" s="659"/>
      <c r="W13" s="703" t="s">
        <v>454</v>
      </c>
      <c r="X13" s="700"/>
    </row>
    <row r="14" ht="63.75" spans="1:24">
      <c r="A14" s="614"/>
      <c r="B14" s="610" t="s">
        <v>408</v>
      </c>
      <c r="C14" s="611" t="s">
        <v>409</v>
      </c>
      <c r="D14" s="611" t="s">
        <v>410</v>
      </c>
      <c r="E14" s="611" t="s">
        <v>411</v>
      </c>
      <c r="F14" s="611" t="s">
        <v>419</v>
      </c>
      <c r="G14" s="612" t="s">
        <v>464</v>
      </c>
      <c r="H14" s="612" t="s">
        <v>465</v>
      </c>
      <c r="I14" s="610" t="s">
        <v>408</v>
      </c>
      <c r="J14" s="639" t="s">
        <v>466</v>
      </c>
      <c r="K14" s="665" t="s">
        <v>467</v>
      </c>
      <c r="L14" s="659">
        <v>2601</v>
      </c>
      <c r="M14" s="661" t="s">
        <v>470</v>
      </c>
      <c r="N14" s="659">
        <f>O14/L14/365</f>
        <v>4.07046575342466</v>
      </c>
      <c r="O14" s="659">
        <f>123.81*L14*12</f>
        <v>3864357.72</v>
      </c>
      <c r="P14" s="659"/>
      <c r="Q14" s="659"/>
      <c r="R14" s="659"/>
      <c r="S14" s="659"/>
      <c r="T14" s="701">
        <f>(127.52-123.81)/123.81</f>
        <v>0.0299652693643485</v>
      </c>
      <c r="U14" s="661" t="s">
        <v>471</v>
      </c>
      <c r="V14" s="659">
        <f>17.02*L14*12</f>
        <v>531228.24</v>
      </c>
      <c r="W14" s="699"/>
      <c r="X14" s="700"/>
    </row>
    <row r="15" s="594" customFormat="1" ht="16.5" spans="1:24">
      <c r="A15" s="617">
        <v>10</v>
      </c>
      <c r="B15" s="610" t="s">
        <v>408</v>
      </c>
      <c r="C15" s="611"/>
      <c r="D15" s="618" t="s">
        <v>410</v>
      </c>
      <c r="E15" s="611" t="s">
        <v>411</v>
      </c>
      <c r="F15" s="619" t="s">
        <v>472</v>
      </c>
      <c r="G15" s="620" t="s">
        <v>473</v>
      </c>
      <c r="H15" s="621" t="s">
        <v>474</v>
      </c>
      <c r="I15" s="610" t="s">
        <v>408</v>
      </c>
      <c r="J15" s="621" t="s">
        <v>475</v>
      </c>
      <c r="K15" s="666" t="s">
        <v>476</v>
      </c>
      <c r="L15" s="667">
        <v>30</v>
      </c>
      <c r="M15" s="668"/>
      <c r="N15" s="667"/>
      <c r="O15" s="669" t="s">
        <v>477</v>
      </c>
      <c r="P15" s="669"/>
      <c r="Q15" s="669"/>
      <c r="R15" s="669"/>
      <c r="S15" s="669"/>
      <c r="T15" s="704"/>
      <c r="U15" s="668" t="s">
        <v>478</v>
      </c>
      <c r="V15" s="667"/>
      <c r="W15" s="705"/>
      <c r="X15" s="706"/>
    </row>
    <row r="16" ht="16.5" spans="1:24">
      <c r="A16" s="609">
        <v>11</v>
      </c>
      <c r="B16" s="610" t="s">
        <v>408</v>
      </c>
      <c r="C16" s="611" t="s">
        <v>409</v>
      </c>
      <c r="D16" s="611" t="s">
        <v>410</v>
      </c>
      <c r="E16" s="611" t="s">
        <v>411</v>
      </c>
      <c r="F16" s="611" t="s">
        <v>412</v>
      </c>
      <c r="G16" s="612" t="s">
        <v>479</v>
      </c>
      <c r="H16" s="612" t="s">
        <v>479</v>
      </c>
      <c r="I16" s="610" t="s">
        <v>408</v>
      </c>
      <c r="J16" s="639" t="s">
        <v>421</v>
      </c>
      <c r="K16" s="612" t="s">
        <v>480</v>
      </c>
      <c r="L16" s="659">
        <v>1057</v>
      </c>
      <c r="M16" s="660" t="s">
        <v>481</v>
      </c>
      <c r="N16" s="659">
        <f>O16/L16/365</f>
        <v>0.777594898977463</v>
      </c>
      <c r="O16" s="659">
        <v>300000</v>
      </c>
      <c r="P16" s="659"/>
      <c r="Q16" s="659"/>
      <c r="R16" s="659"/>
      <c r="S16" s="659"/>
      <c r="T16" s="698" t="s">
        <v>418</v>
      </c>
      <c r="U16" s="660"/>
      <c r="V16" s="659"/>
      <c r="W16" s="699"/>
      <c r="X16" s="700"/>
    </row>
    <row r="17" ht="16.5" spans="1:24">
      <c r="A17" s="609">
        <v>12</v>
      </c>
      <c r="B17" s="610" t="s">
        <v>408</v>
      </c>
      <c r="C17" s="611" t="s">
        <v>409</v>
      </c>
      <c r="D17" s="611" t="s">
        <v>410</v>
      </c>
      <c r="E17" s="611" t="s">
        <v>411</v>
      </c>
      <c r="F17" s="611" t="s">
        <v>419</v>
      </c>
      <c r="G17" s="612" t="s">
        <v>482</v>
      </c>
      <c r="H17" s="612" t="s">
        <v>482</v>
      </c>
      <c r="I17" s="610" t="s">
        <v>408</v>
      </c>
      <c r="J17" s="639" t="s">
        <v>421</v>
      </c>
      <c r="K17" s="612" t="s">
        <v>483</v>
      </c>
      <c r="L17" s="659">
        <v>1126.65</v>
      </c>
      <c r="M17" s="660" t="s">
        <v>484</v>
      </c>
      <c r="N17" s="659">
        <f>O17/L17/365</f>
        <v>2.43174546433876</v>
      </c>
      <c r="O17" s="659">
        <v>1000000</v>
      </c>
      <c r="P17" s="659"/>
      <c r="Q17" s="659"/>
      <c r="R17" s="659"/>
      <c r="S17" s="659"/>
      <c r="T17" s="698" t="s">
        <v>418</v>
      </c>
      <c r="U17" s="660"/>
      <c r="V17" s="659"/>
      <c r="W17" s="699"/>
      <c r="X17" s="700"/>
    </row>
    <row r="18" ht="82.5" spans="1:24">
      <c r="A18" s="609">
        <v>13</v>
      </c>
      <c r="B18" s="610" t="s">
        <v>485</v>
      </c>
      <c r="C18" s="611" t="s">
        <v>409</v>
      </c>
      <c r="D18" s="611" t="s">
        <v>410</v>
      </c>
      <c r="E18" s="611" t="s">
        <v>411</v>
      </c>
      <c r="F18" s="611" t="s">
        <v>419</v>
      </c>
      <c r="G18" s="612" t="s">
        <v>486</v>
      </c>
      <c r="H18" s="612" t="s">
        <v>487</v>
      </c>
      <c r="I18" s="610" t="s">
        <v>485</v>
      </c>
      <c r="J18" s="639" t="s">
        <v>488</v>
      </c>
      <c r="K18" s="612" t="s">
        <v>489</v>
      </c>
      <c r="L18" s="659">
        <v>1800</v>
      </c>
      <c r="M18" s="660" t="s">
        <v>490</v>
      </c>
      <c r="N18" s="659"/>
      <c r="O18" s="659"/>
      <c r="P18" s="659"/>
      <c r="Q18" s="659"/>
      <c r="R18" s="659"/>
      <c r="S18" s="659"/>
      <c r="T18" s="701"/>
      <c r="U18" s="660"/>
      <c r="V18" s="659"/>
      <c r="W18" s="699" t="s">
        <v>491</v>
      </c>
      <c r="X18" s="700"/>
    </row>
    <row r="19" ht="132" spans="1:24">
      <c r="A19" s="613">
        <v>14</v>
      </c>
      <c r="B19" s="622" t="s">
        <v>408</v>
      </c>
      <c r="C19" s="611" t="s">
        <v>409</v>
      </c>
      <c r="D19" s="611" t="s">
        <v>410</v>
      </c>
      <c r="E19" s="611" t="s">
        <v>411</v>
      </c>
      <c r="F19" s="611" t="s">
        <v>412</v>
      </c>
      <c r="G19" s="612" t="s">
        <v>492</v>
      </c>
      <c r="H19" s="612" t="s">
        <v>493</v>
      </c>
      <c r="I19" s="610" t="s">
        <v>408</v>
      </c>
      <c r="J19" s="639" t="s">
        <v>494</v>
      </c>
      <c r="K19" s="658" t="s">
        <v>495</v>
      </c>
      <c r="L19" s="659">
        <v>410.04</v>
      </c>
      <c r="M19" s="660" t="s">
        <v>496</v>
      </c>
      <c r="N19" s="659">
        <f>O19/L19/365</f>
        <v>2.95890410958904</v>
      </c>
      <c r="O19" s="659">
        <f>36903.6*12</f>
        <v>442843.2</v>
      </c>
      <c r="P19" s="659"/>
      <c r="Q19" s="659"/>
      <c r="R19" s="659"/>
      <c r="S19" s="659"/>
      <c r="T19" s="701">
        <f>(41004-36903.6)/36903.6</f>
        <v>0.111111111111111</v>
      </c>
      <c r="U19" s="707" t="s">
        <v>497</v>
      </c>
      <c r="V19" s="659">
        <f>24602.4*12</f>
        <v>295228.8</v>
      </c>
      <c r="W19" s="699" t="s">
        <v>498</v>
      </c>
      <c r="X19" s="700"/>
    </row>
    <row r="20" ht="93" customHeight="1" spans="1:24">
      <c r="A20" s="614"/>
      <c r="B20" s="622" t="s">
        <v>408</v>
      </c>
      <c r="C20" s="611" t="s">
        <v>409</v>
      </c>
      <c r="D20" s="611" t="s">
        <v>410</v>
      </c>
      <c r="E20" s="611" t="s">
        <v>411</v>
      </c>
      <c r="F20" s="611" t="s">
        <v>412</v>
      </c>
      <c r="G20" s="612" t="s">
        <v>492</v>
      </c>
      <c r="H20" s="612" t="s">
        <v>493</v>
      </c>
      <c r="I20" s="610" t="s">
        <v>408</v>
      </c>
      <c r="J20" s="639" t="s">
        <v>494</v>
      </c>
      <c r="K20" s="658" t="s">
        <v>495</v>
      </c>
      <c r="L20" s="659">
        <v>260.87</v>
      </c>
      <c r="M20" s="660" t="s">
        <v>499</v>
      </c>
      <c r="N20" s="659">
        <f>O20/L20/365</f>
        <v>61.7511506849315</v>
      </c>
      <c r="O20" s="659">
        <f>22539.17*L20</f>
        <v>5879793.2779</v>
      </c>
      <c r="P20" s="659"/>
      <c r="Q20" s="659"/>
      <c r="R20" s="659"/>
      <c r="S20" s="659"/>
      <c r="T20" s="701">
        <f>(25147.87-22539.17)/22539.17</f>
        <v>0.115740730470554</v>
      </c>
      <c r="U20" s="707" t="s">
        <v>500</v>
      </c>
      <c r="V20" s="659">
        <v>16591.33</v>
      </c>
      <c r="W20" s="699"/>
      <c r="X20" s="700"/>
    </row>
    <row r="21" ht="66" spans="1:24">
      <c r="A21" s="609">
        <v>15</v>
      </c>
      <c r="B21" s="623" t="s">
        <v>408</v>
      </c>
      <c r="C21" s="611" t="s">
        <v>409</v>
      </c>
      <c r="D21" s="611" t="s">
        <v>410</v>
      </c>
      <c r="E21" s="611" t="s">
        <v>411</v>
      </c>
      <c r="F21" s="611" t="s">
        <v>412</v>
      </c>
      <c r="G21" s="612" t="s">
        <v>501</v>
      </c>
      <c r="H21" s="612" t="s">
        <v>502</v>
      </c>
      <c r="I21" s="623" t="s">
        <v>408</v>
      </c>
      <c r="J21" s="623" t="s">
        <v>503</v>
      </c>
      <c r="K21" s="623" t="s">
        <v>504</v>
      </c>
      <c r="L21" s="659">
        <v>1080</v>
      </c>
      <c r="M21" s="661" t="s">
        <v>505</v>
      </c>
      <c r="N21" s="659"/>
      <c r="O21" s="659"/>
      <c r="P21" s="659"/>
      <c r="Q21" s="659"/>
      <c r="R21" s="659"/>
      <c r="S21" s="659"/>
      <c r="T21" s="701"/>
      <c r="U21" s="661" t="s">
        <v>506</v>
      </c>
      <c r="V21" s="659"/>
      <c r="W21" s="702">
        <v>42916</v>
      </c>
      <c r="X21" s="700"/>
    </row>
    <row r="22" ht="66" spans="1:24">
      <c r="A22" s="609">
        <v>16</v>
      </c>
      <c r="B22" s="623" t="s">
        <v>408</v>
      </c>
      <c r="C22" s="611" t="s">
        <v>409</v>
      </c>
      <c r="D22" s="611" t="s">
        <v>507</v>
      </c>
      <c r="E22" s="611" t="s">
        <v>411</v>
      </c>
      <c r="F22" s="611" t="s">
        <v>412</v>
      </c>
      <c r="G22" s="623" t="s">
        <v>508</v>
      </c>
      <c r="H22" s="623" t="s">
        <v>508</v>
      </c>
      <c r="I22" s="623" t="s">
        <v>408</v>
      </c>
      <c r="J22" s="623" t="s">
        <v>509</v>
      </c>
      <c r="K22" s="623" t="s">
        <v>510</v>
      </c>
      <c r="L22" s="659">
        <v>880</v>
      </c>
      <c r="M22" s="661" t="s">
        <v>511</v>
      </c>
      <c r="N22" s="659"/>
      <c r="O22" s="659"/>
      <c r="P22" s="659"/>
      <c r="Q22" s="659"/>
      <c r="R22" s="659"/>
      <c r="S22" s="659"/>
      <c r="T22" s="701"/>
      <c r="U22" s="661" t="s">
        <v>512</v>
      </c>
      <c r="V22" s="659"/>
      <c r="W22" s="699" t="s">
        <v>513</v>
      </c>
      <c r="X22" s="700"/>
    </row>
    <row r="23" s="594" customFormat="1" ht="198" spans="1:24">
      <c r="A23" s="617">
        <v>17</v>
      </c>
      <c r="B23" s="623" t="s">
        <v>408</v>
      </c>
      <c r="C23" s="611" t="s">
        <v>409</v>
      </c>
      <c r="D23" s="618" t="s">
        <v>410</v>
      </c>
      <c r="E23" s="611" t="s">
        <v>411</v>
      </c>
      <c r="F23" s="618" t="s">
        <v>432</v>
      </c>
      <c r="G23" s="624" t="s">
        <v>514</v>
      </c>
      <c r="H23" s="623" t="s">
        <v>515</v>
      </c>
      <c r="I23" s="623" t="s">
        <v>408</v>
      </c>
      <c r="J23" s="623" t="s">
        <v>516</v>
      </c>
      <c r="K23" s="624" t="s">
        <v>517</v>
      </c>
      <c r="L23" s="667">
        <v>920.66</v>
      </c>
      <c r="M23" s="668" t="s">
        <v>518</v>
      </c>
      <c r="N23" s="667"/>
      <c r="O23" s="669" t="s">
        <v>519</v>
      </c>
      <c r="P23" s="669"/>
      <c r="Q23" s="669"/>
      <c r="R23" s="669"/>
      <c r="S23" s="669"/>
      <c r="T23" s="704"/>
      <c r="U23" s="668" t="s">
        <v>520</v>
      </c>
      <c r="V23" s="667">
        <f>40*12*L23</f>
        <v>441916.8</v>
      </c>
      <c r="W23" s="705"/>
      <c r="X23" s="706"/>
    </row>
    <row r="24" ht="99" spans="1:24">
      <c r="A24" s="609">
        <v>18</v>
      </c>
      <c r="B24" s="623" t="s">
        <v>408</v>
      </c>
      <c r="C24" s="611" t="s">
        <v>409</v>
      </c>
      <c r="D24" s="611" t="s">
        <v>410</v>
      </c>
      <c r="E24" s="611" t="s">
        <v>411</v>
      </c>
      <c r="F24" s="611" t="s">
        <v>412</v>
      </c>
      <c r="G24" s="623" t="s">
        <v>521</v>
      </c>
      <c r="H24" s="623" t="s">
        <v>522</v>
      </c>
      <c r="I24" s="623" t="s">
        <v>408</v>
      </c>
      <c r="J24" s="623" t="s">
        <v>516</v>
      </c>
      <c r="K24" s="623" t="s">
        <v>523</v>
      </c>
      <c r="L24" s="659">
        <v>119.63</v>
      </c>
      <c r="M24" s="661" t="s">
        <v>524</v>
      </c>
      <c r="N24" s="659">
        <f>O24/L24/365</f>
        <v>7.33095890410959</v>
      </c>
      <c r="O24" s="659">
        <f>7.23*L24*260+7.96*L24*100</f>
        <v>320105.954</v>
      </c>
      <c r="P24" s="659"/>
      <c r="Q24" s="659"/>
      <c r="R24" s="659"/>
      <c r="S24" s="659"/>
      <c r="T24" s="701">
        <f>(7.96-7.23)/7.23</f>
        <v>0.100968188105117</v>
      </c>
      <c r="U24" s="661" t="s">
        <v>525</v>
      </c>
      <c r="V24" s="659">
        <f>65*L24*12</f>
        <v>93311.4</v>
      </c>
      <c r="W24" s="699"/>
      <c r="X24" s="700"/>
    </row>
    <row r="25" s="595" customFormat="1" ht="101.25" spans="1:24">
      <c r="A25" s="625">
        <v>19</v>
      </c>
      <c r="B25" s="623" t="s">
        <v>408</v>
      </c>
      <c r="C25" s="626" t="s">
        <v>359</v>
      </c>
      <c r="D25" s="627" t="s">
        <v>410</v>
      </c>
      <c r="E25" s="611" t="s">
        <v>411</v>
      </c>
      <c r="F25" s="627" t="s">
        <v>412</v>
      </c>
      <c r="G25" s="628" t="s">
        <v>526</v>
      </c>
      <c r="H25" s="623" t="s">
        <v>527</v>
      </c>
      <c r="I25" s="623" t="s">
        <v>408</v>
      </c>
      <c r="J25" s="670" t="s">
        <v>528</v>
      </c>
      <c r="K25" s="671" t="s">
        <v>529</v>
      </c>
      <c r="L25" s="672">
        <v>122.05</v>
      </c>
      <c r="M25" s="673" t="s">
        <v>530</v>
      </c>
      <c r="N25" s="659">
        <f>O25/L25/365</f>
        <v>10.9528767123288</v>
      </c>
      <c r="O25" s="672">
        <f>10.85*L25*275+11.93*L25*85</f>
        <v>487931.49</v>
      </c>
      <c r="P25" s="672"/>
      <c r="Q25" s="672"/>
      <c r="R25" s="672"/>
      <c r="S25" s="672"/>
      <c r="T25" s="708">
        <f>(13.12-11.93)/11.93</f>
        <v>0.0997485331098072</v>
      </c>
      <c r="U25" s="673" t="s">
        <v>531</v>
      </c>
      <c r="V25" s="672">
        <f>18451.63*12</f>
        <v>221419.56</v>
      </c>
      <c r="W25" s="709"/>
      <c r="X25" s="710"/>
    </row>
    <row r="26" ht="33" spans="1:24">
      <c r="A26" s="609">
        <v>20</v>
      </c>
      <c r="B26" s="623" t="s">
        <v>408</v>
      </c>
      <c r="C26" s="611" t="s">
        <v>409</v>
      </c>
      <c r="D26" s="611" t="s">
        <v>507</v>
      </c>
      <c r="E26" s="611" t="s">
        <v>411</v>
      </c>
      <c r="F26" s="611" t="s">
        <v>412</v>
      </c>
      <c r="G26" s="623" t="s">
        <v>532</v>
      </c>
      <c r="H26" s="623" t="s">
        <v>533</v>
      </c>
      <c r="I26" s="623" t="s">
        <v>408</v>
      </c>
      <c r="J26" s="623" t="s">
        <v>534</v>
      </c>
      <c r="K26" s="623" t="s">
        <v>535</v>
      </c>
      <c r="L26" s="659">
        <v>91</v>
      </c>
      <c r="M26" s="661" t="s">
        <v>536</v>
      </c>
      <c r="N26" s="659">
        <f>O26/L26/365</f>
        <v>9.84986301369863</v>
      </c>
      <c r="O26" s="659">
        <f>27263.6*12</f>
        <v>327163.2</v>
      </c>
      <c r="P26" s="659"/>
      <c r="Q26" s="659"/>
      <c r="R26" s="659"/>
      <c r="S26" s="659"/>
      <c r="T26" s="711">
        <f>(27263.6-25480)/25480</f>
        <v>0.0699999999999999</v>
      </c>
      <c r="U26" s="661" t="s">
        <v>537</v>
      </c>
      <c r="V26" s="659">
        <f>5005*12</f>
        <v>60060</v>
      </c>
      <c r="W26" s="699"/>
      <c r="X26" s="700"/>
    </row>
    <row r="27" ht="99.75" spans="1:24">
      <c r="A27" s="629">
        <v>21</v>
      </c>
      <c r="B27" s="610" t="s">
        <v>538</v>
      </c>
      <c r="C27" s="611" t="s">
        <v>539</v>
      </c>
      <c r="D27" s="611" t="s">
        <v>410</v>
      </c>
      <c r="E27" s="611" t="s">
        <v>411</v>
      </c>
      <c r="F27" s="611" t="s">
        <v>540</v>
      </c>
      <c r="G27" s="630" t="s">
        <v>541</v>
      </c>
      <c r="H27" s="630" t="s">
        <v>541</v>
      </c>
      <c r="I27" s="644" t="s">
        <v>538</v>
      </c>
      <c r="J27" s="674" t="s">
        <v>542</v>
      </c>
      <c r="K27" s="675" t="s">
        <v>543</v>
      </c>
      <c r="L27" s="676">
        <v>1545</v>
      </c>
      <c r="M27" s="677" t="s">
        <v>544</v>
      </c>
      <c r="N27" s="659">
        <f>O27/L27/365</f>
        <v>0.997153876845325</v>
      </c>
      <c r="O27" s="659">
        <f>117150*12*0.4</f>
        <v>562320</v>
      </c>
      <c r="P27" s="659"/>
      <c r="Q27" s="659"/>
      <c r="R27" s="659"/>
      <c r="S27" s="659"/>
      <c r="T27" s="711">
        <f>(127800-117150)/117150</f>
        <v>0.0909090909090909</v>
      </c>
      <c r="U27" s="712" t="s">
        <v>545</v>
      </c>
      <c r="V27" s="659">
        <f>O27/0.4*0.6</f>
        <v>843480</v>
      </c>
      <c r="W27" s="713" t="s">
        <v>546</v>
      </c>
      <c r="X27" s="700"/>
    </row>
    <row r="28" ht="85.5" spans="1:24">
      <c r="A28" s="631">
        <v>22</v>
      </c>
      <c r="B28" s="610" t="s">
        <v>538</v>
      </c>
      <c r="C28" s="611" t="s">
        <v>539</v>
      </c>
      <c r="D28" s="611" t="s">
        <v>410</v>
      </c>
      <c r="E28" s="611" t="s">
        <v>411</v>
      </c>
      <c r="F28" s="611" t="s">
        <v>547</v>
      </c>
      <c r="G28" s="630" t="s">
        <v>548</v>
      </c>
      <c r="H28" s="630" t="s">
        <v>549</v>
      </c>
      <c r="I28" s="644" t="s">
        <v>538</v>
      </c>
      <c r="J28" s="674" t="s">
        <v>550</v>
      </c>
      <c r="K28" s="675" t="s">
        <v>551</v>
      </c>
      <c r="L28" s="676">
        <v>290.12</v>
      </c>
      <c r="M28" s="675" t="s">
        <v>552</v>
      </c>
      <c r="N28" s="659">
        <f>O28/L28/365</f>
        <v>7.77205479452055</v>
      </c>
      <c r="O28" s="659">
        <f>236.4*290.12*12</f>
        <v>823012.416</v>
      </c>
      <c r="P28" s="659"/>
      <c r="Q28" s="659"/>
      <c r="R28" s="659"/>
      <c r="S28" s="659"/>
      <c r="T28" s="701">
        <f>(286.4-260.4)/260.4</f>
        <v>0.0998463901689708</v>
      </c>
      <c r="U28" s="712" t="s">
        <v>553</v>
      </c>
      <c r="V28" s="659">
        <f>63.6*L28</f>
        <v>18451.632</v>
      </c>
      <c r="W28" s="714"/>
      <c r="X28" s="700"/>
    </row>
    <row r="29" ht="76.5" spans="1:24">
      <c r="A29" s="609">
        <v>23</v>
      </c>
      <c r="B29" s="610" t="s">
        <v>538</v>
      </c>
      <c r="C29" s="611" t="s">
        <v>409</v>
      </c>
      <c r="D29" s="611" t="s">
        <v>410</v>
      </c>
      <c r="E29" s="611" t="s">
        <v>411</v>
      </c>
      <c r="F29" s="611" t="s">
        <v>412</v>
      </c>
      <c r="G29" s="616" t="s">
        <v>554</v>
      </c>
      <c r="H29" s="616" t="s">
        <v>554</v>
      </c>
      <c r="I29" s="610" t="s">
        <v>555</v>
      </c>
      <c r="J29" s="664" t="s">
        <v>556</v>
      </c>
      <c r="K29" s="623" t="s">
        <v>557</v>
      </c>
      <c r="L29" s="678">
        <v>212.7</v>
      </c>
      <c r="M29" s="661" t="s">
        <v>558</v>
      </c>
      <c r="N29" s="659"/>
      <c r="O29" s="659"/>
      <c r="P29" s="659"/>
      <c r="Q29" s="659"/>
      <c r="R29" s="659"/>
      <c r="S29" s="659"/>
      <c r="T29" s="701"/>
      <c r="U29" s="661"/>
      <c r="V29" s="659"/>
      <c r="W29" s="699" t="s">
        <v>559</v>
      </c>
      <c r="X29" s="700"/>
    </row>
    <row r="30" ht="33" spans="1:24">
      <c r="A30" s="613">
        <v>24</v>
      </c>
      <c r="B30" s="610" t="s">
        <v>408</v>
      </c>
      <c r="C30" s="611" t="s">
        <v>409</v>
      </c>
      <c r="D30" s="611" t="s">
        <v>560</v>
      </c>
      <c r="E30" s="611" t="s">
        <v>411</v>
      </c>
      <c r="F30" s="611" t="s">
        <v>412</v>
      </c>
      <c r="G30" s="612" t="s">
        <v>561</v>
      </c>
      <c r="H30" s="612" t="s">
        <v>561</v>
      </c>
      <c r="I30" s="610" t="s">
        <v>408</v>
      </c>
      <c r="J30" s="612" t="s">
        <v>562</v>
      </c>
      <c r="K30" s="639" t="s">
        <v>563</v>
      </c>
      <c r="L30" s="659">
        <v>120</v>
      </c>
      <c r="M30" s="661" t="s">
        <v>564</v>
      </c>
      <c r="N30" s="659"/>
      <c r="O30" s="659"/>
      <c r="P30" s="659"/>
      <c r="Q30" s="659"/>
      <c r="R30" s="659"/>
      <c r="S30" s="659"/>
      <c r="T30" s="701"/>
      <c r="U30" s="661"/>
      <c r="V30" s="659"/>
      <c r="W30" s="715" t="s">
        <v>454</v>
      </c>
      <c r="X30" s="700"/>
    </row>
    <row r="31" ht="16.5" spans="1:24">
      <c r="A31" s="614"/>
      <c r="B31" s="610" t="s">
        <v>408</v>
      </c>
      <c r="C31" s="611" t="s">
        <v>409</v>
      </c>
      <c r="D31" s="611" t="s">
        <v>560</v>
      </c>
      <c r="E31" s="611" t="s">
        <v>411</v>
      </c>
      <c r="F31" s="611" t="s">
        <v>412</v>
      </c>
      <c r="G31" s="612" t="s">
        <v>561</v>
      </c>
      <c r="H31" s="612" t="s">
        <v>561</v>
      </c>
      <c r="I31" s="610" t="s">
        <v>408</v>
      </c>
      <c r="J31" s="612" t="s">
        <v>565</v>
      </c>
      <c r="K31" s="639" t="s">
        <v>563</v>
      </c>
      <c r="L31" s="659">
        <v>120</v>
      </c>
      <c r="M31" s="661" t="s">
        <v>566</v>
      </c>
      <c r="N31" s="659">
        <f>O31/L31/365</f>
        <v>2.23744292237443</v>
      </c>
      <c r="O31" s="659">
        <v>98000</v>
      </c>
      <c r="P31" s="659"/>
      <c r="Q31" s="659"/>
      <c r="R31" s="659"/>
      <c r="S31" s="659"/>
      <c r="T31" s="698" t="s">
        <v>418</v>
      </c>
      <c r="U31" s="661"/>
      <c r="V31" s="659"/>
      <c r="W31" s="716"/>
      <c r="X31" s="700"/>
    </row>
    <row r="32" ht="33" spans="1:24">
      <c r="A32" s="632">
        <v>25</v>
      </c>
      <c r="B32" s="610" t="s">
        <v>408</v>
      </c>
      <c r="C32" s="611" t="s">
        <v>409</v>
      </c>
      <c r="D32" s="611" t="s">
        <v>560</v>
      </c>
      <c r="E32" s="611" t="s">
        <v>411</v>
      </c>
      <c r="F32" s="611" t="s">
        <v>419</v>
      </c>
      <c r="G32" s="612" t="s">
        <v>567</v>
      </c>
      <c r="H32" s="612" t="s">
        <v>568</v>
      </c>
      <c r="I32" s="610" t="s">
        <v>408</v>
      </c>
      <c r="J32" s="612" t="s">
        <v>569</v>
      </c>
      <c r="K32" s="612" t="s">
        <v>570</v>
      </c>
      <c r="L32" s="659">
        <v>622.6</v>
      </c>
      <c r="M32" s="661" t="s">
        <v>571</v>
      </c>
      <c r="N32" s="659">
        <f>O32/L32/365</f>
        <v>6.16064317114707</v>
      </c>
      <c r="O32" s="659">
        <v>1400000</v>
      </c>
      <c r="P32" s="659"/>
      <c r="Q32" s="659"/>
      <c r="R32" s="659"/>
      <c r="S32" s="659"/>
      <c r="T32" s="698" t="s">
        <v>418</v>
      </c>
      <c r="U32" s="661"/>
      <c r="V32" s="659"/>
      <c r="W32" s="716"/>
      <c r="X32" s="700"/>
    </row>
    <row r="33" s="594" customFormat="1" ht="93" customHeight="1" spans="1:24">
      <c r="A33" s="633">
        <v>26</v>
      </c>
      <c r="B33" s="623" t="s">
        <v>408</v>
      </c>
      <c r="C33" s="611" t="s">
        <v>409</v>
      </c>
      <c r="D33" s="618" t="s">
        <v>560</v>
      </c>
      <c r="E33" s="611" t="s">
        <v>411</v>
      </c>
      <c r="F33" s="618" t="s">
        <v>412</v>
      </c>
      <c r="G33" s="634" t="s">
        <v>572</v>
      </c>
      <c r="H33" s="612" t="s">
        <v>573</v>
      </c>
      <c r="I33" s="623" t="s">
        <v>408</v>
      </c>
      <c r="J33" s="623" t="s">
        <v>574</v>
      </c>
      <c r="K33" s="624" t="s">
        <v>575</v>
      </c>
      <c r="L33" s="679">
        <v>4137</v>
      </c>
      <c r="M33" s="668" t="s">
        <v>576</v>
      </c>
      <c r="N33" s="667"/>
      <c r="O33" s="667"/>
      <c r="P33" s="667"/>
      <c r="Q33" s="667"/>
      <c r="R33" s="667"/>
      <c r="S33" s="667"/>
      <c r="T33" s="717" t="s">
        <v>577</v>
      </c>
      <c r="U33" s="668"/>
      <c r="V33" s="667"/>
      <c r="W33" s="718"/>
      <c r="X33" s="706"/>
    </row>
    <row r="34" ht="24.75" spans="1:24">
      <c r="A34" s="635">
        <v>27</v>
      </c>
      <c r="B34" s="623" t="s">
        <v>408</v>
      </c>
      <c r="C34" s="611" t="s">
        <v>409</v>
      </c>
      <c r="D34" s="611" t="s">
        <v>560</v>
      </c>
      <c r="E34" s="611" t="s">
        <v>411</v>
      </c>
      <c r="F34" s="626" t="s">
        <v>472</v>
      </c>
      <c r="G34" s="621" t="s">
        <v>578</v>
      </c>
      <c r="H34" s="621" t="s">
        <v>579</v>
      </c>
      <c r="I34" s="623" t="s">
        <v>408</v>
      </c>
      <c r="J34" s="621" t="s">
        <v>580</v>
      </c>
      <c r="K34" s="623" t="s">
        <v>581</v>
      </c>
      <c r="L34" s="663">
        <v>910</v>
      </c>
      <c r="M34" s="661" t="s">
        <v>582</v>
      </c>
      <c r="N34" s="659">
        <f t="shared" ref="N34:N44" si="0">O34/L34/365</f>
        <v>6.02137588438958</v>
      </c>
      <c r="O34" s="659">
        <v>2000000</v>
      </c>
      <c r="P34" s="659"/>
      <c r="Q34" s="659"/>
      <c r="R34" s="659"/>
      <c r="S34" s="659"/>
      <c r="T34" s="698" t="s">
        <v>418</v>
      </c>
      <c r="U34" s="661"/>
      <c r="V34" s="659"/>
      <c r="W34" s="716"/>
      <c r="X34" s="700"/>
    </row>
    <row r="35" ht="16.5" spans="1:24">
      <c r="A35" s="635">
        <v>28</v>
      </c>
      <c r="B35" s="636" t="s">
        <v>408</v>
      </c>
      <c r="C35" s="611" t="s">
        <v>409</v>
      </c>
      <c r="D35" s="611" t="s">
        <v>583</v>
      </c>
      <c r="E35" s="611" t="s">
        <v>411</v>
      </c>
      <c r="F35" s="611" t="s">
        <v>412</v>
      </c>
      <c r="G35" s="612" t="s">
        <v>584</v>
      </c>
      <c r="H35" s="612" t="s">
        <v>584</v>
      </c>
      <c r="I35" s="610" t="s">
        <v>408</v>
      </c>
      <c r="J35" s="639" t="s">
        <v>585</v>
      </c>
      <c r="K35" s="658" t="s">
        <v>586</v>
      </c>
      <c r="L35" s="659">
        <v>100</v>
      </c>
      <c r="M35" s="660" t="s">
        <v>587</v>
      </c>
      <c r="N35" s="659">
        <f t="shared" si="0"/>
        <v>17.8082191780822</v>
      </c>
      <c r="O35" s="659">
        <v>650000</v>
      </c>
      <c r="P35" s="659"/>
      <c r="Q35" s="659"/>
      <c r="R35" s="659"/>
      <c r="S35" s="659"/>
      <c r="T35" s="698" t="s">
        <v>418</v>
      </c>
      <c r="U35" s="660"/>
      <c r="V35" s="659"/>
      <c r="W35" s="719"/>
      <c r="X35" s="700"/>
    </row>
    <row r="36" ht="16.5" spans="1:24">
      <c r="A36" s="632">
        <v>29</v>
      </c>
      <c r="B36" s="610" t="s">
        <v>408</v>
      </c>
      <c r="C36" s="611" t="s">
        <v>409</v>
      </c>
      <c r="D36" s="611" t="s">
        <v>583</v>
      </c>
      <c r="E36" s="611" t="s">
        <v>411</v>
      </c>
      <c r="F36" s="611" t="s">
        <v>412</v>
      </c>
      <c r="G36" s="637" t="s">
        <v>588</v>
      </c>
      <c r="H36" s="637" t="s">
        <v>589</v>
      </c>
      <c r="I36" s="610" t="s">
        <v>408</v>
      </c>
      <c r="J36" s="639" t="s">
        <v>590</v>
      </c>
      <c r="K36" s="658" t="s">
        <v>591</v>
      </c>
      <c r="L36" s="659">
        <v>557</v>
      </c>
      <c r="M36" s="680" t="s">
        <v>592</v>
      </c>
      <c r="N36" s="659">
        <f t="shared" si="0"/>
        <v>2.45935909102088</v>
      </c>
      <c r="O36" s="659">
        <v>500000</v>
      </c>
      <c r="P36" s="659"/>
      <c r="Q36" s="659"/>
      <c r="R36" s="659"/>
      <c r="S36" s="659"/>
      <c r="T36" s="698" t="s">
        <v>418</v>
      </c>
      <c r="U36" s="680"/>
      <c r="V36" s="659"/>
      <c r="W36" s="719"/>
      <c r="X36" s="700"/>
    </row>
    <row r="37" ht="16.5" spans="1:24">
      <c r="A37" s="632"/>
      <c r="B37" s="610" t="s">
        <v>408</v>
      </c>
      <c r="C37" s="611" t="s">
        <v>409</v>
      </c>
      <c r="D37" s="611" t="s">
        <v>583</v>
      </c>
      <c r="E37" s="611" t="s">
        <v>411</v>
      </c>
      <c r="F37" s="611" t="s">
        <v>412</v>
      </c>
      <c r="G37" s="637" t="s">
        <v>588</v>
      </c>
      <c r="H37" s="637" t="s">
        <v>589</v>
      </c>
      <c r="I37" s="610" t="s">
        <v>593</v>
      </c>
      <c r="J37" s="639" t="s">
        <v>590</v>
      </c>
      <c r="K37" s="658" t="s">
        <v>591</v>
      </c>
      <c r="L37" s="659">
        <v>557</v>
      </c>
      <c r="M37" s="680" t="s">
        <v>594</v>
      </c>
      <c r="N37" s="659">
        <f t="shared" si="0"/>
        <v>4.42684636383758</v>
      </c>
      <c r="O37" s="659">
        <v>900000</v>
      </c>
      <c r="P37" s="659"/>
      <c r="Q37" s="659"/>
      <c r="R37" s="659"/>
      <c r="S37" s="659"/>
      <c r="T37" s="701"/>
      <c r="U37" s="680"/>
      <c r="V37" s="659"/>
      <c r="W37" s="719"/>
      <c r="X37" s="700"/>
    </row>
    <row r="38" s="594" customFormat="1" ht="33" spans="1:24">
      <c r="A38" s="633"/>
      <c r="B38" s="638" t="s">
        <v>408</v>
      </c>
      <c r="C38" s="611" t="s">
        <v>409</v>
      </c>
      <c r="D38" s="618" t="s">
        <v>583</v>
      </c>
      <c r="E38" s="611" t="s">
        <v>411</v>
      </c>
      <c r="F38" s="618" t="s">
        <v>412</v>
      </c>
      <c r="G38" s="634" t="s">
        <v>595</v>
      </c>
      <c r="H38" s="612" t="s">
        <v>595</v>
      </c>
      <c r="I38" s="638" t="s">
        <v>408</v>
      </c>
      <c r="J38" s="681" t="s">
        <v>596</v>
      </c>
      <c r="K38" s="682" t="s">
        <v>597</v>
      </c>
      <c r="L38" s="667">
        <v>518</v>
      </c>
      <c r="M38" s="683" t="s">
        <v>598</v>
      </c>
      <c r="N38" s="667">
        <f t="shared" si="0"/>
        <v>5.2890463849368</v>
      </c>
      <c r="O38" s="667">
        <v>1000000</v>
      </c>
      <c r="P38" s="667"/>
      <c r="Q38" s="667"/>
      <c r="R38" s="667"/>
      <c r="S38" s="667"/>
      <c r="T38" s="717" t="s">
        <v>599</v>
      </c>
      <c r="U38" s="683"/>
      <c r="V38" s="667"/>
      <c r="W38" s="720"/>
      <c r="X38" s="706"/>
    </row>
    <row r="39" ht="33" spans="1:24">
      <c r="A39" s="632">
        <v>30</v>
      </c>
      <c r="B39" s="610" t="s">
        <v>408</v>
      </c>
      <c r="C39" s="611" t="s">
        <v>409</v>
      </c>
      <c r="D39" s="611" t="s">
        <v>583</v>
      </c>
      <c r="E39" s="611" t="s">
        <v>411</v>
      </c>
      <c r="F39" s="611" t="s">
        <v>412</v>
      </c>
      <c r="G39" s="612" t="s">
        <v>600</v>
      </c>
      <c r="H39" s="612" t="s">
        <v>601</v>
      </c>
      <c r="I39" s="610" t="s">
        <v>408</v>
      </c>
      <c r="J39" s="639" t="s">
        <v>602</v>
      </c>
      <c r="K39" s="658" t="s">
        <v>603</v>
      </c>
      <c r="L39" s="659">
        <v>57</v>
      </c>
      <c r="M39" s="660" t="s">
        <v>604</v>
      </c>
      <c r="N39" s="659">
        <f t="shared" si="0"/>
        <v>7.20980533525595</v>
      </c>
      <c r="O39" s="659">
        <v>150000</v>
      </c>
      <c r="P39" s="659"/>
      <c r="Q39" s="659"/>
      <c r="R39" s="659"/>
      <c r="S39" s="659"/>
      <c r="T39" s="698" t="s">
        <v>418</v>
      </c>
      <c r="U39" s="660"/>
      <c r="V39" s="659"/>
      <c r="W39" s="719"/>
      <c r="X39" s="700"/>
    </row>
    <row r="40" ht="49.5" spans="1:24">
      <c r="A40" s="632">
        <v>31</v>
      </c>
      <c r="B40" s="610" t="s">
        <v>408</v>
      </c>
      <c r="C40" s="611" t="s">
        <v>409</v>
      </c>
      <c r="D40" s="611" t="s">
        <v>583</v>
      </c>
      <c r="E40" s="611" t="s">
        <v>411</v>
      </c>
      <c r="F40" s="611" t="s">
        <v>412</v>
      </c>
      <c r="G40" s="639" t="s">
        <v>605</v>
      </c>
      <c r="H40" s="639" t="s">
        <v>606</v>
      </c>
      <c r="I40" s="610" t="s">
        <v>607</v>
      </c>
      <c r="J40" s="639" t="s">
        <v>608</v>
      </c>
      <c r="K40" s="658" t="s">
        <v>609</v>
      </c>
      <c r="L40" s="659">
        <v>1065.73</v>
      </c>
      <c r="M40" s="660" t="s">
        <v>610</v>
      </c>
      <c r="N40" s="659">
        <f t="shared" si="0"/>
        <v>2.82782565015246</v>
      </c>
      <c r="O40" s="659">
        <v>1100000</v>
      </c>
      <c r="P40" s="659"/>
      <c r="Q40" s="659"/>
      <c r="R40" s="659"/>
      <c r="S40" s="659"/>
      <c r="T40" s="698">
        <f>(1100000-666667)/666667/4</f>
        <v>0.162499793750103</v>
      </c>
      <c r="U40" s="660"/>
      <c r="V40" s="659"/>
      <c r="W40" s="719"/>
      <c r="X40" s="700"/>
    </row>
    <row r="41" ht="49.5" spans="1:24">
      <c r="A41" s="632"/>
      <c r="B41" s="610" t="s">
        <v>408</v>
      </c>
      <c r="C41" s="611" t="s">
        <v>409</v>
      </c>
      <c r="D41" s="611" t="s">
        <v>583</v>
      </c>
      <c r="E41" s="611" t="s">
        <v>411</v>
      </c>
      <c r="F41" s="611" t="s">
        <v>412</v>
      </c>
      <c r="G41" s="639" t="s">
        <v>605</v>
      </c>
      <c r="H41" s="639" t="s">
        <v>606</v>
      </c>
      <c r="I41" s="610" t="s">
        <v>408</v>
      </c>
      <c r="J41" s="639" t="s">
        <v>608</v>
      </c>
      <c r="K41" s="658" t="s">
        <v>609</v>
      </c>
      <c r="L41" s="659">
        <v>1065.73</v>
      </c>
      <c r="M41" s="660" t="s">
        <v>611</v>
      </c>
      <c r="N41" s="659">
        <f t="shared" si="0"/>
        <v>6.22121643033542</v>
      </c>
      <c r="O41" s="659">
        <v>2420000</v>
      </c>
      <c r="P41" s="659"/>
      <c r="Q41" s="659"/>
      <c r="R41" s="659"/>
      <c r="S41" s="659"/>
      <c r="T41" s="701">
        <f>(2420000-1466667)/1466667/4</f>
        <v>0.162499906250021</v>
      </c>
      <c r="U41" s="660"/>
      <c r="V41" s="659"/>
      <c r="W41" s="719"/>
      <c r="X41" s="700"/>
    </row>
    <row r="42" ht="33" spans="1:24">
      <c r="A42" s="632">
        <v>32</v>
      </c>
      <c r="B42" s="610" t="s">
        <v>408</v>
      </c>
      <c r="C42" s="611" t="s">
        <v>409</v>
      </c>
      <c r="D42" s="611" t="s">
        <v>583</v>
      </c>
      <c r="E42" s="611" t="s">
        <v>411</v>
      </c>
      <c r="F42" s="611" t="s">
        <v>412</v>
      </c>
      <c r="G42" s="612" t="s">
        <v>612</v>
      </c>
      <c r="H42" s="612" t="s">
        <v>613</v>
      </c>
      <c r="I42" s="610" t="s">
        <v>408</v>
      </c>
      <c r="J42" s="639" t="s">
        <v>614</v>
      </c>
      <c r="K42" s="658" t="s">
        <v>615</v>
      </c>
      <c r="L42" s="659">
        <v>331</v>
      </c>
      <c r="M42" s="680" t="s">
        <v>616</v>
      </c>
      <c r="N42" s="659">
        <f t="shared" si="0"/>
        <v>2.48313537226338</v>
      </c>
      <c r="O42" s="659">
        <v>300000</v>
      </c>
      <c r="P42" s="659"/>
      <c r="Q42" s="659"/>
      <c r="R42" s="659"/>
      <c r="S42" s="659"/>
      <c r="T42" s="701">
        <f>(30-25)/25</f>
        <v>0.2</v>
      </c>
      <c r="U42" s="680"/>
      <c r="V42" s="659"/>
      <c r="W42" s="719"/>
      <c r="X42" s="700"/>
    </row>
    <row r="43" ht="85.5" customHeight="1" spans="1:24">
      <c r="A43" s="632">
        <v>33</v>
      </c>
      <c r="B43" s="610" t="s">
        <v>408</v>
      </c>
      <c r="C43" s="611" t="s">
        <v>409</v>
      </c>
      <c r="D43" s="611" t="s">
        <v>583</v>
      </c>
      <c r="E43" s="611" t="s">
        <v>411</v>
      </c>
      <c r="F43" s="611" t="s">
        <v>412</v>
      </c>
      <c r="G43" s="637" t="s">
        <v>617</v>
      </c>
      <c r="H43" s="637" t="s">
        <v>618</v>
      </c>
      <c r="I43" s="610" t="s">
        <v>607</v>
      </c>
      <c r="J43" s="639" t="s">
        <v>619</v>
      </c>
      <c r="K43" s="658" t="s">
        <v>620</v>
      </c>
      <c r="L43" s="659">
        <v>400</v>
      </c>
      <c r="M43" s="660" t="s">
        <v>621</v>
      </c>
      <c r="N43" s="659">
        <f t="shared" si="0"/>
        <v>2.64578767123288</v>
      </c>
      <c r="O43" s="659">
        <f>314600/12*3+410180/12*9</f>
        <v>386285</v>
      </c>
      <c r="P43" s="659"/>
      <c r="Q43" s="659"/>
      <c r="R43" s="659"/>
      <c r="S43" s="659"/>
      <c r="T43" s="701">
        <f>(410180-314600)/314600</f>
        <v>0.303814367450731</v>
      </c>
      <c r="U43" s="660"/>
      <c r="V43" s="659"/>
      <c r="W43" s="719"/>
      <c r="X43" s="700"/>
    </row>
    <row r="44" ht="81.75" customHeight="1" spans="1:24">
      <c r="A44" s="632"/>
      <c r="B44" s="610" t="s">
        <v>408</v>
      </c>
      <c r="C44" s="611" t="s">
        <v>409</v>
      </c>
      <c r="D44" s="611" t="s">
        <v>583</v>
      </c>
      <c r="E44" s="611" t="s">
        <v>411</v>
      </c>
      <c r="F44" s="611" t="s">
        <v>412</v>
      </c>
      <c r="G44" s="637" t="s">
        <v>617</v>
      </c>
      <c r="H44" s="637" t="s">
        <v>618</v>
      </c>
      <c r="I44" s="610" t="s">
        <v>408</v>
      </c>
      <c r="J44" s="639" t="s">
        <v>619</v>
      </c>
      <c r="K44" s="658" t="s">
        <v>620</v>
      </c>
      <c r="L44" s="659">
        <v>400</v>
      </c>
      <c r="M44" s="660" t="s">
        <v>622</v>
      </c>
      <c r="N44" s="659">
        <f t="shared" si="0"/>
        <v>4.39397260273973</v>
      </c>
      <c r="O44" s="659">
        <f>641520</f>
        <v>641520</v>
      </c>
      <c r="P44" s="659"/>
      <c r="Q44" s="659"/>
      <c r="R44" s="659"/>
      <c r="S44" s="659"/>
      <c r="T44" s="698" t="s">
        <v>418</v>
      </c>
      <c r="U44" s="660"/>
      <c r="V44" s="659"/>
      <c r="W44" s="719"/>
      <c r="X44" s="700"/>
    </row>
    <row r="45" s="593" customFormat="1" ht="33" spans="1:24">
      <c r="A45" s="632">
        <v>34</v>
      </c>
      <c r="B45" s="610" t="s">
        <v>408</v>
      </c>
      <c r="C45" s="611" t="s">
        <v>409</v>
      </c>
      <c r="D45" s="611" t="s">
        <v>583</v>
      </c>
      <c r="E45" s="611" t="s">
        <v>411</v>
      </c>
      <c r="F45" s="611" t="s">
        <v>412</v>
      </c>
      <c r="G45" s="612" t="s">
        <v>623</v>
      </c>
      <c r="H45" s="612" t="s">
        <v>624</v>
      </c>
      <c r="I45" s="610" t="s">
        <v>408</v>
      </c>
      <c r="J45" s="639" t="s">
        <v>625</v>
      </c>
      <c r="K45" s="658" t="s">
        <v>626</v>
      </c>
      <c r="L45" s="659">
        <v>396.05</v>
      </c>
      <c r="M45" s="660" t="s">
        <v>627</v>
      </c>
      <c r="N45" s="659"/>
      <c r="O45" s="659"/>
      <c r="P45" s="659"/>
      <c r="Q45" s="659"/>
      <c r="R45" s="659"/>
      <c r="S45" s="659"/>
      <c r="T45" s="701"/>
      <c r="U45" s="660"/>
      <c r="V45" s="659"/>
      <c r="W45" s="716" t="s">
        <v>628</v>
      </c>
      <c r="X45" s="700"/>
    </row>
    <row r="46" ht="132" spans="1:24">
      <c r="A46" s="632">
        <v>35</v>
      </c>
      <c r="B46" s="610" t="s">
        <v>408</v>
      </c>
      <c r="C46" s="611" t="s">
        <v>409</v>
      </c>
      <c r="D46" s="611" t="s">
        <v>583</v>
      </c>
      <c r="E46" s="611" t="s">
        <v>411</v>
      </c>
      <c r="F46" s="611" t="s">
        <v>412</v>
      </c>
      <c r="G46" s="612" t="s">
        <v>629</v>
      </c>
      <c r="H46" s="612" t="s">
        <v>630</v>
      </c>
      <c r="I46" s="610" t="s">
        <v>408</v>
      </c>
      <c r="J46" s="639" t="s">
        <v>625</v>
      </c>
      <c r="K46" s="658" t="s">
        <v>631</v>
      </c>
      <c r="L46" s="659">
        <v>2046.88</v>
      </c>
      <c r="M46" s="660" t="s">
        <v>632</v>
      </c>
      <c r="N46" s="659">
        <f>O46/L46/365</f>
        <v>2.05150684931507</v>
      </c>
      <c r="O46" s="659">
        <f>62.4*12*L46</f>
        <v>1532703.744</v>
      </c>
      <c r="P46" s="659"/>
      <c r="Q46" s="659"/>
      <c r="R46" s="659"/>
      <c r="S46" s="659"/>
      <c r="T46" s="701">
        <f>(64.9-62.4)/62.4</f>
        <v>0.0400641025641027</v>
      </c>
      <c r="U46" s="660" t="s">
        <v>633</v>
      </c>
      <c r="V46" s="659">
        <f>6.24*12*L46</f>
        <v>153270.3744</v>
      </c>
      <c r="W46" s="716"/>
      <c r="X46" s="700"/>
    </row>
    <row r="47" s="594" customFormat="1" ht="25.5" spans="1:24">
      <c r="A47" s="633">
        <v>36</v>
      </c>
      <c r="B47" s="610" t="s">
        <v>408</v>
      </c>
      <c r="C47" s="611" t="s">
        <v>409</v>
      </c>
      <c r="D47" s="618" t="s">
        <v>583</v>
      </c>
      <c r="E47" s="611" t="s">
        <v>411</v>
      </c>
      <c r="F47" s="618" t="s">
        <v>412</v>
      </c>
      <c r="G47" s="640" t="s">
        <v>634</v>
      </c>
      <c r="H47" s="641" t="s">
        <v>634</v>
      </c>
      <c r="I47" s="610" t="s">
        <v>408</v>
      </c>
      <c r="J47" s="681" t="s">
        <v>596</v>
      </c>
      <c r="K47" s="684" t="s">
        <v>635</v>
      </c>
      <c r="L47" s="667">
        <v>423</v>
      </c>
      <c r="M47" s="685" t="s">
        <v>636</v>
      </c>
      <c r="N47" s="659">
        <f>O47/L47/365</f>
        <v>4.20998089316364</v>
      </c>
      <c r="O47" s="667">
        <v>650000</v>
      </c>
      <c r="P47" s="667"/>
      <c r="Q47" s="667"/>
      <c r="R47" s="667"/>
      <c r="S47" s="667"/>
      <c r="T47" s="704"/>
      <c r="U47" s="685"/>
      <c r="V47" s="667"/>
      <c r="W47" s="718"/>
      <c r="X47" s="706"/>
    </row>
    <row r="48" ht="16.5" spans="1:24">
      <c r="A48" s="632">
        <v>37</v>
      </c>
      <c r="B48" s="610" t="s">
        <v>408</v>
      </c>
      <c r="C48" s="611" t="s">
        <v>409</v>
      </c>
      <c r="D48" s="611" t="s">
        <v>637</v>
      </c>
      <c r="E48" s="611" t="s">
        <v>411</v>
      </c>
      <c r="F48" s="611" t="s">
        <v>412</v>
      </c>
      <c r="G48" s="642" t="s">
        <v>638</v>
      </c>
      <c r="H48" s="642" t="s">
        <v>638</v>
      </c>
      <c r="I48" s="610" t="s">
        <v>408</v>
      </c>
      <c r="J48" s="662" t="s">
        <v>639</v>
      </c>
      <c r="K48" s="612" t="s">
        <v>640</v>
      </c>
      <c r="L48" s="659"/>
      <c r="M48" s="680" t="s">
        <v>641</v>
      </c>
      <c r="N48" s="659"/>
      <c r="O48" s="659">
        <v>500000</v>
      </c>
      <c r="P48" s="659"/>
      <c r="Q48" s="659"/>
      <c r="R48" s="659"/>
      <c r="S48" s="659"/>
      <c r="T48" s="701"/>
      <c r="U48" s="680"/>
      <c r="V48" s="659"/>
      <c r="W48" s="716"/>
      <c r="X48" s="700"/>
    </row>
    <row r="49" ht="16.5" spans="1:24">
      <c r="A49" s="635">
        <v>38</v>
      </c>
      <c r="B49" s="610" t="s">
        <v>408</v>
      </c>
      <c r="C49" s="611" t="s">
        <v>409</v>
      </c>
      <c r="D49" s="611" t="s">
        <v>637</v>
      </c>
      <c r="E49" s="611" t="s">
        <v>411</v>
      </c>
      <c r="F49" s="611" t="s">
        <v>419</v>
      </c>
      <c r="G49" s="642" t="s">
        <v>642</v>
      </c>
      <c r="H49" s="642" t="s">
        <v>642</v>
      </c>
      <c r="I49" s="610" t="s">
        <v>408</v>
      </c>
      <c r="J49" s="662" t="s">
        <v>421</v>
      </c>
      <c r="K49" s="662" t="s">
        <v>643</v>
      </c>
      <c r="L49" s="663">
        <v>900</v>
      </c>
      <c r="M49" s="661" t="s">
        <v>644</v>
      </c>
      <c r="N49" s="659">
        <f>O49/L49/365</f>
        <v>9.1324200913242</v>
      </c>
      <c r="O49" s="659">
        <v>3000000</v>
      </c>
      <c r="P49" s="659"/>
      <c r="Q49" s="659"/>
      <c r="R49" s="659"/>
      <c r="S49" s="659"/>
      <c r="T49" s="701"/>
      <c r="U49" s="661"/>
      <c r="V49" s="659"/>
      <c r="W49" s="721"/>
      <c r="X49" s="700"/>
    </row>
    <row r="50" ht="51" spans="1:24">
      <c r="A50" s="643"/>
      <c r="B50" s="610" t="s">
        <v>408</v>
      </c>
      <c r="C50" s="611"/>
      <c r="D50" s="611" t="s">
        <v>637</v>
      </c>
      <c r="E50" s="611" t="s">
        <v>411</v>
      </c>
      <c r="F50" s="611" t="s">
        <v>419</v>
      </c>
      <c r="G50" s="642" t="s">
        <v>642</v>
      </c>
      <c r="H50" s="642" t="s">
        <v>642</v>
      </c>
      <c r="I50" s="610" t="s">
        <v>408</v>
      </c>
      <c r="J50" s="662" t="s">
        <v>421</v>
      </c>
      <c r="K50" s="662" t="s">
        <v>643</v>
      </c>
      <c r="L50" s="663">
        <v>900</v>
      </c>
      <c r="M50" s="661" t="s">
        <v>645</v>
      </c>
      <c r="N50" s="659">
        <f>O50/L50/365</f>
        <v>9.49771689497717</v>
      </c>
      <c r="O50" s="659">
        <v>3120000</v>
      </c>
      <c r="P50" s="659"/>
      <c r="Q50" s="659"/>
      <c r="R50" s="659"/>
      <c r="S50" s="659"/>
      <c r="T50" s="701">
        <f>(330-312)/312</f>
        <v>0.0576923076923077</v>
      </c>
      <c r="U50" s="661"/>
      <c r="V50" s="659"/>
      <c r="W50" s="721"/>
      <c r="X50" s="700"/>
    </row>
    <row r="51" ht="85.5" spans="1:24">
      <c r="A51" s="631">
        <v>39</v>
      </c>
      <c r="B51" s="644" t="s">
        <v>538</v>
      </c>
      <c r="C51" s="611" t="s">
        <v>539</v>
      </c>
      <c r="D51" s="645" t="s">
        <v>646</v>
      </c>
      <c r="E51" s="611" t="s">
        <v>411</v>
      </c>
      <c r="F51" s="611" t="s">
        <v>540</v>
      </c>
      <c r="G51" s="630" t="s">
        <v>647</v>
      </c>
      <c r="H51" s="630" t="s">
        <v>647</v>
      </c>
      <c r="I51" s="644" t="s">
        <v>538</v>
      </c>
      <c r="J51" s="674" t="s">
        <v>648</v>
      </c>
      <c r="K51" s="675" t="s">
        <v>649</v>
      </c>
      <c r="L51" s="686">
        <v>1902.91</v>
      </c>
      <c r="M51" s="677" t="s">
        <v>650</v>
      </c>
      <c r="N51" s="659">
        <f>O51/L51/365</f>
        <v>6.36</v>
      </c>
      <c r="O51" s="659">
        <f>90*L51/12*10+93.6*12*2*L51</f>
        <v>4417415.274</v>
      </c>
      <c r="P51" s="659"/>
      <c r="Q51" s="659"/>
      <c r="R51" s="659"/>
      <c r="S51" s="659"/>
      <c r="T51" s="701">
        <f>(97.34-93.6)/93.6</f>
        <v>0.0399572649572651</v>
      </c>
      <c r="U51" s="675" t="s">
        <v>651</v>
      </c>
      <c r="V51" s="659">
        <f>16*L51*12</f>
        <v>365358.72</v>
      </c>
      <c r="W51" s="714"/>
      <c r="X51" s="700"/>
    </row>
    <row r="52" ht="42.75" spans="1:24">
      <c r="A52" s="646"/>
      <c r="B52" s="644" t="s">
        <v>538</v>
      </c>
      <c r="C52" s="611" t="s">
        <v>539</v>
      </c>
      <c r="D52" s="645" t="s">
        <v>646</v>
      </c>
      <c r="E52" s="611" t="s">
        <v>411</v>
      </c>
      <c r="F52" s="611" t="s">
        <v>540</v>
      </c>
      <c r="G52" s="630" t="s">
        <v>647</v>
      </c>
      <c r="H52" s="630" t="s">
        <v>647</v>
      </c>
      <c r="I52" s="644" t="s">
        <v>538</v>
      </c>
      <c r="J52" s="674" t="s">
        <v>648</v>
      </c>
      <c r="K52" s="675" t="s">
        <v>649</v>
      </c>
      <c r="L52" s="686">
        <v>40.47</v>
      </c>
      <c r="M52" s="677" t="s">
        <v>652</v>
      </c>
      <c r="N52" s="659">
        <f>O52/L52/365</f>
        <v>12.7824657534247</v>
      </c>
      <c r="O52" s="659">
        <f>388.8*L52*12</f>
        <v>188816.832</v>
      </c>
      <c r="P52" s="659"/>
      <c r="Q52" s="659"/>
      <c r="R52" s="659"/>
      <c r="S52" s="659"/>
      <c r="T52" s="701">
        <f>(388.8-360)/360</f>
        <v>0.08</v>
      </c>
      <c r="U52" s="675" t="s">
        <v>653</v>
      </c>
      <c r="V52" s="659">
        <f>60*L52*12</f>
        <v>29138.4</v>
      </c>
      <c r="W52" s="714"/>
      <c r="X52" s="700"/>
    </row>
    <row r="53" s="596" customFormat="1" ht="62.25" spans="1:24">
      <c r="A53" s="647">
        <v>40</v>
      </c>
      <c r="B53" s="648" t="s">
        <v>408</v>
      </c>
      <c r="C53" s="611" t="s">
        <v>409</v>
      </c>
      <c r="D53" s="649" t="s">
        <v>637</v>
      </c>
      <c r="E53" s="649" t="s">
        <v>411</v>
      </c>
      <c r="F53" s="649" t="s">
        <v>419</v>
      </c>
      <c r="G53" s="650" t="s">
        <v>654</v>
      </c>
      <c r="H53" s="650" t="s">
        <v>655</v>
      </c>
      <c r="I53" s="648" t="s">
        <v>408</v>
      </c>
      <c r="J53" s="687" t="s">
        <v>656</v>
      </c>
      <c r="K53" s="687" t="s">
        <v>657</v>
      </c>
      <c r="L53" s="688">
        <v>1592</v>
      </c>
      <c r="M53" s="689" t="s">
        <v>658</v>
      </c>
      <c r="N53" s="659"/>
      <c r="O53" s="659"/>
      <c r="P53" s="659"/>
      <c r="Q53" s="659"/>
      <c r="R53" s="659"/>
      <c r="S53" s="659"/>
      <c r="T53" s="701"/>
      <c r="U53" s="689" t="s">
        <v>659</v>
      </c>
      <c r="V53" s="659"/>
      <c r="W53" s="722">
        <v>42794</v>
      </c>
      <c r="X53" s="723"/>
    </row>
    <row r="54" s="596" customFormat="1" ht="78.75" spans="1:24">
      <c r="A54" s="651">
        <v>41</v>
      </c>
      <c r="B54" s="648" t="s">
        <v>408</v>
      </c>
      <c r="C54" s="611" t="s">
        <v>409</v>
      </c>
      <c r="D54" s="649" t="s">
        <v>660</v>
      </c>
      <c r="E54" s="649" t="s">
        <v>411</v>
      </c>
      <c r="F54" s="649" t="s">
        <v>412</v>
      </c>
      <c r="G54" s="650" t="s">
        <v>661</v>
      </c>
      <c r="H54" s="650" t="s">
        <v>662</v>
      </c>
      <c r="I54" s="648" t="s">
        <v>408</v>
      </c>
      <c r="J54" s="690" t="s">
        <v>663</v>
      </c>
      <c r="K54" s="691" t="s">
        <v>664</v>
      </c>
      <c r="L54" s="688">
        <v>590.55</v>
      </c>
      <c r="M54" s="692" t="s">
        <v>665</v>
      </c>
      <c r="N54" s="659"/>
      <c r="O54" s="659"/>
      <c r="P54" s="659"/>
      <c r="Q54" s="659"/>
      <c r="R54" s="659"/>
      <c r="S54" s="659"/>
      <c r="T54" s="701"/>
      <c r="U54" s="692" t="s">
        <v>666</v>
      </c>
      <c r="V54" s="659"/>
      <c r="W54" s="724" t="s">
        <v>667</v>
      </c>
      <c r="X54" s="723"/>
    </row>
    <row r="55" ht="38.25" spans="1:24">
      <c r="A55" s="643"/>
      <c r="B55" s="610" t="s">
        <v>408</v>
      </c>
      <c r="C55" s="611" t="s">
        <v>409</v>
      </c>
      <c r="D55" s="611" t="s">
        <v>660</v>
      </c>
      <c r="E55" s="611" t="s">
        <v>411</v>
      </c>
      <c r="F55" s="611" t="s">
        <v>412</v>
      </c>
      <c r="G55" s="642" t="s">
        <v>661</v>
      </c>
      <c r="H55" s="642" t="s">
        <v>668</v>
      </c>
      <c r="I55" s="610" t="s">
        <v>408</v>
      </c>
      <c r="J55" s="639" t="s">
        <v>663</v>
      </c>
      <c r="K55" s="658" t="s">
        <v>664</v>
      </c>
      <c r="L55" s="659">
        <v>416.15</v>
      </c>
      <c r="M55" s="685" t="s">
        <v>669</v>
      </c>
      <c r="N55" s="667">
        <f>O55/L55/365</f>
        <v>9.63611974739088</v>
      </c>
      <c r="O55" s="667">
        <f>121973*12</f>
        <v>1463676</v>
      </c>
      <c r="P55" s="667"/>
      <c r="Q55" s="667"/>
      <c r="R55" s="667"/>
      <c r="S55" s="667"/>
      <c r="T55" s="704">
        <f>(131711-121973)/121973</f>
        <v>0.0798373410508883</v>
      </c>
      <c r="U55" s="685" t="s">
        <v>670</v>
      </c>
      <c r="V55" s="659"/>
      <c r="W55" s="719"/>
      <c r="X55" s="700"/>
    </row>
    <row r="56" s="594" customFormat="1" ht="16.5" spans="1:24">
      <c r="A56" s="633">
        <v>42</v>
      </c>
      <c r="B56" s="610" t="s">
        <v>408</v>
      </c>
      <c r="C56" s="611" t="s">
        <v>409</v>
      </c>
      <c r="D56" s="618" t="s">
        <v>660</v>
      </c>
      <c r="E56" s="611" t="s">
        <v>411</v>
      </c>
      <c r="F56" s="618" t="s">
        <v>412</v>
      </c>
      <c r="G56" s="652" t="s">
        <v>671</v>
      </c>
      <c r="H56" s="642" t="s">
        <v>662</v>
      </c>
      <c r="I56" s="610" t="s">
        <v>408</v>
      </c>
      <c r="J56" s="639" t="s">
        <v>663</v>
      </c>
      <c r="K56" s="682" t="s">
        <v>672</v>
      </c>
      <c r="L56" s="667">
        <v>67.18</v>
      </c>
      <c r="M56" s="685" t="s">
        <v>673</v>
      </c>
      <c r="N56" s="667">
        <f>O56/L56/365</f>
        <v>0.220222098064085</v>
      </c>
      <c r="O56" s="667">
        <f>5400</f>
        <v>5400</v>
      </c>
      <c r="P56" s="667"/>
      <c r="Q56" s="667"/>
      <c r="R56" s="667"/>
      <c r="S56" s="667"/>
      <c r="T56" s="704"/>
      <c r="U56" s="685"/>
      <c r="V56" s="667"/>
      <c r="W56" s="720"/>
      <c r="X56" s="706"/>
    </row>
    <row r="57" ht="16.5" spans="1:24">
      <c r="A57" s="635">
        <v>43</v>
      </c>
      <c r="B57" s="653" t="s">
        <v>674</v>
      </c>
      <c r="C57" s="611" t="s">
        <v>409</v>
      </c>
      <c r="D57" s="611" t="s">
        <v>660</v>
      </c>
      <c r="E57" s="611" t="s">
        <v>411</v>
      </c>
      <c r="F57" s="611" t="s">
        <v>419</v>
      </c>
      <c r="G57" s="642" t="s">
        <v>675</v>
      </c>
      <c r="H57" s="642" t="s">
        <v>675</v>
      </c>
      <c r="I57" s="693" t="s">
        <v>674</v>
      </c>
      <c r="J57" s="639" t="s">
        <v>676</v>
      </c>
      <c r="K57" s="658" t="s">
        <v>677</v>
      </c>
      <c r="L57" s="659">
        <v>1747.11</v>
      </c>
      <c r="M57" s="660" t="s">
        <v>678</v>
      </c>
      <c r="N57" s="659"/>
      <c r="O57" s="659"/>
      <c r="P57" s="659"/>
      <c r="Q57" s="659"/>
      <c r="R57" s="659"/>
      <c r="S57" s="659"/>
      <c r="T57" s="701"/>
      <c r="U57" s="660"/>
      <c r="V57" s="659"/>
      <c r="W57" s="725" t="s">
        <v>454</v>
      </c>
      <c r="X57" s="700"/>
    </row>
    <row r="58" s="593" customFormat="1" ht="16.5" spans="1:24">
      <c r="A58" s="643"/>
      <c r="B58" s="610" t="s">
        <v>408</v>
      </c>
      <c r="C58" s="611" t="s">
        <v>409</v>
      </c>
      <c r="D58" s="611" t="s">
        <v>660</v>
      </c>
      <c r="E58" s="611" t="s">
        <v>679</v>
      </c>
      <c r="F58" s="611" t="s">
        <v>419</v>
      </c>
      <c r="G58" s="642" t="s">
        <v>675</v>
      </c>
      <c r="H58" s="642" t="s">
        <v>675</v>
      </c>
      <c r="I58" s="610" t="s">
        <v>408</v>
      </c>
      <c r="J58" s="639" t="s">
        <v>680</v>
      </c>
      <c r="K58" s="658" t="s">
        <v>677</v>
      </c>
      <c r="L58" s="659">
        <v>1747.11</v>
      </c>
      <c r="M58" s="660" t="s">
        <v>681</v>
      </c>
      <c r="N58" s="659">
        <f>O58/L58/365</f>
        <v>2.55608028381586</v>
      </c>
      <c r="O58" s="659">
        <v>1630000</v>
      </c>
      <c r="P58" s="659"/>
      <c r="Q58" s="659"/>
      <c r="R58" s="659"/>
      <c r="S58" s="659"/>
      <c r="T58" s="698" t="s">
        <v>418</v>
      </c>
      <c r="U58" s="660"/>
      <c r="V58" s="659"/>
      <c r="W58" s="719"/>
      <c r="X58" s="700"/>
    </row>
    <row r="59" ht="16.5" spans="1:24">
      <c r="A59" s="632">
        <v>44</v>
      </c>
      <c r="B59" s="610" t="s">
        <v>408</v>
      </c>
      <c r="C59" s="611" t="s">
        <v>409</v>
      </c>
      <c r="D59" s="611" t="s">
        <v>660</v>
      </c>
      <c r="E59" s="611" t="s">
        <v>411</v>
      </c>
      <c r="F59" s="611" t="s">
        <v>419</v>
      </c>
      <c r="G59" s="612" t="s">
        <v>682</v>
      </c>
      <c r="H59" s="612" t="s">
        <v>683</v>
      </c>
      <c r="I59" s="610" t="s">
        <v>408</v>
      </c>
      <c r="J59" s="639" t="s">
        <v>684</v>
      </c>
      <c r="K59" s="662" t="s">
        <v>685</v>
      </c>
      <c r="L59" s="663">
        <v>300</v>
      </c>
      <c r="M59" s="660" t="s">
        <v>686</v>
      </c>
      <c r="N59" s="659">
        <f>O59/L59/365</f>
        <v>3.65296803652968</v>
      </c>
      <c r="O59" s="659">
        <v>400000</v>
      </c>
      <c r="P59" s="659"/>
      <c r="Q59" s="659"/>
      <c r="R59" s="659"/>
      <c r="S59" s="659"/>
      <c r="T59" s="701"/>
      <c r="U59" s="660"/>
      <c r="V59" s="659"/>
      <c r="W59" s="726"/>
      <c r="X59" s="700"/>
    </row>
    <row r="60" ht="76.5" spans="1:24">
      <c r="A60" s="635">
        <v>45</v>
      </c>
      <c r="B60" s="622" t="s">
        <v>408</v>
      </c>
      <c r="C60" s="611" t="s">
        <v>409</v>
      </c>
      <c r="D60" s="611" t="s">
        <v>660</v>
      </c>
      <c r="E60" s="611" t="s">
        <v>411</v>
      </c>
      <c r="F60" s="611" t="s">
        <v>419</v>
      </c>
      <c r="G60" s="612" t="s">
        <v>687</v>
      </c>
      <c r="H60" s="612" t="s">
        <v>687</v>
      </c>
      <c r="I60" s="610" t="s">
        <v>408</v>
      </c>
      <c r="J60" s="639" t="s">
        <v>688</v>
      </c>
      <c r="K60" s="658" t="s">
        <v>689</v>
      </c>
      <c r="L60" s="659">
        <v>3112.81</v>
      </c>
      <c r="M60" s="660" t="s">
        <v>690</v>
      </c>
      <c r="N60" s="659"/>
      <c r="O60" s="659"/>
      <c r="P60" s="659"/>
      <c r="Q60" s="659"/>
      <c r="R60" s="659"/>
      <c r="S60" s="659"/>
      <c r="T60" s="701"/>
      <c r="U60" s="660" t="s">
        <v>691</v>
      </c>
      <c r="V60" s="659"/>
      <c r="W60" s="725" t="s">
        <v>454</v>
      </c>
      <c r="X60" s="700"/>
    </row>
    <row r="61" ht="38.25" spans="1:24">
      <c r="A61" s="654"/>
      <c r="B61" s="622" t="s">
        <v>408</v>
      </c>
      <c r="C61" s="611"/>
      <c r="D61" s="611" t="s">
        <v>660</v>
      </c>
      <c r="E61" s="611" t="s">
        <v>411</v>
      </c>
      <c r="F61" s="611" t="s">
        <v>419</v>
      </c>
      <c r="G61" s="612" t="s">
        <v>687</v>
      </c>
      <c r="H61" s="612" t="s">
        <v>687</v>
      </c>
      <c r="I61" s="610" t="s">
        <v>408</v>
      </c>
      <c r="J61" s="639" t="s">
        <v>688</v>
      </c>
      <c r="K61" s="658" t="s">
        <v>689</v>
      </c>
      <c r="L61" s="659">
        <v>3934.9</v>
      </c>
      <c r="M61" s="660" t="s">
        <v>692</v>
      </c>
      <c r="N61" s="659">
        <f t="shared" ref="N61:N67" si="1">O61/L61/365</f>
        <v>3.38630136986301</v>
      </c>
      <c r="O61" s="659">
        <f>103*L61*12</f>
        <v>4863536.4</v>
      </c>
      <c r="P61" s="659"/>
      <c r="Q61" s="659"/>
      <c r="R61" s="659"/>
      <c r="S61" s="659"/>
      <c r="T61" s="701">
        <f>(106.09-103)/103</f>
        <v>0.03</v>
      </c>
      <c r="U61" s="660" t="s">
        <v>693</v>
      </c>
      <c r="V61" s="659">
        <f>17*12*L61</f>
        <v>802719.6</v>
      </c>
      <c r="W61" s="719"/>
      <c r="X61" s="700"/>
    </row>
    <row r="62" ht="99" spans="1:24">
      <c r="A62" s="632">
        <v>46</v>
      </c>
      <c r="B62" s="623" t="s">
        <v>408</v>
      </c>
      <c r="C62" s="611" t="s">
        <v>409</v>
      </c>
      <c r="D62" s="611" t="s">
        <v>694</v>
      </c>
      <c r="E62" s="611" t="s">
        <v>411</v>
      </c>
      <c r="F62" s="611" t="s">
        <v>412</v>
      </c>
      <c r="G62" s="616" t="s">
        <v>695</v>
      </c>
      <c r="H62" s="616" t="s">
        <v>696</v>
      </c>
      <c r="I62" s="623" t="s">
        <v>408</v>
      </c>
      <c r="J62" s="623" t="s">
        <v>697</v>
      </c>
      <c r="K62" s="623" t="s">
        <v>698</v>
      </c>
      <c r="L62" s="663">
        <v>2153.55</v>
      </c>
      <c r="M62" s="694" t="s">
        <v>699</v>
      </c>
      <c r="N62" s="659">
        <f t="shared" si="1"/>
        <v>2.63013698630137</v>
      </c>
      <c r="O62" s="659">
        <f>80*12*L62</f>
        <v>2067408</v>
      </c>
      <c r="P62" s="659"/>
      <c r="Q62" s="659"/>
      <c r="R62" s="659"/>
      <c r="S62" s="659"/>
      <c r="T62" s="701"/>
      <c r="U62" s="694" t="s">
        <v>700</v>
      </c>
      <c r="V62" s="659">
        <f>(6.13+10)*12*L62</f>
        <v>416841.138</v>
      </c>
      <c r="W62" s="727"/>
      <c r="X62" s="700"/>
    </row>
    <row r="63" ht="33" spans="1:24">
      <c r="A63" s="632">
        <v>47</v>
      </c>
      <c r="B63" s="610" t="s">
        <v>408</v>
      </c>
      <c r="C63" s="611" t="s">
        <v>409</v>
      </c>
      <c r="D63" s="611" t="s">
        <v>701</v>
      </c>
      <c r="E63" s="611" t="s">
        <v>411</v>
      </c>
      <c r="F63" s="611" t="s">
        <v>419</v>
      </c>
      <c r="G63" s="612" t="s">
        <v>702</v>
      </c>
      <c r="H63" s="612" t="s">
        <v>703</v>
      </c>
      <c r="I63" s="610" t="s">
        <v>408</v>
      </c>
      <c r="J63" s="639" t="s">
        <v>704</v>
      </c>
      <c r="K63" s="658" t="s">
        <v>705</v>
      </c>
      <c r="L63" s="659">
        <v>1076</v>
      </c>
      <c r="M63" s="660" t="s">
        <v>706</v>
      </c>
      <c r="N63" s="659">
        <f t="shared" si="1"/>
        <v>4.83780618220706</v>
      </c>
      <c r="O63" s="659">
        <v>1900000</v>
      </c>
      <c r="P63" s="659"/>
      <c r="Q63" s="659"/>
      <c r="R63" s="659"/>
      <c r="S63" s="659"/>
      <c r="T63" s="701">
        <f>(208-190)/190/5</f>
        <v>0.0189473684210526</v>
      </c>
      <c r="U63" s="660"/>
      <c r="V63" s="659"/>
      <c r="W63" s="719"/>
      <c r="X63" s="700"/>
    </row>
    <row r="64" ht="16.5" spans="1:24">
      <c r="A64" s="632">
        <v>48</v>
      </c>
      <c r="B64" s="610" t="s">
        <v>408</v>
      </c>
      <c r="C64" s="655" t="s">
        <v>409</v>
      </c>
      <c r="D64" s="655" t="s">
        <v>701</v>
      </c>
      <c r="E64" s="655" t="s">
        <v>411</v>
      </c>
      <c r="F64" s="655" t="s">
        <v>419</v>
      </c>
      <c r="G64" s="637" t="s">
        <v>707</v>
      </c>
      <c r="H64" s="637" t="s">
        <v>708</v>
      </c>
      <c r="I64" s="610" t="s">
        <v>408</v>
      </c>
      <c r="J64" s="639" t="s">
        <v>709</v>
      </c>
      <c r="K64" s="658" t="s">
        <v>710</v>
      </c>
      <c r="L64" s="695">
        <v>1060</v>
      </c>
      <c r="M64" s="660" t="s">
        <v>711</v>
      </c>
      <c r="N64" s="659">
        <f t="shared" si="1"/>
        <v>1.55078831739468</v>
      </c>
      <c r="O64" s="659">
        <v>600000</v>
      </c>
      <c r="P64" s="659"/>
      <c r="Q64" s="659"/>
      <c r="R64" s="659"/>
      <c r="S64" s="659"/>
      <c r="T64" s="701"/>
      <c r="U64" s="660"/>
      <c r="V64" s="659"/>
      <c r="W64" s="719"/>
      <c r="X64" s="700"/>
    </row>
    <row r="65" ht="137.25" customHeight="1" spans="1:24">
      <c r="A65" s="635">
        <v>49</v>
      </c>
      <c r="B65" s="610" t="s">
        <v>408</v>
      </c>
      <c r="C65" s="611" t="s">
        <v>409</v>
      </c>
      <c r="D65" s="611" t="s">
        <v>701</v>
      </c>
      <c r="E65" s="611" t="s">
        <v>411</v>
      </c>
      <c r="F65" s="611" t="s">
        <v>432</v>
      </c>
      <c r="G65" s="612" t="s">
        <v>712</v>
      </c>
      <c r="H65" s="612" t="s">
        <v>713</v>
      </c>
      <c r="I65" s="610" t="s">
        <v>408</v>
      </c>
      <c r="J65" s="639" t="s">
        <v>714</v>
      </c>
      <c r="K65" s="658" t="s">
        <v>715</v>
      </c>
      <c r="L65" s="659">
        <v>1694.27</v>
      </c>
      <c r="M65" s="660" t="s">
        <v>716</v>
      </c>
      <c r="N65" s="659">
        <f t="shared" si="1"/>
        <v>2.4986301369863</v>
      </c>
      <c r="O65" s="659">
        <f>75*L65*12/12*8+78*L65*12/12*4</f>
        <v>1545174.24</v>
      </c>
      <c r="P65" s="659"/>
      <c r="Q65" s="659"/>
      <c r="R65" s="659"/>
      <c r="S65" s="659"/>
      <c r="T65" s="701">
        <f>(78-75)/75</f>
        <v>0.04</v>
      </c>
      <c r="U65" s="660" t="s">
        <v>717</v>
      </c>
      <c r="V65" s="659">
        <f>6.24*8*L65+6.49*4*L65</f>
        <v>128561.2076</v>
      </c>
      <c r="W65" s="719"/>
      <c r="X65" s="700"/>
    </row>
    <row r="66" ht="76.5" spans="1:24">
      <c r="A66" s="643"/>
      <c r="B66" s="610" t="s">
        <v>408</v>
      </c>
      <c r="C66" s="611" t="s">
        <v>409</v>
      </c>
      <c r="D66" s="611" t="s">
        <v>701</v>
      </c>
      <c r="E66" s="611" t="s">
        <v>411</v>
      </c>
      <c r="F66" s="611" t="s">
        <v>432</v>
      </c>
      <c r="G66" s="612" t="s">
        <v>718</v>
      </c>
      <c r="H66" s="612" t="s">
        <v>718</v>
      </c>
      <c r="I66" s="610" t="s">
        <v>408</v>
      </c>
      <c r="J66" s="639" t="s">
        <v>719</v>
      </c>
      <c r="K66" s="658" t="s">
        <v>720</v>
      </c>
      <c r="L66" s="659">
        <v>248.62</v>
      </c>
      <c r="M66" s="660" t="s">
        <v>721</v>
      </c>
      <c r="N66" s="659">
        <f t="shared" si="1"/>
        <v>4.52551464908211</v>
      </c>
      <c r="O66" s="659">
        <f>33252.93*7+35580.64*5</f>
        <v>410673.71</v>
      </c>
      <c r="P66" s="659"/>
      <c r="Q66" s="659"/>
      <c r="R66" s="659"/>
      <c r="S66" s="659"/>
      <c r="T66" s="701">
        <f>(35580.64-33252.93)/33252.93</f>
        <v>0.070000147355436</v>
      </c>
      <c r="U66" s="778" t="s">
        <v>722</v>
      </c>
      <c r="V66" s="659">
        <f>13674.1*12</f>
        <v>164089.2</v>
      </c>
      <c r="W66" s="719"/>
      <c r="X66" s="700"/>
    </row>
    <row r="67" ht="123" customHeight="1" spans="1:24">
      <c r="A67" s="629">
        <v>50</v>
      </c>
      <c r="B67" s="644" t="s">
        <v>538</v>
      </c>
      <c r="C67" s="611" t="s">
        <v>539</v>
      </c>
      <c r="D67" s="645" t="s">
        <v>723</v>
      </c>
      <c r="E67" s="611" t="s">
        <v>411</v>
      </c>
      <c r="F67" s="611" t="s">
        <v>540</v>
      </c>
      <c r="G67" s="630" t="s">
        <v>724</v>
      </c>
      <c r="H67" s="630" t="s">
        <v>725</v>
      </c>
      <c r="I67" s="644" t="s">
        <v>538</v>
      </c>
      <c r="J67" s="675" t="s">
        <v>726</v>
      </c>
      <c r="K67" s="675" t="s">
        <v>727</v>
      </c>
      <c r="L67" s="686">
        <v>641.52</v>
      </c>
      <c r="M67" s="675" t="s">
        <v>728</v>
      </c>
      <c r="N67" s="659">
        <f t="shared" si="1"/>
        <v>2.47699385193043</v>
      </c>
      <c r="O67" s="659">
        <v>580000</v>
      </c>
      <c r="P67" s="659"/>
      <c r="Q67" s="659"/>
      <c r="R67" s="659"/>
      <c r="S67" s="659"/>
      <c r="T67" s="701">
        <f>(66-58)/58</f>
        <v>0.137931034482759</v>
      </c>
      <c r="U67" s="712" t="s">
        <v>729</v>
      </c>
      <c r="V67" s="659">
        <v>220000</v>
      </c>
      <c r="W67" s="714"/>
      <c r="X67" s="700"/>
    </row>
    <row r="68" ht="28.5" spans="1:24">
      <c r="A68" s="631">
        <v>51</v>
      </c>
      <c r="B68" s="653" t="s">
        <v>538</v>
      </c>
      <c r="C68" s="611" t="s">
        <v>539</v>
      </c>
      <c r="D68" s="645" t="s">
        <v>730</v>
      </c>
      <c r="E68" s="611" t="s">
        <v>411</v>
      </c>
      <c r="F68" s="611" t="s">
        <v>540</v>
      </c>
      <c r="G68" s="630" t="s">
        <v>731</v>
      </c>
      <c r="H68" s="630" t="s">
        <v>731</v>
      </c>
      <c r="I68" s="644" t="s">
        <v>538</v>
      </c>
      <c r="J68" s="674" t="s">
        <v>732</v>
      </c>
      <c r="K68" s="674" t="s">
        <v>733</v>
      </c>
      <c r="L68" s="686">
        <v>1000</v>
      </c>
      <c r="M68" s="675" t="s">
        <v>734</v>
      </c>
      <c r="N68" s="659"/>
      <c r="O68" s="659"/>
      <c r="P68" s="659"/>
      <c r="Q68" s="659"/>
      <c r="R68" s="659"/>
      <c r="S68" s="659"/>
      <c r="T68" s="701"/>
      <c r="U68" s="712"/>
      <c r="V68" s="659"/>
      <c r="W68" s="713" t="s">
        <v>735</v>
      </c>
      <c r="X68" s="700"/>
    </row>
    <row r="69" ht="48" spans="1:24">
      <c r="A69" s="646"/>
      <c r="B69" s="653" t="s">
        <v>538</v>
      </c>
      <c r="C69" s="611" t="s">
        <v>539</v>
      </c>
      <c r="D69" s="645" t="s">
        <v>730</v>
      </c>
      <c r="E69" s="611" t="s">
        <v>411</v>
      </c>
      <c r="F69" s="611" t="s">
        <v>540</v>
      </c>
      <c r="G69" s="630" t="s">
        <v>731</v>
      </c>
      <c r="H69" s="630" t="s">
        <v>731</v>
      </c>
      <c r="I69" s="644" t="s">
        <v>538</v>
      </c>
      <c r="J69" s="674" t="s">
        <v>732</v>
      </c>
      <c r="K69" s="674" t="s">
        <v>733</v>
      </c>
      <c r="L69" s="686">
        <v>1330</v>
      </c>
      <c r="M69" s="675" t="s">
        <v>736</v>
      </c>
      <c r="N69" s="659">
        <f>O69/L69/365</f>
        <v>2.26181893088887</v>
      </c>
      <c r="O69" s="659">
        <v>1098000</v>
      </c>
      <c r="P69" s="659"/>
      <c r="Q69" s="659"/>
      <c r="R69" s="659"/>
      <c r="S69" s="659"/>
      <c r="T69" s="701">
        <f>(1152900-1098000)/1098000/4</f>
        <v>0.0125</v>
      </c>
      <c r="U69" s="712"/>
      <c r="V69" s="659"/>
      <c r="W69" s="714"/>
      <c r="X69" s="700"/>
    </row>
    <row r="70" ht="28.5" spans="1:24">
      <c r="A70" s="629">
        <v>52</v>
      </c>
      <c r="B70" s="653" t="s">
        <v>538</v>
      </c>
      <c r="C70" s="611" t="s">
        <v>539</v>
      </c>
      <c r="D70" s="645" t="s">
        <v>737</v>
      </c>
      <c r="E70" s="611" t="s">
        <v>411</v>
      </c>
      <c r="F70" s="611" t="s">
        <v>540</v>
      </c>
      <c r="G70" s="630" t="s">
        <v>738</v>
      </c>
      <c r="H70" s="630" t="s">
        <v>739</v>
      </c>
      <c r="I70" s="644" t="s">
        <v>538</v>
      </c>
      <c r="J70" s="674" t="s">
        <v>740</v>
      </c>
      <c r="K70" s="674" t="s">
        <v>741</v>
      </c>
      <c r="L70" s="686">
        <v>700</v>
      </c>
      <c r="M70" s="675" t="s">
        <v>742</v>
      </c>
      <c r="N70" s="659">
        <f>O70/L70/365</f>
        <v>3.06035225048924</v>
      </c>
      <c r="O70" s="659">
        <f>65160*12</f>
        <v>781920</v>
      </c>
      <c r="P70" s="659"/>
      <c r="Q70" s="659"/>
      <c r="R70" s="659"/>
      <c r="S70" s="659"/>
      <c r="T70" s="701">
        <f>(65160-59240)/59240</f>
        <v>0.099932478055368</v>
      </c>
      <c r="U70" s="712" t="s">
        <v>743</v>
      </c>
      <c r="V70" s="659"/>
      <c r="W70" s="714"/>
      <c r="X70" s="700"/>
    </row>
    <row r="71" s="594" customFormat="1" ht="28.5" spans="1:24">
      <c r="A71" s="728">
        <v>53</v>
      </c>
      <c r="B71" s="653" t="s">
        <v>538</v>
      </c>
      <c r="C71" s="611" t="s">
        <v>539</v>
      </c>
      <c r="D71" s="729" t="s">
        <v>744</v>
      </c>
      <c r="E71" s="611" t="s">
        <v>411</v>
      </c>
      <c r="F71" s="618" t="s">
        <v>547</v>
      </c>
      <c r="G71" s="730" t="s">
        <v>745</v>
      </c>
      <c r="H71" s="630" t="s">
        <v>745</v>
      </c>
      <c r="I71" s="644" t="s">
        <v>538</v>
      </c>
      <c r="J71" s="674" t="s">
        <v>746</v>
      </c>
      <c r="K71" s="756" t="s">
        <v>747</v>
      </c>
      <c r="L71" s="757">
        <v>153</v>
      </c>
      <c r="M71" s="758" t="s">
        <v>748</v>
      </c>
      <c r="N71" s="667"/>
      <c r="O71" s="669" t="s">
        <v>519</v>
      </c>
      <c r="P71" s="669"/>
      <c r="Q71" s="669"/>
      <c r="R71" s="669"/>
      <c r="S71" s="669"/>
      <c r="T71" s="704"/>
      <c r="U71" s="668"/>
      <c r="V71" s="667"/>
      <c r="W71" s="779"/>
      <c r="X71" s="706"/>
    </row>
    <row r="72" s="594" customFormat="1" ht="28.5" spans="1:24">
      <c r="A72" s="731"/>
      <c r="B72" s="653" t="s">
        <v>538</v>
      </c>
      <c r="C72" s="611" t="s">
        <v>539</v>
      </c>
      <c r="D72" s="729" t="s">
        <v>744</v>
      </c>
      <c r="E72" s="611" t="s">
        <v>411</v>
      </c>
      <c r="F72" s="618" t="s">
        <v>547</v>
      </c>
      <c r="G72" s="730" t="s">
        <v>749</v>
      </c>
      <c r="H72" s="630" t="s">
        <v>749</v>
      </c>
      <c r="I72" s="644" t="s">
        <v>538</v>
      </c>
      <c r="J72" s="674" t="s">
        <v>746</v>
      </c>
      <c r="K72" s="756" t="s">
        <v>750</v>
      </c>
      <c r="L72" s="757">
        <v>273</v>
      </c>
      <c r="M72" s="758" t="s">
        <v>748</v>
      </c>
      <c r="N72" s="667"/>
      <c r="O72" s="667"/>
      <c r="P72" s="667"/>
      <c r="Q72" s="667"/>
      <c r="R72" s="667"/>
      <c r="S72" s="667"/>
      <c r="T72" s="704"/>
      <c r="U72" s="668"/>
      <c r="V72" s="667"/>
      <c r="W72" s="779"/>
      <c r="X72" s="706"/>
    </row>
    <row r="73" s="594" customFormat="1" ht="28.5" spans="1:24">
      <c r="A73" s="731"/>
      <c r="B73" s="653" t="s">
        <v>538</v>
      </c>
      <c r="C73" s="611" t="s">
        <v>539</v>
      </c>
      <c r="D73" s="729" t="s">
        <v>744</v>
      </c>
      <c r="E73" s="611" t="s">
        <v>411</v>
      </c>
      <c r="F73" s="618" t="s">
        <v>547</v>
      </c>
      <c r="G73" s="730" t="s">
        <v>751</v>
      </c>
      <c r="H73" s="630" t="s">
        <v>751</v>
      </c>
      <c r="I73" s="644" t="s">
        <v>538</v>
      </c>
      <c r="J73" s="674" t="s">
        <v>746</v>
      </c>
      <c r="K73" s="756" t="s">
        <v>752</v>
      </c>
      <c r="L73" s="757">
        <v>82</v>
      </c>
      <c r="M73" s="758" t="s">
        <v>748</v>
      </c>
      <c r="N73" s="667"/>
      <c r="O73" s="667"/>
      <c r="P73" s="667"/>
      <c r="Q73" s="667"/>
      <c r="R73" s="667"/>
      <c r="S73" s="667"/>
      <c r="T73" s="704"/>
      <c r="U73" s="668"/>
      <c r="V73" s="667"/>
      <c r="W73" s="779"/>
      <c r="X73" s="706"/>
    </row>
    <row r="74" s="594" customFormat="1" ht="28.5" spans="1:24">
      <c r="A74" s="731"/>
      <c r="B74" s="653" t="s">
        <v>538</v>
      </c>
      <c r="C74" s="611" t="s">
        <v>539</v>
      </c>
      <c r="D74" s="729" t="s">
        <v>744</v>
      </c>
      <c r="E74" s="611" t="s">
        <v>411</v>
      </c>
      <c r="F74" s="618" t="s">
        <v>547</v>
      </c>
      <c r="G74" s="730" t="s">
        <v>753</v>
      </c>
      <c r="H74" s="630" t="s">
        <v>753</v>
      </c>
      <c r="I74" s="644" t="s">
        <v>538</v>
      </c>
      <c r="J74" s="674" t="s">
        <v>746</v>
      </c>
      <c r="K74" s="756" t="s">
        <v>754</v>
      </c>
      <c r="L74" s="757">
        <v>252</v>
      </c>
      <c r="M74" s="758" t="s">
        <v>748</v>
      </c>
      <c r="N74" s="667"/>
      <c r="O74" s="667"/>
      <c r="P74" s="667"/>
      <c r="Q74" s="667"/>
      <c r="R74" s="667"/>
      <c r="S74" s="667"/>
      <c r="T74" s="704"/>
      <c r="U74" s="668"/>
      <c r="V74" s="667"/>
      <c r="W74" s="779"/>
      <c r="X74" s="706"/>
    </row>
    <row r="75" s="594" customFormat="1" ht="28.5" spans="1:24">
      <c r="A75" s="732"/>
      <c r="B75" s="653" t="s">
        <v>538</v>
      </c>
      <c r="C75" s="611" t="s">
        <v>539</v>
      </c>
      <c r="D75" s="729" t="s">
        <v>744</v>
      </c>
      <c r="E75" s="611" t="s">
        <v>411</v>
      </c>
      <c r="F75" s="618" t="s">
        <v>547</v>
      </c>
      <c r="G75" s="730" t="s">
        <v>755</v>
      </c>
      <c r="H75" s="630" t="s">
        <v>755</v>
      </c>
      <c r="I75" s="644" t="s">
        <v>538</v>
      </c>
      <c r="J75" s="674" t="s">
        <v>746</v>
      </c>
      <c r="K75" s="756" t="s">
        <v>756</v>
      </c>
      <c r="L75" s="757">
        <v>82</v>
      </c>
      <c r="M75" s="758" t="s">
        <v>748</v>
      </c>
      <c r="N75" s="667"/>
      <c r="O75" s="667"/>
      <c r="P75" s="667"/>
      <c r="Q75" s="667"/>
      <c r="R75" s="667"/>
      <c r="S75" s="667"/>
      <c r="T75" s="704"/>
      <c r="U75" s="668"/>
      <c r="V75" s="667"/>
      <c r="W75" s="779"/>
      <c r="X75" s="706"/>
    </row>
    <row r="76" ht="36" spans="1:24">
      <c r="A76" s="629">
        <v>54</v>
      </c>
      <c r="B76" s="653" t="s">
        <v>538</v>
      </c>
      <c r="C76" s="733"/>
      <c r="D76" s="734" t="s">
        <v>757</v>
      </c>
      <c r="E76" s="611" t="s">
        <v>411</v>
      </c>
      <c r="F76" s="611" t="s">
        <v>547</v>
      </c>
      <c r="G76" s="735" t="s">
        <v>758</v>
      </c>
      <c r="H76" s="735" t="s">
        <v>758</v>
      </c>
      <c r="I76" s="644" t="s">
        <v>538</v>
      </c>
      <c r="J76" s="759" t="s">
        <v>759</v>
      </c>
      <c r="K76" s="674" t="s">
        <v>760</v>
      </c>
      <c r="L76" s="686">
        <v>670.62</v>
      </c>
      <c r="M76" s="675" t="s">
        <v>761</v>
      </c>
      <c r="N76" s="659">
        <f t="shared" ref="N76:N84" si="2">O76/L76/365</f>
        <v>24.0657530978285</v>
      </c>
      <c r="O76" s="659">
        <v>5890726</v>
      </c>
      <c r="P76" s="659"/>
      <c r="Q76" s="659"/>
      <c r="R76" s="659"/>
      <c r="S76" s="659"/>
      <c r="T76" s="701"/>
      <c r="U76" s="780"/>
      <c r="V76" s="659"/>
      <c r="W76" s="781"/>
      <c r="X76" s="700"/>
    </row>
    <row r="77" ht="132" spans="1:24">
      <c r="A77" s="629">
        <v>55</v>
      </c>
      <c r="B77" s="653" t="s">
        <v>538</v>
      </c>
      <c r="C77" s="736" t="s">
        <v>359</v>
      </c>
      <c r="D77" s="734" t="s">
        <v>762</v>
      </c>
      <c r="E77" s="611" t="s">
        <v>411</v>
      </c>
      <c r="F77" s="611" t="s">
        <v>547</v>
      </c>
      <c r="G77" s="737" t="s">
        <v>763</v>
      </c>
      <c r="H77" s="735" t="s">
        <v>763</v>
      </c>
      <c r="I77" s="644" t="s">
        <v>538</v>
      </c>
      <c r="J77" s="759" t="s">
        <v>764</v>
      </c>
      <c r="K77" s="674" t="s">
        <v>765</v>
      </c>
      <c r="L77" s="686">
        <v>1860</v>
      </c>
      <c r="M77" s="675" t="s">
        <v>766</v>
      </c>
      <c r="N77" s="659">
        <f t="shared" si="2"/>
        <v>0.550844012372956</v>
      </c>
      <c r="O77" s="659">
        <f>31164*12</f>
        <v>373968</v>
      </c>
      <c r="P77" s="659"/>
      <c r="Q77" s="659"/>
      <c r="R77" s="659"/>
      <c r="S77" s="659"/>
      <c r="T77" s="701">
        <f>(68560-62328)/62328</f>
        <v>0.0999871646771916</v>
      </c>
      <c r="U77" s="780"/>
      <c r="V77" s="659"/>
      <c r="W77" s="781"/>
      <c r="X77" s="700"/>
    </row>
    <row r="78" ht="131.25" spans="1:24">
      <c r="A78" s="629">
        <v>56</v>
      </c>
      <c r="B78" s="653" t="s">
        <v>538</v>
      </c>
      <c r="C78" s="626" t="s">
        <v>359</v>
      </c>
      <c r="D78" s="734" t="s">
        <v>757</v>
      </c>
      <c r="E78" s="626" t="s">
        <v>767</v>
      </c>
      <c r="F78" s="611" t="s">
        <v>768</v>
      </c>
      <c r="G78" s="737" t="s">
        <v>769</v>
      </c>
      <c r="H78" s="735" t="s">
        <v>770</v>
      </c>
      <c r="I78" s="644">
        <v>59</v>
      </c>
      <c r="J78" s="759" t="s">
        <v>771</v>
      </c>
      <c r="K78" s="674" t="s">
        <v>772</v>
      </c>
      <c r="L78" s="686">
        <v>453</v>
      </c>
      <c r="M78" s="675" t="s">
        <v>773</v>
      </c>
      <c r="N78" s="659">
        <f t="shared" si="2"/>
        <v>0.295890410958904</v>
      </c>
      <c r="O78" s="659">
        <f>9*453*12</f>
        <v>48924</v>
      </c>
      <c r="P78" s="659"/>
      <c r="Q78" s="659"/>
      <c r="R78" s="659"/>
      <c r="S78" s="659"/>
      <c r="T78" s="701">
        <v>0.1</v>
      </c>
      <c r="U78" s="780" t="s">
        <v>774</v>
      </c>
      <c r="V78" s="659">
        <v>36240</v>
      </c>
      <c r="W78" s="781"/>
      <c r="X78" s="700"/>
    </row>
    <row r="79" ht="16.5" spans="1:24">
      <c r="A79" s="629">
        <v>57</v>
      </c>
      <c r="B79" s="653" t="s">
        <v>538</v>
      </c>
      <c r="C79" s="626" t="s">
        <v>359</v>
      </c>
      <c r="D79" s="734" t="s">
        <v>775</v>
      </c>
      <c r="E79" s="626" t="s">
        <v>767</v>
      </c>
      <c r="F79" s="611" t="s">
        <v>768</v>
      </c>
      <c r="G79" s="737" t="s">
        <v>776</v>
      </c>
      <c r="H79" s="735" t="s">
        <v>777</v>
      </c>
      <c r="I79" s="644" t="s">
        <v>538</v>
      </c>
      <c r="J79" s="759" t="s">
        <v>778</v>
      </c>
      <c r="K79" s="674" t="s">
        <v>779</v>
      </c>
      <c r="L79" s="686">
        <v>94</v>
      </c>
      <c r="M79" s="675" t="s">
        <v>780</v>
      </c>
      <c r="N79" s="659">
        <f t="shared" si="2"/>
        <v>8.74380647041679</v>
      </c>
      <c r="O79" s="659">
        <v>300000</v>
      </c>
      <c r="P79" s="659"/>
      <c r="Q79" s="659"/>
      <c r="R79" s="659"/>
      <c r="S79" s="659"/>
      <c r="T79" s="698" t="s">
        <v>418</v>
      </c>
      <c r="U79" s="780"/>
      <c r="V79" s="659"/>
      <c r="W79" s="781"/>
      <c r="X79" s="700"/>
    </row>
    <row r="80" ht="16.5" spans="1:24">
      <c r="A80" s="629">
        <v>58</v>
      </c>
      <c r="B80" s="653" t="s">
        <v>538</v>
      </c>
      <c r="C80" s="626" t="s">
        <v>359</v>
      </c>
      <c r="D80" s="734" t="s">
        <v>757</v>
      </c>
      <c r="E80" s="626" t="s">
        <v>767</v>
      </c>
      <c r="F80" s="611" t="s">
        <v>781</v>
      </c>
      <c r="G80" s="737" t="s">
        <v>782</v>
      </c>
      <c r="H80" s="735" t="s">
        <v>783</v>
      </c>
      <c r="I80" s="644" t="s">
        <v>538</v>
      </c>
      <c r="J80" s="759" t="s">
        <v>784</v>
      </c>
      <c r="K80" s="674" t="s">
        <v>785</v>
      </c>
      <c r="L80" s="686">
        <v>1808.76</v>
      </c>
      <c r="M80" s="675" t="s">
        <v>786</v>
      </c>
      <c r="N80" s="659">
        <f t="shared" si="2"/>
        <v>2.27204772390803</v>
      </c>
      <c r="O80" s="659">
        <v>1500000</v>
      </c>
      <c r="P80" s="659"/>
      <c r="Q80" s="659"/>
      <c r="R80" s="659"/>
      <c r="S80" s="659"/>
      <c r="T80" s="698" t="s">
        <v>418</v>
      </c>
      <c r="U80" s="780"/>
      <c r="V80" s="659"/>
      <c r="W80" s="781"/>
      <c r="X80" s="700"/>
    </row>
    <row r="81" ht="63.75" spans="1:24">
      <c r="A81" s="646">
        <f>COUNT(A$2:A80)+1</f>
        <v>59</v>
      </c>
      <c r="B81" s="653" t="s">
        <v>538</v>
      </c>
      <c r="C81" s="626" t="s">
        <v>359</v>
      </c>
      <c r="D81" s="734" t="s">
        <v>757</v>
      </c>
      <c r="E81" s="626" t="s">
        <v>767</v>
      </c>
      <c r="F81" s="611" t="s">
        <v>768</v>
      </c>
      <c r="G81" s="737" t="s">
        <v>787</v>
      </c>
      <c r="H81" s="737" t="s">
        <v>787</v>
      </c>
      <c r="I81" s="644" t="s">
        <v>538</v>
      </c>
      <c r="J81" s="759" t="s">
        <v>788</v>
      </c>
      <c r="K81" s="674" t="s">
        <v>789</v>
      </c>
      <c r="L81" s="686">
        <v>88</v>
      </c>
      <c r="M81" s="675" t="s">
        <v>790</v>
      </c>
      <c r="N81" s="659">
        <f t="shared" si="2"/>
        <v>10.0001095890411</v>
      </c>
      <c r="O81" s="659">
        <f>304.17*88*12</f>
        <v>321203.52</v>
      </c>
      <c r="P81" s="659"/>
      <c r="Q81" s="659"/>
      <c r="R81" s="659"/>
      <c r="S81" s="659"/>
      <c r="T81" s="701">
        <f>(334.58-304.17)/304.17</f>
        <v>0.0999769865535719</v>
      </c>
      <c r="U81" s="780" t="s">
        <v>791</v>
      </c>
      <c r="V81" s="659">
        <f>(70+13.89)*12*L81</f>
        <v>88587.84</v>
      </c>
      <c r="W81" s="781"/>
      <c r="X81" s="700"/>
    </row>
    <row r="82" ht="33" spans="1:24">
      <c r="A82" s="643">
        <f>COUNT(A$2:A81)+1</f>
        <v>60</v>
      </c>
      <c r="B82" s="738" t="s">
        <v>485</v>
      </c>
      <c r="C82" s="739" t="s">
        <v>409</v>
      </c>
      <c r="D82" s="611" t="s">
        <v>410</v>
      </c>
      <c r="E82" s="611" t="s">
        <v>411</v>
      </c>
      <c r="F82" s="611" t="s">
        <v>412</v>
      </c>
      <c r="G82" s="616" t="s">
        <v>792</v>
      </c>
      <c r="H82" s="740" t="s">
        <v>793</v>
      </c>
      <c r="I82" s="610" t="s">
        <v>485</v>
      </c>
      <c r="J82" s="760" t="s">
        <v>794</v>
      </c>
      <c r="K82" s="623" t="s">
        <v>795</v>
      </c>
      <c r="L82" s="663">
        <v>110</v>
      </c>
      <c r="M82" s="661" t="s">
        <v>796</v>
      </c>
      <c r="N82" s="659">
        <f t="shared" si="2"/>
        <v>5.47945205479452</v>
      </c>
      <c r="O82" s="659">
        <v>220000</v>
      </c>
      <c r="P82" s="659"/>
      <c r="Q82" s="659"/>
      <c r="R82" s="659"/>
      <c r="S82" s="659"/>
      <c r="T82" s="701">
        <v>0.1</v>
      </c>
      <c r="U82" s="782"/>
      <c r="V82" s="659"/>
      <c r="W82" s="783"/>
      <c r="X82" s="700"/>
    </row>
    <row r="83" ht="33" spans="1:24">
      <c r="A83" s="632"/>
      <c r="B83" s="610" t="s">
        <v>408</v>
      </c>
      <c r="C83" s="611" t="s">
        <v>409</v>
      </c>
      <c r="D83" s="611" t="s">
        <v>410</v>
      </c>
      <c r="E83" s="611" t="s">
        <v>411</v>
      </c>
      <c r="F83" s="611" t="s">
        <v>412</v>
      </c>
      <c r="G83" s="616" t="s">
        <v>797</v>
      </c>
      <c r="H83" s="740" t="s">
        <v>793</v>
      </c>
      <c r="I83" s="610" t="s">
        <v>408</v>
      </c>
      <c r="J83" s="760" t="s">
        <v>798</v>
      </c>
      <c r="K83" s="623" t="s">
        <v>799</v>
      </c>
      <c r="L83" s="663">
        <v>40</v>
      </c>
      <c r="M83" s="661" t="s">
        <v>800</v>
      </c>
      <c r="N83" s="659">
        <f t="shared" si="2"/>
        <v>0.904109589041096</v>
      </c>
      <c r="O83" s="659">
        <v>13200</v>
      </c>
      <c r="P83" s="659"/>
      <c r="Q83" s="659"/>
      <c r="R83" s="659"/>
      <c r="S83" s="659"/>
      <c r="T83" s="698" t="s">
        <v>418</v>
      </c>
      <c r="U83" s="661"/>
      <c r="V83" s="659"/>
      <c r="W83" s="699"/>
      <c r="X83" s="700"/>
    </row>
    <row r="84" ht="82.5" spans="1:24">
      <c r="A84" s="632">
        <f>COUNT(A$2:A83)+1</f>
        <v>61</v>
      </c>
      <c r="B84" s="610" t="s">
        <v>408</v>
      </c>
      <c r="C84" s="611" t="s">
        <v>409</v>
      </c>
      <c r="D84" s="611" t="s">
        <v>660</v>
      </c>
      <c r="E84" s="611" t="s">
        <v>411</v>
      </c>
      <c r="F84" s="611" t="s">
        <v>801</v>
      </c>
      <c r="G84" s="612" t="s">
        <v>802</v>
      </c>
      <c r="H84" s="612" t="s">
        <v>802</v>
      </c>
      <c r="I84" s="610" t="s">
        <v>408</v>
      </c>
      <c r="J84" s="761" t="s">
        <v>803</v>
      </c>
      <c r="K84" s="662" t="s">
        <v>804</v>
      </c>
      <c r="L84" s="659">
        <v>300</v>
      </c>
      <c r="M84" s="660" t="s">
        <v>805</v>
      </c>
      <c r="N84" s="659">
        <f t="shared" si="2"/>
        <v>0.5662100456621</v>
      </c>
      <c r="O84" s="659">
        <v>62000</v>
      </c>
      <c r="P84" s="659"/>
      <c r="Q84" s="659"/>
      <c r="R84" s="659"/>
      <c r="S84" s="659"/>
      <c r="T84" s="698" t="s">
        <v>418</v>
      </c>
      <c r="U84" s="660"/>
      <c r="V84" s="659"/>
      <c r="W84" s="726"/>
      <c r="X84" s="700"/>
    </row>
    <row r="85" ht="16.5" spans="1:24">
      <c r="A85" s="632">
        <f>COUNT(A$2:A84)+1</f>
        <v>62</v>
      </c>
      <c r="B85" s="610" t="s">
        <v>408</v>
      </c>
      <c r="C85" s="611" t="s">
        <v>409</v>
      </c>
      <c r="D85" s="611" t="s">
        <v>694</v>
      </c>
      <c r="E85" s="611" t="s">
        <v>411</v>
      </c>
      <c r="F85" s="611" t="s">
        <v>801</v>
      </c>
      <c r="G85" s="612" t="s">
        <v>806</v>
      </c>
      <c r="H85" s="612" t="s">
        <v>806</v>
      </c>
      <c r="I85" s="610" t="s">
        <v>408</v>
      </c>
      <c r="J85" s="610" t="s">
        <v>807</v>
      </c>
      <c r="K85" s="639" t="s">
        <v>808</v>
      </c>
      <c r="L85" s="659"/>
      <c r="M85" s="660" t="s">
        <v>809</v>
      </c>
      <c r="N85" s="659"/>
      <c r="O85" s="659">
        <v>29000</v>
      </c>
      <c r="P85" s="659"/>
      <c r="Q85" s="659"/>
      <c r="R85" s="659"/>
      <c r="S85" s="659"/>
      <c r="T85" s="698" t="s">
        <v>418</v>
      </c>
      <c r="U85" s="660"/>
      <c r="V85" s="659"/>
      <c r="W85" s="719"/>
      <c r="X85" s="700"/>
    </row>
    <row r="86" ht="33" spans="1:24">
      <c r="A86" s="632">
        <f>COUNT(A$2:A85)+1</f>
        <v>63</v>
      </c>
      <c r="B86" s="610" t="s">
        <v>408</v>
      </c>
      <c r="C86" s="611" t="s">
        <v>409</v>
      </c>
      <c r="D86" s="611" t="s">
        <v>701</v>
      </c>
      <c r="E86" s="611" t="s">
        <v>411</v>
      </c>
      <c r="F86" s="611" t="s">
        <v>801</v>
      </c>
      <c r="G86" s="612" t="s">
        <v>810</v>
      </c>
      <c r="H86" s="612" t="s">
        <v>810</v>
      </c>
      <c r="I86" s="610" t="s">
        <v>408</v>
      </c>
      <c r="J86" s="639" t="s">
        <v>811</v>
      </c>
      <c r="K86" s="658" t="s">
        <v>812</v>
      </c>
      <c r="L86" s="659">
        <v>100</v>
      </c>
      <c r="M86" s="660" t="s">
        <v>813</v>
      </c>
      <c r="N86" s="659">
        <f t="shared" ref="N86:N90" si="3">O86/L86/365</f>
        <v>0.767123287671233</v>
      </c>
      <c r="O86" s="659">
        <v>28000</v>
      </c>
      <c r="P86" s="659"/>
      <c r="Q86" s="659"/>
      <c r="R86" s="659"/>
      <c r="S86" s="659"/>
      <c r="T86" s="698" t="s">
        <v>418</v>
      </c>
      <c r="U86" s="660"/>
      <c r="V86" s="659"/>
      <c r="W86" s="719"/>
      <c r="X86" s="700"/>
    </row>
    <row r="87" ht="16.5" spans="1:24">
      <c r="A87" s="632">
        <f>COUNT(A$2:A86)+1</f>
        <v>64</v>
      </c>
      <c r="B87" s="610" t="s">
        <v>408</v>
      </c>
      <c r="C87" s="611" t="s">
        <v>409</v>
      </c>
      <c r="D87" s="611" t="s">
        <v>814</v>
      </c>
      <c r="E87" s="611" t="s">
        <v>411</v>
      </c>
      <c r="F87" s="611" t="s">
        <v>801</v>
      </c>
      <c r="G87" s="612" t="s">
        <v>815</v>
      </c>
      <c r="H87" s="612" t="s">
        <v>815</v>
      </c>
      <c r="I87" s="610" t="s">
        <v>816</v>
      </c>
      <c r="J87" s="639" t="s">
        <v>817</v>
      </c>
      <c r="K87" s="662" t="s">
        <v>818</v>
      </c>
      <c r="L87" s="659"/>
      <c r="M87" s="680" t="s">
        <v>819</v>
      </c>
      <c r="N87" s="659"/>
      <c r="O87" s="659">
        <v>22000</v>
      </c>
      <c r="P87" s="659"/>
      <c r="Q87" s="659"/>
      <c r="R87" s="659"/>
      <c r="S87" s="659"/>
      <c r="T87" s="698" t="s">
        <v>418</v>
      </c>
      <c r="U87" s="680"/>
      <c r="V87" s="659"/>
      <c r="W87" s="699"/>
      <c r="X87" s="700"/>
    </row>
    <row r="88" ht="33" spans="1:24">
      <c r="A88" s="632">
        <f>COUNT(A$2:A87)+1</f>
        <v>65</v>
      </c>
      <c r="B88" s="610" t="s">
        <v>408</v>
      </c>
      <c r="C88" s="611" t="s">
        <v>409</v>
      </c>
      <c r="D88" s="611" t="s">
        <v>637</v>
      </c>
      <c r="E88" s="611" t="s">
        <v>411</v>
      </c>
      <c r="F88" s="611" t="s">
        <v>801</v>
      </c>
      <c r="G88" s="642" t="s">
        <v>820</v>
      </c>
      <c r="H88" s="642" t="s">
        <v>820</v>
      </c>
      <c r="I88" s="610" t="s">
        <v>408</v>
      </c>
      <c r="J88" s="623" t="s">
        <v>821</v>
      </c>
      <c r="K88" s="760" t="s">
        <v>822</v>
      </c>
      <c r="L88" s="762">
        <v>133</v>
      </c>
      <c r="M88" s="661" t="s">
        <v>823</v>
      </c>
      <c r="N88" s="659">
        <f t="shared" si="3"/>
        <v>0.720980533525595</v>
      </c>
      <c r="O88" s="659">
        <v>35000</v>
      </c>
      <c r="P88" s="659"/>
      <c r="Q88" s="659"/>
      <c r="R88" s="659"/>
      <c r="S88" s="659"/>
      <c r="T88" s="698" t="s">
        <v>418</v>
      </c>
      <c r="U88" s="661" t="s">
        <v>824</v>
      </c>
      <c r="V88" s="659">
        <v>2075</v>
      </c>
      <c r="W88" s="719"/>
      <c r="X88" s="700"/>
    </row>
    <row r="89" ht="82.5" spans="1:24">
      <c r="A89" s="632">
        <f>COUNT(A$2:A88)+1</f>
        <v>66</v>
      </c>
      <c r="B89" s="741" t="s">
        <v>825</v>
      </c>
      <c r="C89" s="733" t="s">
        <v>409</v>
      </c>
      <c r="D89" s="733" t="s">
        <v>826</v>
      </c>
      <c r="E89" s="733" t="s">
        <v>411</v>
      </c>
      <c r="F89" s="733" t="s">
        <v>412</v>
      </c>
      <c r="G89" s="742" t="s">
        <v>827</v>
      </c>
      <c r="H89" s="742" t="s">
        <v>827</v>
      </c>
      <c r="I89" s="741" t="s">
        <v>825</v>
      </c>
      <c r="J89" s="742" t="s">
        <v>828</v>
      </c>
      <c r="K89" s="763" t="s">
        <v>829</v>
      </c>
      <c r="L89" s="764">
        <v>652</v>
      </c>
      <c r="M89" s="694" t="s">
        <v>830</v>
      </c>
      <c r="N89" s="659"/>
      <c r="O89" s="659"/>
      <c r="P89" s="659"/>
      <c r="Q89" s="659"/>
      <c r="R89" s="659"/>
      <c r="S89" s="659"/>
      <c r="T89" s="701"/>
      <c r="U89" s="784"/>
      <c r="V89" s="659"/>
      <c r="W89" s="785" t="s">
        <v>559</v>
      </c>
      <c r="X89" s="700"/>
    </row>
    <row r="90" ht="132" spans="1:24">
      <c r="A90" s="632">
        <f>COUNT(A$2:A89)+1</f>
        <v>67</v>
      </c>
      <c r="B90" s="743" t="s">
        <v>831</v>
      </c>
      <c r="C90" s="611" t="s">
        <v>409</v>
      </c>
      <c r="D90" s="611" t="s">
        <v>826</v>
      </c>
      <c r="E90" s="611" t="s">
        <v>411</v>
      </c>
      <c r="F90" s="611" t="s">
        <v>412</v>
      </c>
      <c r="G90" s="612" t="s">
        <v>832</v>
      </c>
      <c r="H90" s="612" t="s">
        <v>832</v>
      </c>
      <c r="I90" s="743" t="s">
        <v>831</v>
      </c>
      <c r="J90" s="623" t="s">
        <v>833</v>
      </c>
      <c r="K90" s="623" t="s">
        <v>834</v>
      </c>
      <c r="L90" s="663">
        <v>1849.26</v>
      </c>
      <c r="M90" s="661" t="s">
        <v>835</v>
      </c>
      <c r="N90" s="659">
        <f t="shared" si="3"/>
        <v>2.73534246575342</v>
      </c>
      <c r="O90" s="659">
        <f>83.2*L90*12</f>
        <v>1846301.184</v>
      </c>
      <c r="P90" s="659"/>
      <c r="Q90" s="659"/>
      <c r="R90" s="659"/>
      <c r="S90" s="659"/>
      <c r="T90" s="701">
        <f>(83.2-80)/80</f>
        <v>0.04</v>
      </c>
      <c r="U90" s="661" t="s">
        <v>836</v>
      </c>
      <c r="V90" s="659">
        <f>6.49*12*L90</f>
        <v>144020.3688</v>
      </c>
      <c r="W90" s="786"/>
      <c r="X90" s="700"/>
    </row>
    <row r="91" s="596" customFormat="1" ht="99" spans="1:24">
      <c r="A91" s="647">
        <f>COUNT(A$2:A90)+1</f>
        <v>68</v>
      </c>
      <c r="B91" s="744" t="s">
        <v>837</v>
      </c>
      <c r="C91" s="611" t="s">
        <v>409</v>
      </c>
      <c r="D91" s="649" t="s">
        <v>826</v>
      </c>
      <c r="E91" s="649" t="s">
        <v>411</v>
      </c>
      <c r="F91" s="649" t="s">
        <v>412</v>
      </c>
      <c r="G91" s="745" t="s">
        <v>838</v>
      </c>
      <c r="H91" s="745" t="s">
        <v>839</v>
      </c>
      <c r="I91" s="744" t="s">
        <v>837</v>
      </c>
      <c r="J91" s="744" t="s">
        <v>840</v>
      </c>
      <c r="K91" s="744" t="s">
        <v>841</v>
      </c>
      <c r="L91" s="765">
        <v>1546.34</v>
      </c>
      <c r="M91" s="766" t="s">
        <v>842</v>
      </c>
      <c r="N91" s="659"/>
      <c r="O91" s="659"/>
      <c r="P91" s="659"/>
      <c r="Q91" s="659"/>
      <c r="R91" s="659"/>
      <c r="S91" s="659"/>
      <c r="T91" s="701"/>
      <c r="U91" s="766" t="s">
        <v>843</v>
      </c>
      <c r="V91" s="659"/>
      <c r="W91" s="787">
        <v>42977</v>
      </c>
      <c r="X91" s="723"/>
    </row>
    <row r="92" ht="82.5" spans="1:24">
      <c r="A92" s="632"/>
      <c r="B92" s="623" t="s">
        <v>837</v>
      </c>
      <c r="C92" s="611" t="s">
        <v>409</v>
      </c>
      <c r="D92" s="611" t="s">
        <v>826</v>
      </c>
      <c r="E92" s="611" t="s">
        <v>411</v>
      </c>
      <c r="F92" s="611" t="s">
        <v>412</v>
      </c>
      <c r="G92" s="612" t="s">
        <v>844</v>
      </c>
      <c r="H92" s="612" t="s">
        <v>839</v>
      </c>
      <c r="I92" s="623" t="s">
        <v>837</v>
      </c>
      <c r="J92" s="623" t="s">
        <v>840</v>
      </c>
      <c r="K92" s="623" t="s">
        <v>845</v>
      </c>
      <c r="L92" s="663">
        <v>89.64</v>
      </c>
      <c r="M92" s="661" t="s">
        <v>846</v>
      </c>
      <c r="N92" s="659"/>
      <c r="O92" s="659"/>
      <c r="P92" s="659"/>
      <c r="Q92" s="659"/>
      <c r="R92" s="659"/>
      <c r="S92" s="659"/>
      <c r="T92" s="701"/>
      <c r="U92" s="661" t="s">
        <v>847</v>
      </c>
      <c r="V92" s="659"/>
      <c r="W92" s="788">
        <v>42977</v>
      </c>
      <c r="X92" s="700"/>
    </row>
    <row r="93" ht="99" spans="1:24">
      <c r="A93" s="632">
        <f>COUNT(A$2:A92)+1</f>
        <v>69</v>
      </c>
      <c r="B93" s="623" t="s">
        <v>848</v>
      </c>
      <c r="C93" s="611" t="s">
        <v>409</v>
      </c>
      <c r="D93" s="611" t="s">
        <v>826</v>
      </c>
      <c r="E93" s="611" t="s">
        <v>411</v>
      </c>
      <c r="F93" s="611" t="s">
        <v>432</v>
      </c>
      <c r="G93" s="746" t="s">
        <v>849</v>
      </c>
      <c r="H93" s="746" t="s">
        <v>849</v>
      </c>
      <c r="I93" s="623" t="s">
        <v>848</v>
      </c>
      <c r="J93" s="767" t="s">
        <v>850</v>
      </c>
      <c r="K93" s="767" t="s">
        <v>851</v>
      </c>
      <c r="L93" s="768">
        <v>1842</v>
      </c>
      <c r="M93" s="769" t="s">
        <v>852</v>
      </c>
      <c r="N93" s="659">
        <f t="shared" ref="N93:N96" si="4">O93/L93/365</f>
        <v>1.88282876712329</v>
      </c>
      <c r="O93" s="659">
        <f>83.2*L93*8+86.53*L93/4</f>
        <v>1265882.265</v>
      </c>
      <c r="P93" s="659"/>
      <c r="Q93" s="659"/>
      <c r="R93" s="659"/>
      <c r="S93" s="659"/>
      <c r="T93" s="701">
        <f>(86.53-83.2)/83.2</f>
        <v>0.0400240384615384</v>
      </c>
      <c r="U93" s="661" t="s">
        <v>853</v>
      </c>
      <c r="V93" s="659">
        <f>6*12*L93</f>
        <v>132624</v>
      </c>
      <c r="W93" s="789"/>
      <c r="X93" s="700"/>
    </row>
    <row r="94" ht="99" spans="1:24">
      <c r="A94" s="632">
        <f>COUNT(A$2:A93)+1</f>
        <v>70</v>
      </c>
      <c r="B94" s="623" t="s">
        <v>854</v>
      </c>
      <c r="C94" s="611" t="s">
        <v>409</v>
      </c>
      <c r="D94" s="611" t="s">
        <v>826</v>
      </c>
      <c r="E94" s="611" t="s">
        <v>411</v>
      </c>
      <c r="F94" s="611" t="s">
        <v>432</v>
      </c>
      <c r="G94" s="746" t="s">
        <v>855</v>
      </c>
      <c r="H94" s="746" t="s">
        <v>856</v>
      </c>
      <c r="I94" s="623" t="s">
        <v>854</v>
      </c>
      <c r="J94" s="767" t="s">
        <v>857</v>
      </c>
      <c r="K94" s="767" t="s">
        <v>858</v>
      </c>
      <c r="L94" s="768">
        <v>2231.64</v>
      </c>
      <c r="M94" s="769" t="s">
        <v>859</v>
      </c>
      <c r="N94" s="659">
        <f t="shared" si="4"/>
        <v>2.70027397260274</v>
      </c>
      <c r="O94" s="659">
        <f>80*4*L94+83.2*8*L94</f>
        <v>2199504.384</v>
      </c>
      <c r="P94" s="659"/>
      <c r="Q94" s="659"/>
      <c r="R94" s="659"/>
      <c r="S94" s="659"/>
      <c r="T94" s="701">
        <f>(86.53-83.2)/83.2</f>
        <v>0.0400240384615384</v>
      </c>
      <c r="U94" s="661" t="s">
        <v>860</v>
      </c>
      <c r="V94" s="659">
        <f>6*12*L94</f>
        <v>160678.08</v>
      </c>
      <c r="W94" s="789"/>
      <c r="X94" s="700"/>
    </row>
    <row r="95" ht="99" spans="1:24">
      <c r="A95" s="632">
        <f>COUNT(A$2:A94)+1</f>
        <v>71</v>
      </c>
      <c r="B95" s="623" t="s">
        <v>861</v>
      </c>
      <c r="C95" s="747" t="s">
        <v>359</v>
      </c>
      <c r="D95" s="611" t="s">
        <v>826</v>
      </c>
      <c r="E95" s="611" t="s">
        <v>411</v>
      </c>
      <c r="F95" s="611" t="s">
        <v>432</v>
      </c>
      <c r="G95" s="612" t="s">
        <v>862</v>
      </c>
      <c r="H95" s="612" t="s">
        <v>862</v>
      </c>
      <c r="I95" s="623" t="s">
        <v>861</v>
      </c>
      <c r="J95" s="623" t="s">
        <v>863</v>
      </c>
      <c r="K95" s="623" t="s">
        <v>864</v>
      </c>
      <c r="L95" s="663">
        <v>1920</v>
      </c>
      <c r="M95" s="661" t="s">
        <v>865</v>
      </c>
      <c r="N95" s="659">
        <f t="shared" si="4"/>
        <v>2.13698630136986</v>
      </c>
      <c r="O95" s="659">
        <f>65*L95*12</f>
        <v>1497600</v>
      </c>
      <c r="P95" s="659"/>
      <c r="Q95" s="659"/>
      <c r="R95" s="659"/>
      <c r="S95" s="659"/>
      <c r="T95" s="701">
        <f>(67.6-65)/65</f>
        <v>0.0399999999999999</v>
      </c>
      <c r="U95" s="661" t="s">
        <v>866</v>
      </c>
      <c r="V95" s="659">
        <f>6*L95*12</f>
        <v>138240</v>
      </c>
      <c r="W95" s="727"/>
      <c r="X95" s="700"/>
    </row>
    <row r="96" s="593" customFormat="1" ht="166.5" customHeight="1" spans="1:24">
      <c r="A96" s="632">
        <f>COUNT(A$2:A95)+1</f>
        <v>72</v>
      </c>
      <c r="B96" s="623" t="s">
        <v>867</v>
      </c>
      <c r="C96" s="626" t="s">
        <v>359</v>
      </c>
      <c r="D96" s="611" t="s">
        <v>826</v>
      </c>
      <c r="E96" s="611" t="s">
        <v>679</v>
      </c>
      <c r="F96" s="655" t="s">
        <v>540</v>
      </c>
      <c r="G96" s="746" t="s">
        <v>868</v>
      </c>
      <c r="H96" s="746" t="s">
        <v>868</v>
      </c>
      <c r="I96" s="623" t="s">
        <v>867</v>
      </c>
      <c r="J96" s="767" t="s">
        <v>869</v>
      </c>
      <c r="K96" s="767" t="s">
        <v>870</v>
      </c>
      <c r="L96" s="768">
        <v>2212.67</v>
      </c>
      <c r="M96" s="769" t="s">
        <v>871</v>
      </c>
      <c r="N96" s="659">
        <f t="shared" si="4"/>
        <v>1.64383561643836</v>
      </c>
      <c r="O96" s="659">
        <f>50*12*L96</f>
        <v>1327602</v>
      </c>
      <c r="P96" s="659"/>
      <c r="Q96" s="659"/>
      <c r="R96" s="659"/>
      <c r="S96" s="659"/>
      <c r="T96" s="701">
        <f>(54.08-52)/52</f>
        <v>0.04</v>
      </c>
      <c r="U96" s="769" t="s">
        <v>872</v>
      </c>
      <c r="V96" s="659">
        <f>16*L96*12</f>
        <v>424832.64</v>
      </c>
      <c r="W96" s="789"/>
      <c r="X96" s="700"/>
    </row>
    <row r="97" s="593" customFormat="1" ht="132" spans="1:24">
      <c r="A97" s="632">
        <f>COUNT(A$2:A96)+1</f>
        <v>73</v>
      </c>
      <c r="B97" s="623" t="s">
        <v>873</v>
      </c>
      <c r="C97" s="611" t="s">
        <v>409</v>
      </c>
      <c r="D97" s="611" t="s">
        <v>874</v>
      </c>
      <c r="E97" s="611" t="s">
        <v>411</v>
      </c>
      <c r="F97" s="611" t="s">
        <v>432</v>
      </c>
      <c r="G97" s="612" t="s">
        <v>875</v>
      </c>
      <c r="H97" s="612" t="s">
        <v>876</v>
      </c>
      <c r="I97" s="623" t="s">
        <v>873</v>
      </c>
      <c r="J97" s="623" t="s">
        <v>877</v>
      </c>
      <c r="K97" s="623" t="s">
        <v>878</v>
      </c>
      <c r="L97" s="663">
        <v>1210</v>
      </c>
      <c r="M97" s="661" t="s">
        <v>879</v>
      </c>
      <c r="N97" s="659"/>
      <c r="O97" s="659"/>
      <c r="P97" s="659"/>
      <c r="Q97" s="659"/>
      <c r="R97" s="659"/>
      <c r="S97" s="659"/>
      <c r="T97" s="701"/>
      <c r="U97" s="661" t="s">
        <v>880</v>
      </c>
      <c r="V97" s="659"/>
      <c r="W97" s="790">
        <v>43014</v>
      </c>
      <c r="X97" s="700"/>
    </row>
    <row r="98" s="593" customFormat="1" ht="132" spans="1:24">
      <c r="A98" s="632"/>
      <c r="B98" s="623" t="s">
        <v>873</v>
      </c>
      <c r="C98" s="611" t="s">
        <v>409</v>
      </c>
      <c r="D98" s="611" t="s">
        <v>874</v>
      </c>
      <c r="E98" s="611" t="s">
        <v>411</v>
      </c>
      <c r="F98" s="611" t="s">
        <v>432</v>
      </c>
      <c r="G98" s="612" t="s">
        <v>881</v>
      </c>
      <c r="H98" s="612" t="s">
        <v>876</v>
      </c>
      <c r="I98" s="623" t="s">
        <v>873</v>
      </c>
      <c r="J98" s="623" t="s">
        <v>877</v>
      </c>
      <c r="K98" s="623" t="s">
        <v>882</v>
      </c>
      <c r="L98" s="663">
        <v>321</v>
      </c>
      <c r="M98" s="661" t="s">
        <v>883</v>
      </c>
      <c r="N98" s="659"/>
      <c r="O98" s="659"/>
      <c r="P98" s="659"/>
      <c r="Q98" s="659"/>
      <c r="R98" s="659"/>
      <c r="S98" s="659"/>
      <c r="T98" s="701"/>
      <c r="U98" s="661" t="s">
        <v>884</v>
      </c>
      <c r="V98" s="659"/>
      <c r="W98" s="790">
        <v>43014</v>
      </c>
      <c r="X98" s="700"/>
    </row>
    <row r="99" ht="76.5" spans="1:24">
      <c r="A99" s="748">
        <f>COUNT(A$2:A98)+1</f>
        <v>74</v>
      </c>
      <c r="B99" s="623" t="s">
        <v>885</v>
      </c>
      <c r="C99" s="655" t="s">
        <v>409</v>
      </c>
      <c r="D99" s="655" t="s">
        <v>874</v>
      </c>
      <c r="E99" s="611" t="s">
        <v>679</v>
      </c>
      <c r="F99" s="655" t="s">
        <v>432</v>
      </c>
      <c r="G99" s="746" t="s">
        <v>886</v>
      </c>
      <c r="H99" s="746" t="s">
        <v>886</v>
      </c>
      <c r="I99" s="623" t="s">
        <v>885</v>
      </c>
      <c r="J99" s="767" t="s">
        <v>887</v>
      </c>
      <c r="K99" s="767" t="s">
        <v>888</v>
      </c>
      <c r="L99" s="768">
        <v>1990.27</v>
      </c>
      <c r="M99" s="769" t="s">
        <v>889</v>
      </c>
      <c r="N99" s="659">
        <f t="shared" ref="N99:N101" si="5">O99/L99/365</f>
        <v>2.46575342465753</v>
      </c>
      <c r="O99" s="659">
        <f>75*L99*12</f>
        <v>1791243</v>
      </c>
      <c r="P99" s="659"/>
      <c r="Q99" s="659"/>
      <c r="R99" s="659"/>
      <c r="S99" s="659"/>
      <c r="T99" s="701">
        <f>(78-75)/75</f>
        <v>0.04</v>
      </c>
      <c r="U99" s="769" t="s">
        <v>890</v>
      </c>
      <c r="V99" s="659">
        <f>6*L99*12</f>
        <v>143299.44</v>
      </c>
      <c r="W99" s="789"/>
      <c r="X99" s="700"/>
    </row>
    <row r="100" s="594" customFormat="1" ht="99.75" spans="1:24">
      <c r="A100" s="749">
        <f>COUNT(A$2:A99)+1</f>
        <v>75</v>
      </c>
      <c r="B100" s="644" t="s">
        <v>891</v>
      </c>
      <c r="C100" s="611" t="s">
        <v>539</v>
      </c>
      <c r="D100" s="729" t="s">
        <v>892</v>
      </c>
      <c r="E100" s="611" t="s">
        <v>679</v>
      </c>
      <c r="F100" s="618" t="s">
        <v>540</v>
      </c>
      <c r="G100" s="730" t="s">
        <v>893</v>
      </c>
      <c r="H100" s="630" t="s">
        <v>893</v>
      </c>
      <c r="I100" s="644" t="s">
        <v>891</v>
      </c>
      <c r="J100" s="674" t="s">
        <v>894</v>
      </c>
      <c r="K100" s="758" t="s">
        <v>895</v>
      </c>
      <c r="L100" s="770">
        <v>1037</v>
      </c>
      <c r="M100" s="758" t="s">
        <v>896</v>
      </c>
      <c r="N100" s="667"/>
      <c r="O100" s="667"/>
      <c r="P100" s="667"/>
      <c r="Q100" s="667"/>
      <c r="R100" s="667"/>
      <c r="S100" s="667"/>
      <c r="T100" s="704"/>
      <c r="U100" s="668"/>
      <c r="V100" s="667"/>
      <c r="W100" s="779"/>
      <c r="X100" s="706"/>
    </row>
    <row r="101" s="593" customFormat="1" ht="76.5" spans="1:24">
      <c r="A101" s="632">
        <f>COUNT(A$2:A100)+1</f>
        <v>76</v>
      </c>
      <c r="B101" s="623" t="s">
        <v>897</v>
      </c>
      <c r="C101" s="655" t="s">
        <v>409</v>
      </c>
      <c r="D101" s="655" t="s">
        <v>874</v>
      </c>
      <c r="E101" s="611" t="s">
        <v>679</v>
      </c>
      <c r="F101" s="655" t="s">
        <v>540</v>
      </c>
      <c r="G101" s="746" t="s">
        <v>898</v>
      </c>
      <c r="H101" s="746" t="s">
        <v>898</v>
      </c>
      <c r="I101" s="623" t="s">
        <v>897</v>
      </c>
      <c r="J101" s="767" t="s">
        <v>899</v>
      </c>
      <c r="K101" s="767" t="s">
        <v>900</v>
      </c>
      <c r="L101" s="768">
        <v>1315.18</v>
      </c>
      <c r="M101" s="769" t="s">
        <v>901</v>
      </c>
      <c r="N101" s="659">
        <f t="shared" si="5"/>
        <v>2.13698630136986</v>
      </c>
      <c r="O101" s="659">
        <f>65*L101*12</f>
        <v>1025840.4</v>
      </c>
      <c r="P101" s="659"/>
      <c r="Q101" s="659"/>
      <c r="R101" s="659"/>
      <c r="S101" s="659"/>
      <c r="T101" s="701">
        <f>(67.6-65)/65</f>
        <v>0.0399999999999999</v>
      </c>
      <c r="U101" s="769" t="s">
        <v>902</v>
      </c>
      <c r="V101" s="659">
        <f>6*12*L101</f>
        <v>94692.96</v>
      </c>
      <c r="W101" s="789"/>
      <c r="X101" s="700"/>
    </row>
    <row r="102" ht="16.5" spans="1:24">
      <c r="A102" s="629">
        <f>COUNT(A$2:A101)+1</f>
        <v>77</v>
      </c>
      <c r="B102" s="644" t="s">
        <v>903</v>
      </c>
      <c r="C102" s="611" t="s">
        <v>409</v>
      </c>
      <c r="D102" s="645" t="s">
        <v>904</v>
      </c>
      <c r="E102" s="611" t="s">
        <v>411</v>
      </c>
      <c r="F102" s="611" t="s">
        <v>801</v>
      </c>
      <c r="G102" s="750" t="s">
        <v>905</v>
      </c>
      <c r="H102" s="630" t="s">
        <v>905</v>
      </c>
      <c r="I102" s="644" t="s">
        <v>903</v>
      </c>
      <c r="J102" s="674" t="s">
        <v>906</v>
      </c>
      <c r="K102" s="675" t="s">
        <v>907</v>
      </c>
      <c r="L102" s="686">
        <v>210</v>
      </c>
      <c r="M102" s="675" t="s">
        <v>908</v>
      </c>
      <c r="N102" s="659"/>
      <c r="O102" s="659"/>
      <c r="P102" s="659"/>
      <c r="Q102" s="659"/>
      <c r="R102" s="659"/>
      <c r="S102" s="659"/>
      <c r="T102" s="701"/>
      <c r="U102" s="712"/>
      <c r="V102" s="659"/>
      <c r="W102" s="714" t="s">
        <v>909</v>
      </c>
      <c r="X102" s="700"/>
    </row>
    <row r="103" ht="16.5" spans="1:24">
      <c r="A103" s="629"/>
      <c r="B103" s="644" t="s">
        <v>903</v>
      </c>
      <c r="C103" s="611" t="s">
        <v>409</v>
      </c>
      <c r="D103" s="645" t="s">
        <v>904</v>
      </c>
      <c r="E103" s="611" t="s">
        <v>411</v>
      </c>
      <c r="F103" s="611" t="s">
        <v>801</v>
      </c>
      <c r="G103" s="750" t="s">
        <v>905</v>
      </c>
      <c r="H103" s="630" t="s">
        <v>905</v>
      </c>
      <c r="I103" s="644" t="s">
        <v>903</v>
      </c>
      <c r="J103" s="674" t="s">
        <v>910</v>
      </c>
      <c r="K103" s="675" t="s">
        <v>911</v>
      </c>
      <c r="L103" s="686">
        <v>56</v>
      </c>
      <c r="M103" s="675" t="s">
        <v>912</v>
      </c>
      <c r="N103" s="659"/>
      <c r="O103" s="659"/>
      <c r="P103" s="659"/>
      <c r="Q103" s="659"/>
      <c r="R103" s="659"/>
      <c r="S103" s="659"/>
      <c r="T103" s="701"/>
      <c r="U103" s="712"/>
      <c r="V103" s="659"/>
      <c r="W103" s="714" t="s">
        <v>909</v>
      </c>
      <c r="X103" s="700"/>
    </row>
    <row r="104" ht="33" spans="1:24">
      <c r="A104" s="632">
        <f>COUNT(A$2:A103)+1</f>
        <v>78</v>
      </c>
      <c r="B104" s="610" t="s">
        <v>913</v>
      </c>
      <c r="C104" s="611" t="s">
        <v>409</v>
      </c>
      <c r="D104" s="611" t="s">
        <v>914</v>
      </c>
      <c r="E104" s="611" t="s">
        <v>411</v>
      </c>
      <c r="F104" s="611" t="s">
        <v>801</v>
      </c>
      <c r="G104" s="615" t="s">
        <v>915</v>
      </c>
      <c r="H104" s="612" t="s">
        <v>916</v>
      </c>
      <c r="I104" s="610" t="s">
        <v>917</v>
      </c>
      <c r="J104" s="639" t="s">
        <v>918</v>
      </c>
      <c r="K104" s="658" t="s">
        <v>919</v>
      </c>
      <c r="L104" s="659">
        <v>112</v>
      </c>
      <c r="M104" s="660" t="s">
        <v>920</v>
      </c>
      <c r="N104" s="659">
        <f t="shared" ref="N104" si="6">O104/L104/365</f>
        <v>2.18277886497065</v>
      </c>
      <c r="O104" s="659">
        <v>89232</v>
      </c>
      <c r="P104" s="659"/>
      <c r="Q104" s="659"/>
      <c r="R104" s="659"/>
      <c r="S104" s="659"/>
      <c r="T104" s="701">
        <f>(89232-85200)/85200</f>
        <v>0.0473239436619718</v>
      </c>
      <c r="U104" s="660"/>
      <c r="V104" s="659"/>
      <c r="W104" s="719"/>
      <c r="X104" s="700"/>
    </row>
    <row r="105" ht="33" spans="1:24">
      <c r="A105" s="632">
        <f>COUNT(A$2:A104)+1</f>
        <v>79</v>
      </c>
      <c r="B105" s="610" t="s">
        <v>913</v>
      </c>
      <c r="C105" s="611" t="s">
        <v>409</v>
      </c>
      <c r="D105" s="611" t="s">
        <v>914</v>
      </c>
      <c r="E105" s="611" t="s">
        <v>411</v>
      </c>
      <c r="F105" s="611" t="s">
        <v>801</v>
      </c>
      <c r="G105" s="616" t="s">
        <v>921</v>
      </c>
      <c r="H105" s="616" t="s">
        <v>922</v>
      </c>
      <c r="I105" s="610" t="s">
        <v>913</v>
      </c>
      <c r="J105" s="610" t="s">
        <v>923</v>
      </c>
      <c r="K105" s="658" t="s">
        <v>924</v>
      </c>
      <c r="L105" s="659"/>
      <c r="M105" s="660" t="s">
        <v>925</v>
      </c>
      <c r="N105" s="659"/>
      <c r="O105" s="659">
        <v>16800</v>
      </c>
      <c r="P105" s="659"/>
      <c r="Q105" s="659"/>
      <c r="R105" s="659"/>
      <c r="S105" s="659"/>
      <c r="T105" s="701"/>
      <c r="U105" s="660"/>
      <c r="V105" s="659"/>
      <c r="W105" s="719"/>
      <c r="X105" s="700"/>
    </row>
    <row r="106" ht="33" spans="1:24">
      <c r="A106" s="635">
        <f>COUNT(A$2:A105)+1</f>
        <v>80</v>
      </c>
      <c r="B106" s="610" t="s">
        <v>913</v>
      </c>
      <c r="C106" s="611" t="s">
        <v>409</v>
      </c>
      <c r="D106" s="611" t="s">
        <v>914</v>
      </c>
      <c r="E106" s="611" t="s">
        <v>411</v>
      </c>
      <c r="F106" s="611" t="s">
        <v>801</v>
      </c>
      <c r="G106" s="616" t="s">
        <v>926</v>
      </c>
      <c r="H106" s="616" t="s">
        <v>927</v>
      </c>
      <c r="I106" s="610" t="s">
        <v>913</v>
      </c>
      <c r="J106" s="639" t="s">
        <v>928</v>
      </c>
      <c r="K106" s="658" t="s">
        <v>929</v>
      </c>
      <c r="L106" s="659">
        <v>50</v>
      </c>
      <c r="M106" s="660" t="s">
        <v>930</v>
      </c>
      <c r="N106" s="659"/>
      <c r="O106" s="659"/>
      <c r="P106" s="659"/>
      <c r="Q106" s="659"/>
      <c r="R106" s="659"/>
      <c r="S106" s="659"/>
      <c r="T106" s="701"/>
      <c r="U106" s="660"/>
      <c r="V106" s="659"/>
      <c r="W106" s="725" t="s">
        <v>454</v>
      </c>
      <c r="X106" s="700"/>
    </row>
    <row r="107" ht="25.5" spans="1:24">
      <c r="A107" s="643"/>
      <c r="B107" s="610" t="s">
        <v>913</v>
      </c>
      <c r="C107" s="611" t="s">
        <v>409</v>
      </c>
      <c r="D107" s="611" t="s">
        <v>914</v>
      </c>
      <c r="E107" s="611" t="s">
        <v>411</v>
      </c>
      <c r="F107" s="611" t="s">
        <v>801</v>
      </c>
      <c r="G107" s="751" t="s">
        <v>926</v>
      </c>
      <c r="H107" s="616" t="s">
        <v>922</v>
      </c>
      <c r="I107" s="610" t="s">
        <v>913</v>
      </c>
      <c r="J107" s="639" t="s">
        <v>928</v>
      </c>
      <c r="K107" s="658" t="s">
        <v>929</v>
      </c>
      <c r="L107" s="659">
        <v>50</v>
      </c>
      <c r="M107" s="660" t="s">
        <v>931</v>
      </c>
      <c r="N107" s="659">
        <f t="shared" ref="N107:N124" si="7">O107/L107/365</f>
        <v>0.920547945205479</v>
      </c>
      <c r="O107" s="659">
        <v>16800</v>
      </c>
      <c r="P107" s="659"/>
      <c r="Q107" s="659"/>
      <c r="R107" s="659"/>
      <c r="S107" s="659"/>
      <c r="T107" s="701">
        <f>(168-132)/132/2</f>
        <v>0.136363636363636</v>
      </c>
      <c r="U107" s="660"/>
      <c r="V107" s="659"/>
      <c r="W107" s="719"/>
      <c r="X107" s="700"/>
    </row>
    <row r="108" ht="93" customHeight="1" spans="1:24">
      <c r="A108" s="632">
        <f>COUNT(A$2:A107)+1</f>
        <v>81</v>
      </c>
      <c r="B108" s="610" t="s">
        <v>913</v>
      </c>
      <c r="C108" s="611" t="s">
        <v>409</v>
      </c>
      <c r="D108" s="611" t="s">
        <v>914</v>
      </c>
      <c r="E108" s="611" t="s">
        <v>411</v>
      </c>
      <c r="F108" s="611" t="s">
        <v>412</v>
      </c>
      <c r="G108" s="612" t="s">
        <v>932</v>
      </c>
      <c r="H108" s="612" t="s">
        <v>933</v>
      </c>
      <c r="I108" s="610" t="s">
        <v>913</v>
      </c>
      <c r="J108" s="771" t="s">
        <v>934</v>
      </c>
      <c r="K108" s="658" t="s">
        <v>935</v>
      </c>
      <c r="L108" s="659">
        <v>334.4</v>
      </c>
      <c r="M108" s="660" t="s">
        <v>936</v>
      </c>
      <c r="N108" s="659">
        <f t="shared" si="7"/>
        <v>5.89808219178082</v>
      </c>
      <c r="O108" s="659">
        <f>179.4*12*L108</f>
        <v>719896.32</v>
      </c>
      <c r="P108" s="659"/>
      <c r="Q108" s="659"/>
      <c r="R108" s="659"/>
      <c r="S108" s="659"/>
      <c r="T108" s="698" t="s">
        <v>418</v>
      </c>
      <c r="U108" s="660" t="s">
        <v>937</v>
      </c>
      <c r="V108" s="659">
        <f>(53+10.6)*12*L108+1672</f>
        <v>256886.08</v>
      </c>
      <c r="W108" s="719"/>
      <c r="X108" s="700"/>
    </row>
    <row r="109" ht="33" spans="1:24">
      <c r="A109" s="635">
        <f>COUNT(A$2:A108)+1</f>
        <v>82</v>
      </c>
      <c r="B109" s="610" t="s">
        <v>913</v>
      </c>
      <c r="C109" s="611" t="s">
        <v>409</v>
      </c>
      <c r="D109" s="639" t="s">
        <v>914</v>
      </c>
      <c r="E109" s="639" t="s">
        <v>411</v>
      </c>
      <c r="F109" s="639" t="s">
        <v>412</v>
      </c>
      <c r="G109" s="612" t="s">
        <v>938</v>
      </c>
      <c r="H109" s="612" t="s">
        <v>939</v>
      </c>
      <c r="I109" s="610" t="s">
        <v>913</v>
      </c>
      <c r="J109" s="639" t="s">
        <v>940</v>
      </c>
      <c r="K109" s="658" t="s">
        <v>941</v>
      </c>
      <c r="L109" s="659">
        <v>320</v>
      </c>
      <c r="M109" s="660" t="s">
        <v>942</v>
      </c>
      <c r="N109" s="659"/>
      <c r="O109" s="659"/>
      <c r="P109" s="659"/>
      <c r="Q109" s="659"/>
      <c r="R109" s="659"/>
      <c r="S109" s="659"/>
      <c r="T109" s="701"/>
      <c r="U109" s="660" t="s">
        <v>943</v>
      </c>
      <c r="V109" s="659"/>
      <c r="W109" s="719" t="s">
        <v>944</v>
      </c>
      <c r="X109" s="700"/>
    </row>
    <row r="110" ht="25.5" spans="1:24">
      <c r="A110" s="643"/>
      <c r="B110" s="610" t="s">
        <v>913</v>
      </c>
      <c r="C110" s="611" t="s">
        <v>539</v>
      </c>
      <c r="D110" s="639" t="s">
        <v>914</v>
      </c>
      <c r="E110" s="639" t="s">
        <v>411</v>
      </c>
      <c r="F110" s="639" t="s">
        <v>412</v>
      </c>
      <c r="G110" s="612" t="s">
        <v>939</v>
      </c>
      <c r="H110" s="612" t="s">
        <v>939</v>
      </c>
      <c r="I110" s="610" t="s">
        <v>913</v>
      </c>
      <c r="J110" s="639" t="s">
        <v>940</v>
      </c>
      <c r="K110" s="658" t="s">
        <v>941</v>
      </c>
      <c r="L110" s="659">
        <v>160</v>
      </c>
      <c r="M110" s="660" t="s">
        <v>945</v>
      </c>
      <c r="N110" s="659">
        <f t="shared" si="7"/>
        <v>2.13698630136986</v>
      </c>
      <c r="O110" s="659">
        <v>124800</v>
      </c>
      <c r="P110" s="659"/>
      <c r="Q110" s="659"/>
      <c r="R110" s="659"/>
      <c r="S110" s="659"/>
      <c r="T110" s="698" t="s">
        <v>418</v>
      </c>
      <c r="U110" s="660" t="s">
        <v>946</v>
      </c>
      <c r="V110" s="791">
        <f>(15+11)*12*L110</f>
        <v>49920</v>
      </c>
      <c r="W110" s="719"/>
      <c r="X110" s="700"/>
    </row>
    <row r="111" ht="33" spans="1:24">
      <c r="A111" s="632">
        <f>COUNT(A$2:A110)+1</f>
        <v>83</v>
      </c>
      <c r="B111" s="610" t="s">
        <v>913</v>
      </c>
      <c r="C111" s="611" t="s">
        <v>409</v>
      </c>
      <c r="D111" s="611" t="s">
        <v>914</v>
      </c>
      <c r="E111" s="611" t="s">
        <v>411</v>
      </c>
      <c r="F111" s="611" t="s">
        <v>412</v>
      </c>
      <c r="G111" s="612" t="s">
        <v>947</v>
      </c>
      <c r="H111" s="612" t="s">
        <v>948</v>
      </c>
      <c r="I111" s="610" t="s">
        <v>913</v>
      </c>
      <c r="J111" s="639" t="s">
        <v>949</v>
      </c>
      <c r="K111" s="658" t="s">
        <v>950</v>
      </c>
      <c r="L111" s="659">
        <v>84.7</v>
      </c>
      <c r="M111" s="660" t="s">
        <v>951</v>
      </c>
      <c r="N111" s="659">
        <f t="shared" si="7"/>
        <v>71.1617149973314</v>
      </c>
      <c r="O111" s="659">
        <v>2200000</v>
      </c>
      <c r="P111" s="659"/>
      <c r="Q111" s="659"/>
      <c r="R111" s="659"/>
      <c r="S111" s="659"/>
      <c r="T111" s="701">
        <f>(220-215)/215/4</f>
        <v>0.00581395348837209</v>
      </c>
      <c r="U111" s="660"/>
      <c r="V111" s="659"/>
      <c r="W111" s="719"/>
      <c r="X111" s="700"/>
    </row>
    <row r="112" ht="33" spans="1:24">
      <c r="A112" s="635">
        <f>COUNT(A$2:A111)+1</f>
        <v>84</v>
      </c>
      <c r="B112" s="752" t="s">
        <v>913</v>
      </c>
      <c r="C112" s="655" t="s">
        <v>409</v>
      </c>
      <c r="D112" s="655" t="s">
        <v>914</v>
      </c>
      <c r="E112" s="655" t="s">
        <v>411</v>
      </c>
      <c r="F112" s="655" t="s">
        <v>412</v>
      </c>
      <c r="G112" s="746" t="s">
        <v>952</v>
      </c>
      <c r="H112" s="746" t="s">
        <v>953</v>
      </c>
      <c r="I112" s="752" t="s">
        <v>913</v>
      </c>
      <c r="J112" s="637" t="s">
        <v>954</v>
      </c>
      <c r="K112" s="772" t="s">
        <v>955</v>
      </c>
      <c r="L112" s="695">
        <v>2000</v>
      </c>
      <c r="M112" s="773" t="s">
        <v>956</v>
      </c>
      <c r="N112" s="659"/>
      <c r="O112" s="659"/>
      <c r="P112" s="659"/>
      <c r="Q112" s="659"/>
      <c r="R112" s="659"/>
      <c r="S112" s="659"/>
      <c r="T112" s="701"/>
      <c r="U112" s="773" t="s">
        <v>957</v>
      </c>
      <c r="V112" s="659"/>
      <c r="W112" s="792" t="s">
        <v>958</v>
      </c>
      <c r="X112" s="700"/>
    </row>
    <row r="113" ht="99" spans="1:24">
      <c r="A113" s="632">
        <f>COUNT(A$2:A112)+1</f>
        <v>85</v>
      </c>
      <c r="B113" s="610" t="s">
        <v>913</v>
      </c>
      <c r="C113" s="611" t="s">
        <v>409</v>
      </c>
      <c r="D113" s="611" t="s">
        <v>914</v>
      </c>
      <c r="E113" s="611" t="s">
        <v>411</v>
      </c>
      <c r="F113" s="611" t="s">
        <v>412</v>
      </c>
      <c r="G113" s="612" t="s">
        <v>959</v>
      </c>
      <c r="H113" s="612" t="s">
        <v>960</v>
      </c>
      <c r="I113" s="610" t="s">
        <v>913</v>
      </c>
      <c r="J113" s="639" t="s">
        <v>961</v>
      </c>
      <c r="K113" s="658" t="s">
        <v>962</v>
      </c>
      <c r="L113" s="659">
        <v>1724.93</v>
      </c>
      <c r="M113" s="660" t="s">
        <v>963</v>
      </c>
      <c r="N113" s="659">
        <f t="shared" si="7"/>
        <v>2.63013698630137</v>
      </c>
      <c r="O113" s="659">
        <f>80*12*L113</f>
        <v>1655932.8</v>
      </c>
      <c r="P113" s="659"/>
      <c r="Q113" s="659"/>
      <c r="R113" s="659"/>
      <c r="S113" s="659"/>
      <c r="T113" s="701">
        <f>3.2/80</f>
        <v>0.04</v>
      </c>
      <c r="U113" s="660" t="s">
        <v>964</v>
      </c>
      <c r="V113" s="659">
        <f>(6+10)*12*L113</f>
        <v>331186.56</v>
      </c>
      <c r="W113" s="719"/>
      <c r="X113" s="700"/>
    </row>
    <row r="114" s="593" customFormat="1" ht="38.25" spans="1:24">
      <c r="A114" s="632">
        <f>COUNT(A$2:A113)+1</f>
        <v>86</v>
      </c>
      <c r="B114" s="610" t="s">
        <v>965</v>
      </c>
      <c r="C114" s="611" t="s">
        <v>409</v>
      </c>
      <c r="D114" s="611" t="s">
        <v>914</v>
      </c>
      <c r="E114" s="611" t="s">
        <v>679</v>
      </c>
      <c r="F114" s="611" t="s">
        <v>781</v>
      </c>
      <c r="G114" s="612" t="s">
        <v>966</v>
      </c>
      <c r="H114" s="612" t="s">
        <v>966</v>
      </c>
      <c r="I114" s="610" t="s">
        <v>965</v>
      </c>
      <c r="J114" s="639" t="s">
        <v>967</v>
      </c>
      <c r="K114" s="658" t="s">
        <v>968</v>
      </c>
      <c r="L114" s="659">
        <v>266.18</v>
      </c>
      <c r="M114" s="660" t="s">
        <v>969</v>
      </c>
      <c r="N114" s="659">
        <f t="shared" si="7"/>
        <v>8.25614945906416</v>
      </c>
      <c r="O114" s="659">
        <f>65506.9*8.5+70092.38*3.5</f>
        <v>802131.98</v>
      </c>
      <c r="P114" s="659"/>
      <c r="Q114" s="659"/>
      <c r="R114" s="659"/>
      <c r="S114" s="659"/>
      <c r="T114" s="701">
        <f>(70092.38-65506.9)/65506.9</f>
        <v>0.0699999542032977</v>
      </c>
      <c r="U114" s="660" t="s">
        <v>970</v>
      </c>
      <c r="V114" s="659">
        <f>55*L114</f>
        <v>14639.9</v>
      </c>
      <c r="W114" s="719"/>
      <c r="X114" s="700"/>
    </row>
    <row r="115" s="593" customFormat="1" ht="38.25" spans="1:24">
      <c r="A115" s="632">
        <f>COUNT(A$2:A114)+1</f>
        <v>87</v>
      </c>
      <c r="B115" s="610" t="s">
        <v>965</v>
      </c>
      <c r="C115" s="611" t="s">
        <v>409</v>
      </c>
      <c r="D115" s="611" t="s">
        <v>914</v>
      </c>
      <c r="E115" s="611" t="s">
        <v>679</v>
      </c>
      <c r="F115" s="611" t="s">
        <v>412</v>
      </c>
      <c r="G115" s="612" t="s">
        <v>971</v>
      </c>
      <c r="H115" s="612" t="s">
        <v>971</v>
      </c>
      <c r="I115" s="610" t="s">
        <v>965</v>
      </c>
      <c r="J115" s="639" t="s">
        <v>967</v>
      </c>
      <c r="K115" s="658" t="s">
        <v>972</v>
      </c>
      <c r="L115" s="659">
        <v>75.78</v>
      </c>
      <c r="M115" s="660" t="s">
        <v>973</v>
      </c>
      <c r="N115" s="659">
        <f t="shared" si="7"/>
        <v>8.97407527919681</v>
      </c>
      <c r="O115" s="659">
        <f>20271.15*8.5+21690.13*3.5</f>
        <v>248220.23</v>
      </c>
      <c r="P115" s="659"/>
      <c r="Q115" s="659"/>
      <c r="R115" s="659"/>
      <c r="S115" s="659"/>
      <c r="T115" s="701">
        <f>(20271.15-18945)/18945</f>
        <v>0.0700000000000001</v>
      </c>
      <c r="U115" s="660" t="s">
        <v>970</v>
      </c>
      <c r="V115" s="659">
        <f t="shared" ref="V115:V118" si="8">55*L115</f>
        <v>4167.9</v>
      </c>
      <c r="W115" s="719"/>
      <c r="X115" s="700"/>
    </row>
    <row r="116" s="593" customFormat="1" ht="38.25" spans="1:24">
      <c r="A116" s="632">
        <f>COUNT(A$2:A115)+1</f>
        <v>88</v>
      </c>
      <c r="B116" s="610" t="s">
        <v>965</v>
      </c>
      <c r="C116" s="611" t="s">
        <v>409</v>
      </c>
      <c r="D116" s="611" t="s">
        <v>914</v>
      </c>
      <c r="E116" s="611" t="s">
        <v>679</v>
      </c>
      <c r="F116" s="611" t="s">
        <v>412</v>
      </c>
      <c r="G116" s="612" t="s">
        <v>974</v>
      </c>
      <c r="H116" s="612" t="s">
        <v>974</v>
      </c>
      <c r="I116" s="610" t="s">
        <v>965</v>
      </c>
      <c r="J116" s="639" t="s">
        <v>967</v>
      </c>
      <c r="K116" s="658" t="s">
        <v>975</v>
      </c>
      <c r="L116" s="659">
        <v>148.68</v>
      </c>
      <c r="M116" s="660" t="s">
        <v>976</v>
      </c>
      <c r="N116" s="659">
        <f t="shared" si="7"/>
        <v>7.59150653605611</v>
      </c>
      <c r="O116" s="659">
        <f>34999.27*8.5+32709.6*3.5</f>
        <v>411977.395</v>
      </c>
      <c r="P116" s="659"/>
      <c r="Q116" s="659"/>
      <c r="R116" s="659"/>
      <c r="S116" s="659"/>
      <c r="T116" s="701">
        <f>(34999.27-32709.6)/32709.6</f>
        <v>0.069999938855871</v>
      </c>
      <c r="U116" s="660" t="s">
        <v>970</v>
      </c>
      <c r="V116" s="659">
        <f t="shared" si="8"/>
        <v>8177.4</v>
      </c>
      <c r="W116" s="719"/>
      <c r="X116" s="700"/>
    </row>
    <row r="117" s="593" customFormat="1" ht="38.25" spans="1:24">
      <c r="A117" s="632">
        <f>COUNT(A$2:A116)+1</f>
        <v>89</v>
      </c>
      <c r="B117" s="610" t="s">
        <v>965</v>
      </c>
      <c r="C117" s="611" t="s">
        <v>409</v>
      </c>
      <c r="D117" s="611" t="s">
        <v>914</v>
      </c>
      <c r="E117" s="611" t="s">
        <v>679</v>
      </c>
      <c r="F117" s="611" t="s">
        <v>412</v>
      </c>
      <c r="G117" s="612" t="s">
        <v>977</v>
      </c>
      <c r="H117" s="612" t="s">
        <v>977</v>
      </c>
      <c r="I117" s="610" t="s">
        <v>965</v>
      </c>
      <c r="J117" s="639" t="s">
        <v>967</v>
      </c>
      <c r="K117" s="658" t="s">
        <v>978</v>
      </c>
      <c r="L117" s="659">
        <v>97.75</v>
      </c>
      <c r="M117" s="660" t="s">
        <v>979</v>
      </c>
      <c r="N117" s="659">
        <f t="shared" si="7"/>
        <v>8.61511193637669</v>
      </c>
      <c r="O117" s="659">
        <f>25102.2*8.5+26859.35*3.5</f>
        <v>307376.425</v>
      </c>
      <c r="P117" s="659"/>
      <c r="Q117" s="659"/>
      <c r="R117" s="659"/>
      <c r="S117" s="659"/>
      <c r="T117" s="701">
        <f>(26859.35-25102.2)/25105.2</f>
        <v>0.0699914758695409</v>
      </c>
      <c r="U117" s="660" t="s">
        <v>970</v>
      </c>
      <c r="V117" s="659">
        <f t="shared" si="8"/>
        <v>5376.25</v>
      </c>
      <c r="W117" s="719"/>
      <c r="X117" s="700"/>
    </row>
    <row r="118" s="593" customFormat="1" ht="38.25" spans="1:24">
      <c r="A118" s="632">
        <f>COUNT(A$2:A117)+1</f>
        <v>90</v>
      </c>
      <c r="B118" s="610" t="s">
        <v>965</v>
      </c>
      <c r="C118" s="611" t="s">
        <v>409</v>
      </c>
      <c r="D118" s="611" t="s">
        <v>914</v>
      </c>
      <c r="E118" s="611" t="s">
        <v>679</v>
      </c>
      <c r="F118" s="611" t="s">
        <v>412</v>
      </c>
      <c r="G118" s="612" t="s">
        <v>980</v>
      </c>
      <c r="H118" s="612" t="s">
        <v>980</v>
      </c>
      <c r="I118" s="610" t="s">
        <v>965</v>
      </c>
      <c r="J118" s="639" t="s">
        <v>967</v>
      </c>
      <c r="K118" s="658" t="s">
        <v>981</v>
      </c>
      <c r="L118" s="659">
        <v>148.66</v>
      </c>
      <c r="M118" s="660" t="s">
        <v>982</v>
      </c>
      <c r="N118" s="659">
        <f t="shared" si="7"/>
        <v>7.89716821873577</v>
      </c>
      <c r="O118" s="659">
        <f>34994.45*8.5+37444.18*3.5</f>
        <v>428507.455</v>
      </c>
      <c r="P118" s="659"/>
      <c r="Q118" s="659"/>
      <c r="R118" s="659"/>
      <c r="S118" s="659"/>
      <c r="T118" s="701">
        <f>(37444.18-34994.45)/34994.45</f>
        <v>0.0700033862512485</v>
      </c>
      <c r="U118" s="660" t="s">
        <v>970</v>
      </c>
      <c r="V118" s="659">
        <f t="shared" si="8"/>
        <v>8176.3</v>
      </c>
      <c r="W118" s="719"/>
      <c r="X118" s="700"/>
    </row>
    <row r="119" s="593" customFormat="1" ht="38.25" spans="1:24">
      <c r="A119" s="632">
        <f>COUNT(A$2:A118)+1</f>
        <v>91</v>
      </c>
      <c r="B119" s="610" t="s">
        <v>965</v>
      </c>
      <c r="C119" s="611" t="s">
        <v>409</v>
      </c>
      <c r="D119" s="611" t="s">
        <v>914</v>
      </c>
      <c r="E119" s="611" t="s">
        <v>679</v>
      </c>
      <c r="F119" s="611" t="s">
        <v>412</v>
      </c>
      <c r="G119" s="612" t="s">
        <v>983</v>
      </c>
      <c r="H119" s="612" t="s">
        <v>983</v>
      </c>
      <c r="I119" s="610" t="s">
        <v>965</v>
      </c>
      <c r="J119" s="639" t="s">
        <v>967</v>
      </c>
      <c r="K119" s="658" t="s">
        <v>984</v>
      </c>
      <c r="L119" s="659">
        <v>128.02</v>
      </c>
      <c r="M119" s="660" t="s">
        <v>985</v>
      </c>
      <c r="N119" s="659">
        <f t="shared" si="7"/>
        <v>7.78823107690793</v>
      </c>
      <c r="O119" s="659">
        <f>37444.18*3.5+27396.28*8.5</f>
        <v>363923.01</v>
      </c>
      <c r="P119" s="659"/>
      <c r="Q119" s="659"/>
      <c r="R119" s="659"/>
      <c r="S119" s="659"/>
      <c r="T119" s="701">
        <f>(37444.18-27396.28)/27396.28</f>
        <v>0.366761472725494</v>
      </c>
      <c r="U119" s="660"/>
      <c r="V119" s="659"/>
      <c r="W119" s="719"/>
      <c r="X119" s="700"/>
    </row>
    <row r="120" ht="28.5" spans="1:24">
      <c r="A120" s="629">
        <f>COUNT(A$2:A119)+1</f>
        <v>92</v>
      </c>
      <c r="B120" s="644" t="s">
        <v>965</v>
      </c>
      <c r="C120" s="611" t="s">
        <v>409</v>
      </c>
      <c r="D120" s="645" t="s">
        <v>986</v>
      </c>
      <c r="E120" s="611" t="s">
        <v>411</v>
      </c>
      <c r="F120" s="611" t="s">
        <v>547</v>
      </c>
      <c r="G120" s="630" t="s">
        <v>987</v>
      </c>
      <c r="H120" s="630" t="s">
        <v>987</v>
      </c>
      <c r="I120" s="644" t="s">
        <v>965</v>
      </c>
      <c r="J120" s="674" t="s">
        <v>988</v>
      </c>
      <c r="K120" s="675" t="s">
        <v>989</v>
      </c>
      <c r="L120" s="686">
        <v>115.08</v>
      </c>
      <c r="M120" s="675" t="s">
        <v>990</v>
      </c>
      <c r="N120" s="659">
        <f t="shared" si="7"/>
        <v>22.1917808219178</v>
      </c>
      <c r="O120" s="659">
        <v>932148</v>
      </c>
      <c r="P120" s="659"/>
      <c r="Q120" s="659"/>
      <c r="R120" s="659"/>
      <c r="S120" s="659"/>
      <c r="T120" s="701">
        <f>(932148-856195)/856195</f>
        <v>0.0887099317328412</v>
      </c>
      <c r="U120" s="712"/>
      <c r="V120" s="659"/>
      <c r="W120" s="714"/>
      <c r="X120" s="700"/>
    </row>
    <row r="121" ht="36" spans="1:24">
      <c r="A121" s="629">
        <f>COUNT(A$2:A120)+1</f>
        <v>93</v>
      </c>
      <c r="B121" s="644" t="s">
        <v>965</v>
      </c>
      <c r="C121" s="611" t="s">
        <v>409</v>
      </c>
      <c r="D121" s="645" t="s">
        <v>986</v>
      </c>
      <c r="E121" s="611" t="s">
        <v>411</v>
      </c>
      <c r="F121" s="611" t="s">
        <v>547</v>
      </c>
      <c r="G121" s="630" t="s">
        <v>991</v>
      </c>
      <c r="H121" s="630" t="s">
        <v>992</v>
      </c>
      <c r="I121" s="644" t="s">
        <v>965</v>
      </c>
      <c r="J121" s="674" t="s">
        <v>993</v>
      </c>
      <c r="K121" s="675" t="s">
        <v>994</v>
      </c>
      <c r="L121" s="686">
        <v>241.95</v>
      </c>
      <c r="M121" s="675" t="s">
        <v>995</v>
      </c>
      <c r="N121" s="659">
        <f t="shared" si="7"/>
        <v>5.27539834733204</v>
      </c>
      <c r="O121" s="659">
        <f>35081.3*9+37536.99*4</f>
        <v>465879.66</v>
      </c>
      <c r="P121" s="659"/>
      <c r="Q121" s="659"/>
      <c r="R121" s="659"/>
      <c r="S121" s="659"/>
      <c r="T121" s="701">
        <f>(40164.58-37536.99)/37536.99</f>
        <v>0.0700000186482721</v>
      </c>
      <c r="U121" s="675" t="s">
        <v>996</v>
      </c>
      <c r="V121" s="659"/>
      <c r="W121" s="714"/>
      <c r="X121" s="700"/>
    </row>
    <row r="122" ht="36" spans="1:24">
      <c r="A122" s="629">
        <f>COUNT(A$2:A121)+1</f>
        <v>94</v>
      </c>
      <c r="B122" s="644" t="s">
        <v>965</v>
      </c>
      <c r="C122" s="611" t="s">
        <v>409</v>
      </c>
      <c r="D122" s="645" t="s">
        <v>986</v>
      </c>
      <c r="E122" s="611" t="s">
        <v>411</v>
      </c>
      <c r="F122" s="626" t="s">
        <v>781</v>
      </c>
      <c r="G122" s="630" t="s">
        <v>997</v>
      </c>
      <c r="H122" s="630" t="s">
        <v>998</v>
      </c>
      <c r="I122" s="644" t="s">
        <v>965</v>
      </c>
      <c r="J122" s="759" t="s">
        <v>993</v>
      </c>
      <c r="K122" s="675" t="s">
        <v>994</v>
      </c>
      <c r="L122" s="686">
        <v>241.95</v>
      </c>
      <c r="M122" s="675" t="s">
        <v>999</v>
      </c>
      <c r="N122" s="659">
        <f t="shared" si="7"/>
        <v>5.19008603045461</v>
      </c>
      <c r="O122" s="659">
        <f>40166.24*3+37538.54*9</f>
        <v>458345.58</v>
      </c>
      <c r="P122" s="659"/>
      <c r="Q122" s="659"/>
      <c r="R122" s="659"/>
      <c r="S122" s="659"/>
      <c r="T122" s="701">
        <f>(40166.24-37538.54)/37538.54</f>
        <v>0.0700000586064348</v>
      </c>
      <c r="U122" s="675" t="s">
        <v>1000</v>
      </c>
      <c r="V122" s="659"/>
      <c r="W122" s="714"/>
      <c r="X122" s="700"/>
    </row>
    <row r="123" ht="36" spans="1:24">
      <c r="A123" s="629">
        <f>COUNT(A$2:A122)+1</f>
        <v>95</v>
      </c>
      <c r="B123" s="644" t="s">
        <v>965</v>
      </c>
      <c r="C123" s="611" t="s">
        <v>409</v>
      </c>
      <c r="D123" s="645" t="s">
        <v>986</v>
      </c>
      <c r="E123" s="611" t="s">
        <v>411</v>
      </c>
      <c r="F123" s="611" t="s">
        <v>547</v>
      </c>
      <c r="G123" s="630" t="s">
        <v>1001</v>
      </c>
      <c r="H123" s="630" t="s">
        <v>1002</v>
      </c>
      <c r="I123" s="644" t="s">
        <v>965</v>
      </c>
      <c r="J123" s="674" t="s">
        <v>993</v>
      </c>
      <c r="K123" s="675" t="s">
        <v>994</v>
      </c>
      <c r="L123" s="686">
        <v>114.74</v>
      </c>
      <c r="M123" s="675" t="s">
        <v>1003</v>
      </c>
      <c r="N123" s="659">
        <f t="shared" si="7"/>
        <v>7.51667689427676</v>
      </c>
      <c r="O123" s="659">
        <f>27586.82*3+25782.08*9</f>
        <v>314799.18</v>
      </c>
      <c r="P123" s="659"/>
      <c r="Q123" s="659"/>
      <c r="R123" s="659"/>
      <c r="S123" s="659"/>
      <c r="T123" s="701">
        <f t="shared" ref="T123:T124" si="9">(40166.24-37538.54)/37538.54</f>
        <v>0.0700000586064348</v>
      </c>
      <c r="U123" s="675" t="s">
        <v>1004</v>
      </c>
      <c r="V123" s="659"/>
      <c r="W123" s="714"/>
      <c r="X123" s="700"/>
    </row>
    <row r="124" ht="36" spans="1:24">
      <c r="A124" s="629">
        <f>COUNT(A$2:A123)+1</f>
        <v>96</v>
      </c>
      <c r="B124" s="644" t="s">
        <v>965</v>
      </c>
      <c r="C124" s="611" t="s">
        <v>409</v>
      </c>
      <c r="D124" s="645" t="s">
        <v>986</v>
      </c>
      <c r="E124" s="611" t="s">
        <v>411</v>
      </c>
      <c r="F124" s="611" t="s">
        <v>547</v>
      </c>
      <c r="G124" s="630" t="s">
        <v>1005</v>
      </c>
      <c r="H124" s="630" t="s">
        <v>1006</v>
      </c>
      <c r="I124" s="644" t="s">
        <v>965</v>
      </c>
      <c r="J124" s="674" t="s">
        <v>993</v>
      </c>
      <c r="K124" s="675" t="s">
        <v>994</v>
      </c>
      <c r="L124" s="686">
        <v>136.85</v>
      </c>
      <c r="M124" s="675" t="s">
        <v>1007</v>
      </c>
      <c r="N124" s="659">
        <f t="shared" si="7"/>
        <v>5.19008693650182</v>
      </c>
      <c r="O124" s="659">
        <f>22718.54*3+21232.28*9</f>
        <v>259246.14</v>
      </c>
      <c r="P124" s="659"/>
      <c r="Q124" s="659"/>
      <c r="R124" s="659"/>
      <c r="S124" s="659"/>
      <c r="T124" s="701">
        <f t="shared" si="9"/>
        <v>0.0700000586064348</v>
      </c>
      <c r="U124" s="675" t="s">
        <v>1008</v>
      </c>
      <c r="V124" s="659"/>
      <c r="W124" s="714"/>
      <c r="X124" s="700"/>
    </row>
    <row r="125" s="597" customFormat="1" spans="1:24">
      <c r="A125" s="753">
        <v>1</v>
      </c>
      <c r="B125" s="653" t="s">
        <v>538</v>
      </c>
      <c r="C125" s="693" t="s">
        <v>1009</v>
      </c>
      <c r="D125" s="653" t="s">
        <v>723</v>
      </c>
      <c r="E125" s="754" t="s">
        <v>1010</v>
      </c>
      <c r="F125" s="653" t="s">
        <v>1010</v>
      </c>
      <c r="G125" s="653" t="s">
        <v>1011</v>
      </c>
      <c r="H125" s="693" t="s">
        <v>1012</v>
      </c>
      <c r="I125" s="693" t="s">
        <v>538</v>
      </c>
      <c r="J125" s="693" t="s">
        <v>1013</v>
      </c>
      <c r="K125" s="653" t="s">
        <v>1014</v>
      </c>
      <c r="L125" s="774">
        <v>5630</v>
      </c>
      <c r="M125" s="775" t="s">
        <v>1015</v>
      </c>
      <c r="N125" s="659"/>
      <c r="O125" s="659"/>
      <c r="P125" s="659"/>
      <c r="Q125" s="659"/>
      <c r="R125" s="659"/>
      <c r="S125" s="659"/>
      <c r="T125" s="701"/>
      <c r="U125" s="775"/>
      <c r="V125" s="659"/>
      <c r="W125" s="272" t="s">
        <v>454</v>
      </c>
      <c r="X125" s="700"/>
    </row>
    <row r="126" s="598" customFormat="1" spans="1:24">
      <c r="A126" s="755"/>
      <c r="B126" s="653" t="s">
        <v>538</v>
      </c>
      <c r="C126" s="693" t="s">
        <v>1009</v>
      </c>
      <c r="D126" s="693" t="s">
        <v>723</v>
      </c>
      <c r="E126" s="754" t="s">
        <v>1010</v>
      </c>
      <c r="F126" s="693" t="s">
        <v>1010</v>
      </c>
      <c r="G126" s="693" t="s">
        <v>1016</v>
      </c>
      <c r="H126" s="693" t="s">
        <v>1012</v>
      </c>
      <c r="I126" s="693" t="s">
        <v>538</v>
      </c>
      <c r="J126" s="693" t="s">
        <v>1013</v>
      </c>
      <c r="K126" s="693" t="s">
        <v>1017</v>
      </c>
      <c r="L126" s="776">
        <v>800</v>
      </c>
      <c r="M126" s="777" t="s">
        <v>1018</v>
      </c>
      <c r="N126" s="659"/>
      <c r="O126" s="659"/>
      <c r="P126" s="659"/>
      <c r="Q126" s="659"/>
      <c r="R126" s="659"/>
      <c r="S126" s="659"/>
      <c r="T126" s="701"/>
      <c r="U126" s="777"/>
      <c r="V126" s="659"/>
      <c r="W126" s="793" t="s">
        <v>454</v>
      </c>
      <c r="X126" s="700"/>
    </row>
    <row r="127" s="598" customFormat="1" spans="1:24">
      <c r="A127" s="755"/>
      <c r="B127" s="653" t="s">
        <v>538</v>
      </c>
      <c r="C127" s="693" t="s">
        <v>1009</v>
      </c>
      <c r="D127" s="693" t="s">
        <v>723</v>
      </c>
      <c r="E127" s="754" t="s">
        <v>1010</v>
      </c>
      <c r="F127" s="693" t="s">
        <v>1010</v>
      </c>
      <c r="G127" s="693" t="s">
        <v>1019</v>
      </c>
      <c r="H127" s="693" t="s">
        <v>1012</v>
      </c>
      <c r="I127" s="693" t="s">
        <v>538</v>
      </c>
      <c r="J127" s="693" t="s">
        <v>1013</v>
      </c>
      <c r="K127" s="693" t="s">
        <v>1020</v>
      </c>
      <c r="L127" s="776">
        <v>520</v>
      </c>
      <c r="M127" s="777" t="s">
        <v>1021</v>
      </c>
      <c r="N127" s="659"/>
      <c r="O127" s="659"/>
      <c r="P127" s="659"/>
      <c r="Q127" s="659"/>
      <c r="R127" s="659"/>
      <c r="S127" s="659"/>
      <c r="T127" s="701"/>
      <c r="U127" s="777"/>
      <c r="V127" s="659"/>
      <c r="W127" s="793" t="s">
        <v>454</v>
      </c>
      <c r="X127" s="700"/>
    </row>
    <row r="128" s="598" customFormat="1" spans="1:24">
      <c r="A128" s="755"/>
      <c r="B128" s="653" t="s">
        <v>538</v>
      </c>
      <c r="C128" s="693" t="s">
        <v>1009</v>
      </c>
      <c r="D128" s="693" t="s">
        <v>723</v>
      </c>
      <c r="E128" s="754" t="s">
        <v>1010</v>
      </c>
      <c r="F128" s="693" t="s">
        <v>1010</v>
      </c>
      <c r="G128" s="693" t="s">
        <v>1012</v>
      </c>
      <c r="H128" s="693" t="s">
        <v>1012</v>
      </c>
      <c r="I128" s="693" t="s">
        <v>538</v>
      </c>
      <c r="J128" s="693" t="s">
        <v>1013</v>
      </c>
      <c r="K128" s="693" t="s">
        <v>1020</v>
      </c>
      <c r="L128" s="776"/>
      <c r="M128" s="777" t="s">
        <v>1022</v>
      </c>
      <c r="N128" s="659"/>
      <c r="O128" s="659"/>
      <c r="P128" s="659"/>
      <c r="Q128" s="659"/>
      <c r="R128" s="659"/>
      <c r="S128" s="659"/>
      <c r="T128" s="701"/>
      <c r="U128" s="777"/>
      <c r="V128" s="659"/>
      <c r="W128" s="793" t="s">
        <v>454</v>
      </c>
      <c r="X128" s="700"/>
    </row>
    <row r="129" s="598" customFormat="1" ht="102" spans="1:24">
      <c r="A129" s="755"/>
      <c r="B129" s="653" t="s">
        <v>538</v>
      </c>
      <c r="C129" s="693" t="s">
        <v>1009</v>
      </c>
      <c r="D129" s="693" t="s">
        <v>723</v>
      </c>
      <c r="E129" s="754" t="s">
        <v>1010</v>
      </c>
      <c r="F129" s="693" t="s">
        <v>1010</v>
      </c>
      <c r="G129" s="653" t="s">
        <v>1012</v>
      </c>
      <c r="H129" s="693" t="s">
        <v>1012</v>
      </c>
      <c r="I129" s="693" t="s">
        <v>538</v>
      </c>
      <c r="J129" s="693" t="s">
        <v>1013</v>
      </c>
      <c r="K129" s="693" t="s">
        <v>1014</v>
      </c>
      <c r="L129" s="776">
        <v>7203</v>
      </c>
      <c r="M129" s="777" t="s">
        <v>1023</v>
      </c>
      <c r="N129" s="659">
        <f t="shared" ref="N129" si="10">O129/L129/365</f>
        <v>0.668881116886229</v>
      </c>
      <c r="O129" s="659">
        <f>146546*12</f>
        <v>1758552</v>
      </c>
      <c r="P129" s="659"/>
      <c r="Q129" s="659"/>
      <c r="R129" s="659"/>
      <c r="S129" s="659"/>
      <c r="T129" s="701">
        <f>(1802400-1758552)/1758552</f>
        <v>0.0249341503691674</v>
      </c>
      <c r="U129" s="777"/>
      <c r="V129" s="659"/>
      <c r="W129" s="693"/>
      <c r="X129" s="700"/>
    </row>
    <row r="130" s="598" customFormat="1" ht="38.25" spans="1:24">
      <c r="A130" s="755">
        <v>2</v>
      </c>
      <c r="B130" s="653" t="s">
        <v>538</v>
      </c>
      <c r="C130" s="693" t="s">
        <v>1009</v>
      </c>
      <c r="D130" s="693" t="s">
        <v>723</v>
      </c>
      <c r="E130" s="754" t="s">
        <v>1010</v>
      </c>
      <c r="F130" s="693" t="s">
        <v>1010</v>
      </c>
      <c r="G130" s="693" t="s">
        <v>1024</v>
      </c>
      <c r="H130" s="693" t="s">
        <v>1012</v>
      </c>
      <c r="I130" s="693" t="s">
        <v>538</v>
      </c>
      <c r="J130" s="693" t="s">
        <v>1025</v>
      </c>
      <c r="K130" s="693" t="s">
        <v>1026</v>
      </c>
      <c r="L130" s="776">
        <v>2700</v>
      </c>
      <c r="M130" s="777" t="s">
        <v>1027</v>
      </c>
      <c r="N130" s="659">
        <f t="shared" ref="N130:N134" si="11">O130/L130/365</f>
        <v>0.756164383561644</v>
      </c>
      <c r="O130" s="659">
        <f>2700*23*12</f>
        <v>745200</v>
      </c>
      <c r="P130" s="659"/>
      <c r="Q130" s="659"/>
      <c r="R130" s="659"/>
      <c r="S130" s="659"/>
      <c r="T130" s="698" t="s">
        <v>418</v>
      </c>
      <c r="U130" s="777"/>
      <c r="V130" s="659"/>
      <c r="W130" s="693"/>
      <c r="X130" s="700"/>
    </row>
    <row r="131" s="599" customFormat="1" ht="24" spans="1:24">
      <c r="A131" s="794">
        <v>3</v>
      </c>
      <c r="B131" s="795" t="s">
        <v>538</v>
      </c>
      <c r="C131" s="680" t="s">
        <v>1009</v>
      </c>
      <c r="D131" s="680" t="s">
        <v>646</v>
      </c>
      <c r="E131" s="660" t="s">
        <v>1010</v>
      </c>
      <c r="F131" s="693" t="s">
        <v>1010</v>
      </c>
      <c r="G131" s="660" t="s">
        <v>1028</v>
      </c>
      <c r="H131" s="660" t="s">
        <v>1028</v>
      </c>
      <c r="I131" s="795" t="s">
        <v>538</v>
      </c>
      <c r="J131" s="680" t="s">
        <v>1029</v>
      </c>
      <c r="K131" s="799" t="s">
        <v>1030</v>
      </c>
      <c r="L131" s="800">
        <v>200</v>
      </c>
      <c r="M131" s="660" t="s">
        <v>1031</v>
      </c>
      <c r="N131" s="659">
        <f t="shared" si="11"/>
        <v>0.438356164383562</v>
      </c>
      <c r="O131" s="659">
        <v>32000</v>
      </c>
      <c r="P131" s="659"/>
      <c r="Q131" s="659"/>
      <c r="R131" s="659"/>
      <c r="S131" s="659"/>
      <c r="T131" s="698" t="s">
        <v>418</v>
      </c>
      <c r="U131" s="660"/>
      <c r="V131" s="659"/>
      <c r="W131" s="775"/>
      <c r="X131" s="700"/>
    </row>
    <row r="132" s="599" customFormat="1" ht="24" spans="1:24">
      <c r="A132" s="796"/>
      <c r="B132" s="795" t="s">
        <v>538</v>
      </c>
      <c r="C132" s="680" t="s">
        <v>1009</v>
      </c>
      <c r="D132" s="680" t="s">
        <v>646</v>
      </c>
      <c r="E132" s="660" t="s">
        <v>1010</v>
      </c>
      <c r="F132" s="693" t="s">
        <v>1010</v>
      </c>
      <c r="G132" s="660" t="s">
        <v>1028</v>
      </c>
      <c r="H132" s="660" t="s">
        <v>1028</v>
      </c>
      <c r="I132" s="795" t="s">
        <v>538</v>
      </c>
      <c r="J132" s="674" t="s">
        <v>1032</v>
      </c>
      <c r="K132" s="799" t="s">
        <v>1033</v>
      </c>
      <c r="L132" s="800">
        <v>200</v>
      </c>
      <c r="M132" s="660" t="s">
        <v>1034</v>
      </c>
      <c r="N132" s="659">
        <f t="shared" si="11"/>
        <v>0.427397260273973</v>
      </c>
      <c r="O132" s="659">
        <v>31200</v>
      </c>
      <c r="P132" s="659"/>
      <c r="Q132" s="659"/>
      <c r="R132" s="659"/>
      <c r="S132" s="659"/>
      <c r="T132" s="698" t="s">
        <v>418</v>
      </c>
      <c r="U132" s="660"/>
      <c r="V132" s="659"/>
      <c r="W132" s="775"/>
      <c r="X132" s="700"/>
    </row>
    <row r="133" ht="16.5" spans="1:24">
      <c r="A133" s="797"/>
      <c r="B133" s="653" t="s">
        <v>538</v>
      </c>
      <c r="C133" s="611" t="s">
        <v>1009</v>
      </c>
      <c r="D133" s="680" t="s">
        <v>646</v>
      </c>
      <c r="E133" s="611" t="s">
        <v>411</v>
      </c>
      <c r="F133" s="660" t="s">
        <v>1010</v>
      </c>
      <c r="G133" s="660" t="s">
        <v>1028</v>
      </c>
      <c r="H133" s="660" t="s">
        <v>1028</v>
      </c>
      <c r="I133" s="660" t="s">
        <v>1028</v>
      </c>
      <c r="J133" s="674" t="s">
        <v>1032</v>
      </c>
      <c r="K133" s="799" t="s">
        <v>1033</v>
      </c>
      <c r="L133" s="686">
        <v>44</v>
      </c>
      <c r="M133" s="675" t="s">
        <v>1035</v>
      </c>
      <c r="N133" s="659">
        <f t="shared" si="11"/>
        <v>0.470734744707347</v>
      </c>
      <c r="O133" s="659">
        <v>7560</v>
      </c>
      <c r="P133" s="659"/>
      <c r="Q133" s="659"/>
      <c r="R133" s="659"/>
      <c r="S133" s="659"/>
      <c r="T133" s="698" t="s">
        <v>418</v>
      </c>
      <c r="U133" s="712"/>
      <c r="V133" s="659"/>
      <c r="W133" s="714"/>
      <c r="X133" s="700"/>
    </row>
    <row r="134" s="598" customFormat="1" ht="25.5" spans="1:24">
      <c r="A134" s="755">
        <v>4</v>
      </c>
      <c r="B134" s="610" t="s">
        <v>408</v>
      </c>
      <c r="C134" s="693" t="s">
        <v>1009</v>
      </c>
      <c r="D134" s="693" t="s">
        <v>1036</v>
      </c>
      <c r="E134" s="693" t="s">
        <v>1010</v>
      </c>
      <c r="F134" s="693" t="s">
        <v>1010</v>
      </c>
      <c r="G134" s="693" t="s">
        <v>1037</v>
      </c>
      <c r="H134" s="693" t="s">
        <v>1037</v>
      </c>
      <c r="I134" s="610" t="s">
        <v>408</v>
      </c>
      <c r="J134" s="693" t="s">
        <v>1038</v>
      </c>
      <c r="K134" s="693" t="s">
        <v>1039</v>
      </c>
      <c r="L134" s="776">
        <v>400</v>
      </c>
      <c r="M134" s="777" t="s">
        <v>1040</v>
      </c>
      <c r="N134" s="659">
        <f t="shared" si="11"/>
        <v>0.308219178082192</v>
      </c>
      <c r="O134" s="659">
        <v>45000</v>
      </c>
      <c r="P134" s="659"/>
      <c r="Q134" s="659"/>
      <c r="R134" s="659"/>
      <c r="S134" s="659"/>
      <c r="T134" s="698" t="s">
        <v>418</v>
      </c>
      <c r="U134" s="777"/>
      <c r="V134" s="659"/>
      <c r="W134" s="693"/>
      <c r="X134" s="700"/>
    </row>
    <row r="135" s="598" customFormat="1" ht="25.5" spans="1:24">
      <c r="A135" s="755">
        <v>5</v>
      </c>
      <c r="B135" s="653" t="s">
        <v>538</v>
      </c>
      <c r="C135" s="693" t="s">
        <v>1009</v>
      </c>
      <c r="D135" s="693" t="s">
        <v>1041</v>
      </c>
      <c r="E135" s="693" t="s">
        <v>1010</v>
      </c>
      <c r="F135" s="693" t="s">
        <v>1010</v>
      </c>
      <c r="G135" s="693" t="s">
        <v>1042</v>
      </c>
      <c r="H135" s="693" t="s">
        <v>1042</v>
      </c>
      <c r="I135" s="693" t="s">
        <v>538</v>
      </c>
      <c r="J135" s="693" t="s">
        <v>1043</v>
      </c>
      <c r="K135" s="693" t="s">
        <v>1044</v>
      </c>
      <c r="L135" s="776" t="s">
        <v>1045</v>
      </c>
      <c r="M135" s="777" t="s">
        <v>1046</v>
      </c>
      <c r="N135" s="659"/>
      <c r="O135" s="659">
        <v>28000</v>
      </c>
      <c r="P135" s="659"/>
      <c r="Q135" s="659"/>
      <c r="R135" s="659"/>
      <c r="S135" s="659"/>
      <c r="T135" s="698" t="s">
        <v>418</v>
      </c>
      <c r="U135" s="777"/>
      <c r="V135" s="659"/>
      <c r="W135" s="693"/>
      <c r="X135" s="700"/>
    </row>
    <row r="136" s="598" customFormat="1" ht="38.25" spans="1:24">
      <c r="A136" s="755">
        <v>6</v>
      </c>
      <c r="B136" s="653" t="s">
        <v>538</v>
      </c>
      <c r="C136" s="693" t="s">
        <v>1009</v>
      </c>
      <c r="D136" s="693" t="s">
        <v>1047</v>
      </c>
      <c r="E136" s="693" t="s">
        <v>1010</v>
      </c>
      <c r="F136" s="693" t="s">
        <v>1010</v>
      </c>
      <c r="G136" s="272" t="s">
        <v>1048</v>
      </c>
      <c r="H136" s="653" t="s">
        <v>1049</v>
      </c>
      <c r="I136" s="693" t="s">
        <v>538</v>
      </c>
      <c r="J136" s="693" t="s">
        <v>1050</v>
      </c>
      <c r="K136" s="693" t="s">
        <v>1051</v>
      </c>
      <c r="L136" s="776">
        <v>4312</v>
      </c>
      <c r="M136" s="777" t="s">
        <v>1052</v>
      </c>
      <c r="N136" s="659"/>
      <c r="O136" s="659">
        <v>250000</v>
      </c>
      <c r="P136" s="659"/>
      <c r="Q136" s="659"/>
      <c r="R136" s="659"/>
      <c r="S136" s="659"/>
      <c r="T136" s="701"/>
      <c r="U136" s="777"/>
      <c r="V136" s="659"/>
      <c r="W136" s="693"/>
      <c r="X136" s="700"/>
    </row>
    <row r="137" s="598" customFormat="1" ht="51" spans="1:24">
      <c r="A137" s="755">
        <v>7</v>
      </c>
      <c r="B137" s="653" t="s">
        <v>538</v>
      </c>
      <c r="C137" s="693" t="s">
        <v>1009</v>
      </c>
      <c r="D137" s="693" t="s">
        <v>744</v>
      </c>
      <c r="E137" s="754" t="s">
        <v>1010</v>
      </c>
      <c r="F137" s="693" t="s">
        <v>1010</v>
      </c>
      <c r="G137" s="653" t="s">
        <v>1053</v>
      </c>
      <c r="H137" s="653" t="s">
        <v>1053</v>
      </c>
      <c r="I137" s="693" t="s">
        <v>1054</v>
      </c>
      <c r="J137" s="693" t="s">
        <v>1055</v>
      </c>
      <c r="K137" s="693" t="s">
        <v>1056</v>
      </c>
      <c r="L137" s="776"/>
      <c r="M137" s="777" t="s">
        <v>1057</v>
      </c>
      <c r="N137" s="659"/>
      <c r="O137" s="659">
        <v>30000</v>
      </c>
      <c r="P137" s="659"/>
      <c r="Q137" s="659"/>
      <c r="R137" s="659"/>
      <c r="S137" s="659"/>
      <c r="T137" s="701"/>
      <c r="U137" s="777"/>
      <c r="V137" s="659"/>
      <c r="W137" s="693"/>
      <c r="X137" s="700"/>
    </row>
    <row r="138" s="598" customFormat="1" ht="76.5" spans="1:24">
      <c r="A138" s="755">
        <v>8</v>
      </c>
      <c r="B138" s="653" t="s">
        <v>965</v>
      </c>
      <c r="C138" s="693" t="s">
        <v>1009</v>
      </c>
      <c r="D138" s="693" t="s">
        <v>1058</v>
      </c>
      <c r="E138" s="693" t="s">
        <v>1010</v>
      </c>
      <c r="F138" s="693" t="s">
        <v>1010</v>
      </c>
      <c r="G138" s="653" t="s">
        <v>1059</v>
      </c>
      <c r="H138" s="653" t="s">
        <v>1060</v>
      </c>
      <c r="I138" s="693" t="s">
        <v>965</v>
      </c>
      <c r="J138" s="693" t="s">
        <v>1061</v>
      </c>
      <c r="K138" s="693" t="s">
        <v>1062</v>
      </c>
      <c r="L138" s="776">
        <v>3240</v>
      </c>
      <c r="M138" s="777" t="s">
        <v>1063</v>
      </c>
      <c r="N138" s="659"/>
      <c r="O138" s="659">
        <f>(61560+3500+300)*12</f>
        <v>784320</v>
      </c>
      <c r="P138" s="659"/>
      <c r="Q138" s="659"/>
      <c r="R138" s="659"/>
      <c r="S138" s="659"/>
      <c r="T138" s="701"/>
      <c r="U138" s="777"/>
      <c r="V138" s="659"/>
      <c r="W138" s="693"/>
      <c r="X138" s="700"/>
    </row>
    <row r="139" s="599" customFormat="1" ht="51" spans="1:24">
      <c r="A139" s="755">
        <v>9</v>
      </c>
      <c r="B139" s="795" t="s">
        <v>1064</v>
      </c>
      <c r="C139" s="680" t="s">
        <v>1009</v>
      </c>
      <c r="D139" s="680" t="s">
        <v>1065</v>
      </c>
      <c r="E139" s="660" t="s">
        <v>1066</v>
      </c>
      <c r="F139" s="660" t="s">
        <v>1066</v>
      </c>
      <c r="G139" s="660" t="s">
        <v>1067</v>
      </c>
      <c r="H139" s="660" t="s">
        <v>1068</v>
      </c>
      <c r="I139" s="795" t="s">
        <v>1064</v>
      </c>
      <c r="J139" s="680" t="s">
        <v>1069</v>
      </c>
      <c r="K139" s="799" t="s">
        <v>1070</v>
      </c>
      <c r="L139" s="800"/>
      <c r="M139" s="660" t="s">
        <v>1071</v>
      </c>
      <c r="N139" s="659"/>
      <c r="O139" s="659">
        <v>4000</v>
      </c>
      <c r="P139" s="659"/>
      <c r="Q139" s="659"/>
      <c r="R139" s="659"/>
      <c r="S139" s="659"/>
      <c r="T139" s="701"/>
      <c r="U139" s="660"/>
      <c r="V139" s="659"/>
      <c r="W139" s="775"/>
      <c r="X139" s="700"/>
    </row>
    <row r="140" ht="25.5" spans="1:24">
      <c r="A140" s="631">
        <v>10</v>
      </c>
      <c r="B140" s="653" t="s">
        <v>538</v>
      </c>
      <c r="C140" s="693" t="s">
        <v>1072</v>
      </c>
      <c r="D140" s="693" t="s">
        <v>723</v>
      </c>
      <c r="E140" s="754" t="s">
        <v>1066</v>
      </c>
      <c r="F140" s="611" t="s">
        <v>1066</v>
      </c>
      <c r="G140" s="693" t="s">
        <v>1073</v>
      </c>
      <c r="H140" s="693" t="s">
        <v>1074</v>
      </c>
      <c r="I140" s="693" t="s">
        <v>538</v>
      </c>
      <c r="J140" s="693" t="s">
        <v>1075</v>
      </c>
      <c r="K140" s="693" t="s">
        <v>1076</v>
      </c>
      <c r="L140" s="801">
        <v>3300</v>
      </c>
      <c r="M140" s="777" t="s">
        <v>1077</v>
      </c>
      <c r="N140" s="802"/>
      <c r="O140" s="695">
        <v>490000</v>
      </c>
      <c r="P140" s="802"/>
      <c r="Q140" s="802"/>
      <c r="R140" s="802"/>
      <c r="S140" s="802"/>
      <c r="T140" s="810"/>
      <c r="U140" s="712"/>
      <c r="V140" s="659"/>
      <c r="W140" s="714"/>
      <c r="X140" s="700"/>
    </row>
    <row r="141" s="598" customFormat="1" spans="1:24">
      <c r="A141" s="798"/>
      <c r="B141" s="653" t="s">
        <v>538</v>
      </c>
      <c r="C141" s="693" t="s">
        <v>1072</v>
      </c>
      <c r="D141" s="693" t="s">
        <v>723</v>
      </c>
      <c r="E141" s="754" t="s">
        <v>1066</v>
      </c>
      <c r="F141" s="611" t="s">
        <v>1066</v>
      </c>
      <c r="G141" s="693" t="s">
        <v>1073</v>
      </c>
      <c r="H141" s="693" t="s">
        <v>1074</v>
      </c>
      <c r="I141" s="693" t="s">
        <v>538</v>
      </c>
      <c r="J141" s="693" t="s">
        <v>1078</v>
      </c>
      <c r="K141" s="693" t="s">
        <v>1076</v>
      </c>
      <c r="L141" s="803"/>
      <c r="M141" s="777" t="s">
        <v>1079</v>
      </c>
      <c r="N141" s="804"/>
      <c r="O141" s="805"/>
      <c r="P141" s="804"/>
      <c r="Q141" s="804"/>
      <c r="R141" s="804"/>
      <c r="S141" s="804"/>
      <c r="T141" s="811"/>
      <c r="U141" s="777"/>
      <c r="V141" s="659"/>
      <c r="W141" s="693"/>
      <c r="X141" s="700"/>
    </row>
    <row r="142" s="598" customFormat="1" ht="25.5" spans="1:24">
      <c r="A142" s="798"/>
      <c r="B142" s="653" t="s">
        <v>538</v>
      </c>
      <c r="C142" s="693" t="s">
        <v>1072</v>
      </c>
      <c r="D142" s="693" t="s">
        <v>723</v>
      </c>
      <c r="E142" s="754" t="s">
        <v>1066</v>
      </c>
      <c r="F142" s="611" t="s">
        <v>1066</v>
      </c>
      <c r="G142" s="693" t="s">
        <v>1073</v>
      </c>
      <c r="H142" s="693" t="s">
        <v>1074</v>
      </c>
      <c r="I142" s="693" t="s">
        <v>538</v>
      </c>
      <c r="J142" s="693" t="s">
        <v>1080</v>
      </c>
      <c r="K142" s="693" t="s">
        <v>1076</v>
      </c>
      <c r="L142" s="803"/>
      <c r="M142" s="777" t="s">
        <v>1081</v>
      </c>
      <c r="N142" s="806"/>
      <c r="O142" s="807"/>
      <c r="P142" s="806"/>
      <c r="Q142" s="806"/>
      <c r="R142" s="806"/>
      <c r="S142" s="806"/>
      <c r="T142" s="812"/>
      <c r="U142" s="777"/>
      <c r="V142" s="659"/>
      <c r="W142" s="693"/>
      <c r="X142" s="700"/>
    </row>
    <row r="143" ht="24" spans="1:24">
      <c r="A143" s="646"/>
      <c r="B143" s="653" t="s">
        <v>538</v>
      </c>
      <c r="C143" s="693" t="s">
        <v>1072</v>
      </c>
      <c r="D143" s="693" t="s">
        <v>723</v>
      </c>
      <c r="E143" s="754" t="s">
        <v>1066</v>
      </c>
      <c r="F143" s="611" t="s">
        <v>1066</v>
      </c>
      <c r="G143" s="693" t="s">
        <v>1073</v>
      </c>
      <c r="H143" s="693" t="s">
        <v>1074</v>
      </c>
      <c r="I143" s="693" t="s">
        <v>538</v>
      </c>
      <c r="J143" s="777" t="s">
        <v>1082</v>
      </c>
      <c r="K143" s="693" t="s">
        <v>1076</v>
      </c>
      <c r="L143" s="808"/>
      <c r="M143" s="777"/>
      <c r="N143" s="659"/>
      <c r="O143" s="659"/>
      <c r="P143" s="659"/>
      <c r="Q143" s="659"/>
      <c r="R143" s="659"/>
      <c r="S143" s="659"/>
      <c r="T143" s="701"/>
      <c r="U143" s="777" t="s">
        <v>1083</v>
      </c>
      <c r="V143" s="659">
        <v>60000</v>
      </c>
      <c r="W143" s="714"/>
      <c r="X143" s="700"/>
    </row>
    <row r="144" spans="13:23">
      <c r="M144" s="809"/>
      <c r="N144" s="809"/>
      <c r="O144" s="809"/>
      <c r="P144" s="809"/>
      <c r="Q144" s="809"/>
      <c r="R144" s="809"/>
      <c r="S144" s="809"/>
      <c r="T144" s="809"/>
      <c r="U144" s="809"/>
      <c r="V144" s="809"/>
      <c r="W144" s="813"/>
    </row>
    <row r="145" spans="13:22">
      <c r="M145" s="809"/>
      <c r="N145" s="809"/>
      <c r="O145" s="809"/>
      <c r="P145" s="809"/>
      <c r="Q145" s="809"/>
      <c r="R145" s="809"/>
      <c r="S145" s="809"/>
      <c r="T145" s="809"/>
      <c r="U145" s="809"/>
      <c r="V145" s="809"/>
    </row>
    <row r="146" spans="13:20">
      <c r="M146" s="809"/>
      <c r="N146" s="809"/>
      <c r="O146" s="809"/>
      <c r="P146" s="809"/>
      <c r="Q146" s="809"/>
      <c r="R146" s="809"/>
      <c r="S146" s="809"/>
      <c r="T146" s="809"/>
    </row>
  </sheetData>
  <autoFilter ref="A1:X143">
    <extLst/>
  </autoFilter>
  <mergeCells count="30">
    <mergeCell ref="A3:A4"/>
    <mergeCell ref="A9:A10"/>
    <mergeCell ref="A11:A12"/>
    <mergeCell ref="A13:A14"/>
    <mergeCell ref="A19:A20"/>
    <mergeCell ref="A30:A31"/>
    <mergeCell ref="A36:A38"/>
    <mergeCell ref="A40:A41"/>
    <mergeCell ref="A43:A44"/>
    <mergeCell ref="A49:A50"/>
    <mergeCell ref="A51:A52"/>
    <mergeCell ref="A54:A55"/>
    <mergeCell ref="A57:A58"/>
    <mergeCell ref="A60:A61"/>
    <mergeCell ref="A65:A66"/>
    <mergeCell ref="A68:A69"/>
    <mergeCell ref="A71:A75"/>
    <mergeCell ref="A82:A83"/>
    <mergeCell ref="A91:A92"/>
    <mergeCell ref="A97:A98"/>
    <mergeCell ref="A102:A103"/>
    <mergeCell ref="A106:A107"/>
    <mergeCell ref="A109:A110"/>
    <mergeCell ref="A125:A129"/>
    <mergeCell ref="A131:A133"/>
    <mergeCell ref="A140:A143"/>
    <mergeCell ref="L140:L143"/>
    <mergeCell ref="N140:N142"/>
    <mergeCell ref="O140:O142"/>
    <mergeCell ref="T140:T142"/>
  </mergeCells>
  <dataValidations count="1">
    <dataValidation showInputMessage="1" showErrorMessage="1" sqref="J85 I104 I105:J105 B134 I134 B139 I139 B1:B20 B27:B32 B35:B37 B39:B50 B53:B56 B58:B61 B63:B66 B82:B90 B104:B119 B131:B132 I1:I20 I29:I32 I35:I37 I39:I50 I53:I56 I58:I61 I63:I66 I82:I90 I106:I119 I131:I132"/>
  </dataValidations>
  <pageMargins left="0.699305555555556" right="0.699305555555556" top="0.75" bottom="0.75" header="0.3" footer="0.3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G15" sqref="G15"/>
    </sheetView>
  </sheetViews>
  <sheetFormatPr defaultColWidth="9" defaultRowHeight="14.25"/>
  <cols>
    <col min="2" max="2" width="14.6" customWidth="1"/>
    <col min="3" max="4" width="13.2" hidden="1" customWidth="1"/>
    <col min="5" max="12" width="13.2" customWidth="1"/>
  </cols>
  <sheetData>
    <row r="1" ht="25.5" spans="1:12">
      <c r="A1" s="569" t="s">
        <v>1084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</row>
    <row r="2" spans="1:12">
      <c r="A2" s="570"/>
      <c r="B2" s="570"/>
      <c r="C2" s="570"/>
      <c r="D2" s="570"/>
      <c r="E2" s="570"/>
      <c r="F2" s="570"/>
      <c r="G2" s="570"/>
      <c r="H2" s="570"/>
      <c r="I2" s="570" t="str">
        <f>[35]封面!A11</f>
        <v>评估基准日:2017年12月31日</v>
      </c>
      <c r="J2" s="570"/>
      <c r="K2" s="570"/>
      <c r="L2" s="570"/>
    </row>
    <row r="3" spans="1:12">
      <c r="A3" s="571"/>
      <c r="B3" s="570"/>
      <c r="C3" s="570"/>
      <c r="D3" s="570"/>
      <c r="E3" s="570"/>
      <c r="F3" s="570"/>
      <c r="G3" s="570"/>
      <c r="H3" s="568"/>
      <c r="I3" s="568"/>
      <c r="J3" s="568" t="s">
        <v>379</v>
      </c>
      <c r="K3" s="568"/>
      <c r="L3" s="568"/>
    </row>
    <row r="4" spans="1:12">
      <c r="A4" s="571"/>
      <c r="B4" s="570"/>
      <c r="C4" s="572"/>
      <c r="D4" s="572"/>
      <c r="E4" s="572"/>
      <c r="F4" s="573"/>
      <c r="G4" s="574"/>
      <c r="H4" s="575">
        <v>0.02</v>
      </c>
      <c r="I4" s="575">
        <v>0.02</v>
      </c>
      <c r="J4" s="575">
        <v>0.02</v>
      </c>
      <c r="K4" s="575">
        <v>0.02</v>
      </c>
      <c r="L4" s="575">
        <v>0.02</v>
      </c>
    </row>
    <row r="5" spans="1:12">
      <c r="A5" s="576"/>
      <c r="B5" s="577"/>
      <c r="C5" s="578" t="s">
        <v>366</v>
      </c>
      <c r="D5" s="578"/>
      <c r="E5" s="578"/>
      <c r="F5" s="578"/>
      <c r="G5" s="578"/>
      <c r="H5" s="579" t="s">
        <v>368</v>
      </c>
      <c r="I5" s="589"/>
      <c r="J5" s="589"/>
      <c r="K5" s="589"/>
      <c r="L5" s="590"/>
    </row>
    <row r="6" spans="1:12">
      <c r="A6" s="577" t="s">
        <v>195</v>
      </c>
      <c r="B6" s="577"/>
      <c r="C6" s="580" t="str">
        <f>[35]未来收入预测表!C6</f>
        <v>2013年</v>
      </c>
      <c r="D6" s="580" t="str">
        <f>[35]未来收入预测表!D6</f>
        <v>2014年</v>
      </c>
      <c r="E6" s="580" t="str">
        <f>[35]未来收入预测表!E6</f>
        <v>2015年</v>
      </c>
      <c r="F6" s="580" t="str">
        <f>[35]未来收入预测表!F6</f>
        <v>2016年</v>
      </c>
      <c r="G6" s="580" t="str">
        <f>[35]未来收入预测表!G6</f>
        <v>2017年</v>
      </c>
      <c r="H6" s="580" t="str">
        <f>[35]未来收入预测表!H6</f>
        <v>2018年</v>
      </c>
      <c r="I6" s="580" t="str">
        <f>[35]未来收入预测表!I6</f>
        <v>2019年</v>
      </c>
      <c r="J6" s="580" t="str">
        <f>[35]未来收入预测表!J6</f>
        <v>2020年</v>
      </c>
      <c r="K6" s="580" t="str">
        <f>[35]未来收入预测表!K6</f>
        <v>2021年</v>
      </c>
      <c r="L6" s="580" t="str">
        <f>[35]未来收入预测表!L6</f>
        <v>2022年</v>
      </c>
    </row>
    <row r="7" s="568" customFormat="1" ht="33" customHeight="1" spans="1:16">
      <c r="A7" s="581" t="s">
        <v>221</v>
      </c>
      <c r="B7" s="582" t="s">
        <v>1085</v>
      </c>
      <c r="C7" s="583">
        <v>3298242.62</v>
      </c>
      <c r="D7" s="583">
        <v>5484942</v>
      </c>
      <c r="E7" s="583">
        <f>ROUND(2419161.36/10000,2)</f>
        <v>241.92</v>
      </c>
      <c r="F7" s="583">
        <f>ROUND(2254389.78/10000,2)</f>
        <v>225.44</v>
      </c>
      <c r="G7" s="583">
        <f>ROUND(2588053.93/10000,2)</f>
        <v>258.81</v>
      </c>
      <c r="H7" s="584">
        <f>G7</f>
        <v>258.81</v>
      </c>
      <c r="I7" s="584">
        <f t="shared" ref="I7:L7" si="0">H7</f>
        <v>258.81</v>
      </c>
      <c r="J7" s="584">
        <f t="shared" si="0"/>
        <v>258.81</v>
      </c>
      <c r="K7" s="584">
        <f t="shared" si="0"/>
        <v>258.81</v>
      </c>
      <c r="L7" s="584">
        <f t="shared" si="0"/>
        <v>258.81</v>
      </c>
      <c r="N7" s="591"/>
      <c r="O7" s="591"/>
      <c r="P7" s="591"/>
    </row>
    <row r="8" s="568" customFormat="1" ht="33" customHeight="1" spans="1:16">
      <c r="A8" s="581"/>
      <c r="B8" s="582" t="s">
        <v>1086</v>
      </c>
      <c r="C8" s="585"/>
      <c r="D8" s="585"/>
      <c r="E8" s="584">
        <f>ROUND(39035980.82/10000,2)</f>
        <v>3903.6</v>
      </c>
      <c r="F8" s="584">
        <f>ROUND(44910429.17/10000,2)</f>
        <v>4491.04</v>
      </c>
      <c r="G8" s="584">
        <f>3204.46-258.81</f>
        <v>2945.65</v>
      </c>
      <c r="H8" s="584"/>
      <c r="I8" s="584"/>
      <c r="J8" s="584"/>
      <c r="K8" s="584"/>
      <c r="L8" s="584"/>
      <c r="N8" s="591"/>
      <c r="O8" s="591"/>
      <c r="P8" s="591"/>
    </row>
    <row r="9" s="568" customFormat="1" ht="33" customHeight="1" spans="1:16">
      <c r="A9" s="581"/>
      <c r="B9" s="586" t="s">
        <v>157</v>
      </c>
      <c r="C9" s="587">
        <f>SUM(C7:C8)</f>
        <v>3298242.62</v>
      </c>
      <c r="D9" s="587">
        <f>SUM(D7:D8)</f>
        <v>5484942</v>
      </c>
      <c r="E9" s="584">
        <f>SUM(E7:E8)</f>
        <v>4145.52</v>
      </c>
      <c r="F9" s="584">
        <f>SUM(F7:F8)</f>
        <v>4716.48</v>
      </c>
      <c r="G9" s="584">
        <f>3204.46</f>
        <v>3204.46</v>
      </c>
      <c r="H9" s="584"/>
      <c r="I9" s="584"/>
      <c r="J9" s="584"/>
      <c r="K9" s="584"/>
      <c r="L9" s="584"/>
      <c r="N9" s="591"/>
      <c r="O9" s="591"/>
      <c r="P9" s="591"/>
    </row>
    <row r="10" spans="8:8">
      <c r="H10" s="588"/>
    </row>
    <row r="11" spans="8:8">
      <c r="H11" s="588">
        <f>H9/0.055</f>
        <v>0</v>
      </c>
    </row>
    <row r="12" spans="8:8">
      <c r="H12">
        <f>50000*0.055</f>
        <v>2750</v>
      </c>
    </row>
    <row r="13" spans="8:8">
      <c r="H13">
        <f>400/0.05</f>
        <v>8000</v>
      </c>
    </row>
  </sheetData>
  <mergeCells count="5">
    <mergeCell ref="A1:L1"/>
    <mergeCell ref="C5:G5"/>
    <mergeCell ref="H5:L5"/>
    <mergeCell ref="A6:B6"/>
    <mergeCell ref="A7:A9"/>
  </mergeCells>
  <pageMargins left="0.699305555555556" right="0.69930555555555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3"/>
  <sheetViews>
    <sheetView workbookViewId="0">
      <selection activeCell="G20" sqref="G20"/>
    </sheetView>
  </sheetViews>
  <sheetFormatPr defaultColWidth="9" defaultRowHeight="14.25" outlineLevelCol="6"/>
  <cols>
    <col min="2" max="2" width="14" hidden="1" customWidth="1"/>
    <col min="3" max="3" width="13.9" customWidth="1"/>
    <col min="4" max="4" width="28.2" customWidth="1"/>
    <col min="5" max="5" width="13.9" customWidth="1"/>
    <col min="6" max="6" width="10.5" customWidth="1"/>
    <col min="7" max="7" width="15.9" customWidth="1"/>
    <col min="8" max="10" width="9" hidden="1" customWidth="1"/>
  </cols>
  <sheetData>
    <row r="1" spans="2:5">
      <c r="B1" s="550"/>
      <c r="E1" s="550"/>
    </row>
    <row r="2" ht="15" spans="2:5">
      <c r="B2" s="550"/>
      <c r="E2" s="550"/>
    </row>
    <row r="3" spans="2:7">
      <c r="B3" s="551" t="s">
        <v>1087</v>
      </c>
      <c r="C3" s="552"/>
      <c r="D3" s="552"/>
      <c r="E3" s="552"/>
      <c r="F3" s="552"/>
      <c r="G3" s="552"/>
    </row>
    <row r="4" spans="2:7">
      <c r="B4" s="553"/>
      <c r="C4" s="58"/>
      <c r="D4" s="58"/>
      <c r="E4" s="554"/>
      <c r="F4" s="58"/>
      <c r="G4" s="58"/>
    </row>
    <row r="5" spans="2:7">
      <c r="B5" s="555" t="s">
        <v>1088</v>
      </c>
      <c r="C5" s="556" t="s">
        <v>29</v>
      </c>
      <c r="D5" s="556" t="s">
        <v>1089</v>
      </c>
      <c r="E5" s="557" t="s">
        <v>1090</v>
      </c>
      <c r="F5" s="556" t="s">
        <v>1091</v>
      </c>
      <c r="G5" s="556" t="s">
        <v>1092</v>
      </c>
    </row>
    <row r="6" spans="2:7">
      <c r="B6" s="553"/>
      <c r="C6" s="554">
        <v>1</v>
      </c>
      <c r="D6" s="58" t="s">
        <v>1093</v>
      </c>
      <c r="E6" s="554" t="s">
        <v>1094</v>
      </c>
      <c r="F6" s="58">
        <v>7.125</v>
      </c>
      <c r="G6" s="58" t="s">
        <v>1095</v>
      </c>
    </row>
    <row r="7" spans="2:7">
      <c r="B7" s="553"/>
      <c r="C7" s="554">
        <v>2</v>
      </c>
      <c r="D7" s="58" t="s">
        <v>1096</v>
      </c>
      <c r="E7" s="554" t="s">
        <v>1094</v>
      </c>
      <c r="F7" s="58">
        <v>7.125</v>
      </c>
      <c r="G7" s="58" t="s">
        <v>1095</v>
      </c>
    </row>
    <row r="8" spans="2:7">
      <c r="B8" s="553"/>
      <c r="C8" s="554"/>
      <c r="D8" s="55"/>
      <c r="E8" s="558"/>
      <c r="F8" s="58"/>
      <c r="G8" s="58"/>
    </row>
    <row r="9" spans="2:7">
      <c r="B9" s="553"/>
      <c r="C9" s="554"/>
      <c r="D9" s="58"/>
      <c r="E9" s="554"/>
      <c r="F9" s="58"/>
      <c r="G9" s="58"/>
    </row>
    <row r="10" spans="2:7">
      <c r="B10" s="553"/>
      <c r="C10" s="554"/>
      <c r="D10" s="58"/>
      <c r="E10" s="554"/>
      <c r="F10" s="58"/>
      <c r="G10" s="58"/>
    </row>
    <row r="11" spans="2:7">
      <c r="B11" s="553"/>
      <c r="C11" s="554"/>
      <c r="D11" s="58"/>
      <c r="E11" s="554"/>
      <c r="F11" s="58"/>
      <c r="G11" s="58"/>
    </row>
    <row r="12" spans="2:7">
      <c r="B12" s="553"/>
      <c r="C12" s="554"/>
      <c r="D12" s="58"/>
      <c r="E12" s="554"/>
      <c r="F12" s="58"/>
      <c r="G12" s="58"/>
    </row>
    <row r="13" spans="2:7">
      <c r="B13" s="553"/>
      <c r="C13" s="554"/>
      <c r="D13" s="58"/>
      <c r="E13" s="554"/>
      <c r="F13" s="58"/>
      <c r="G13" s="58"/>
    </row>
    <row r="14" spans="2:7">
      <c r="B14" s="553"/>
      <c r="C14" s="554"/>
      <c r="D14" s="58"/>
      <c r="E14" s="554"/>
      <c r="F14" s="58"/>
      <c r="G14" s="58"/>
    </row>
    <row r="15" spans="2:7">
      <c r="B15" s="553"/>
      <c r="C15" s="554" t="s">
        <v>1097</v>
      </c>
      <c r="D15" s="554"/>
      <c r="E15" s="554"/>
      <c r="F15" s="58">
        <f>SUM(F6:F14)</f>
        <v>14.25</v>
      </c>
      <c r="G15" s="58">
        <f>SUM(G6:G14)</f>
        <v>0</v>
      </c>
    </row>
    <row r="17" ht="15"/>
    <row r="18" spans="3:7">
      <c r="C18" s="551" t="s">
        <v>1098</v>
      </c>
      <c r="D18" s="552"/>
      <c r="E18" s="552"/>
      <c r="F18" s="552"/>
      <c r="G18" s="559"/>
    </row>
    <row r="19" spans="3:7">
      <c r="C19" s="560" t="s">
        <v>1098</v>
      </c>
      <c r="D19" s="554" t="s">
        <v>1099</v>
      </c>
      <c r="E19" s="58" t="s">
        <v>1100</v>
      </c>
      <c r="F19" s="58" t="s">
        <v>162</v>
      </c>
      <c r="G19" s="561" t="s">
        <v>1101</v>
      </c>
    </row>
    <row r="20" spans="3:7">
      <c r="C20" s="562" t="s">
        <v>1102</v>
      </c>
      <c r="D20" s="554" t="s">
        <v>248</v>
      </c>
      <c r="E20" s="58">
        <f>[36]主要设备生产情况!C6*[36]项目投资情况表!F20</f>
        <v>0</v>
      </c>
      <c r="F20" s="563">
        <v>1</v>
      </c>
      <c r="G20" s="561">
        <v>837.5</v>
      </c>
    </row>
    <row r="21" spans="3:7">
      <c r="C21" s="560" t="s">
        <v>1103</v>
      </c>
      <c r="D21" s="554" t="s">
        <v>251</v>
      </c>
      <c r="E21" s="58">
        <f>[36]主要设备生产情况!C6*[36]项目投资情况表!F21</f>
        <v>0</v>
      </c>
      <c r="F21" s="563">
        <v>1</v>
      </c>
      <c r="G21" s="561">
        <v>837.5</v>
      </c>
    </row>
    <row r="22" spans="3:7">
      <c r="C22" s="562"/>
      <c r="D22" s="558"/>
      <c r="E22" s="58"/>
      <c r="F22" s="563"/>
      <c r="G22" s="561"/>
    </row>
    <row r="23" ht="15" spans="3:7">
      <c r="C23" s="564" t="s">
        <v>157</v>
      </c>
      <c r="D23" s="565"/>
      <c r="E23" s="566">
        <f>SUM(E20:E22)</f>
        <v>0</v>
      </c>
      <c r="F23" s="566">
        <f>SUM(F20:F22)</f>
        <v>2</v>
      </c>
      <c r="G23" s="567">
        <f>SUM(G20:G22)</f>
        <v>1675</v>
      </c>
    </row>
  </sheetData>
  <mergeCells count="4">
    <mergeCell ref="B3:G3"/>
    <mergeCell ref="C15:D15"/>
    <mergeCell ref="C18:G18"/>
    <mergeCell ref="C23:D23"/>
  </mergeCells>
  <pageMargins left="0.75" right="0.75" top="1" bottom="1" header="0.5" footer="0.5"/>
  <pageSetup paperSize="9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5"/>
  <sheetViews>
    <sheetView workbookViewId="0">
      <selection activeCell="G9" sqref="G9:G11"/>
    </sheetView>
  </sheetViews>
  <sheetFormatPr defaultColWidth="9" defaultRowHeight="13.5"/>
  <cols>
    <col min="1" max="1" width="7" style="484" customWidth="1"/>
    <col min="2" max="2" width="9.4" style="484" customWidth="1"/>
    <col min="3" max="3" width="12.1" style="484" customWidth="1"/>
    <col min="4" max="4" width="16.1" style="484" customWidth="1"/>
    <col min="5" max="5" width="8.5" style="484" customWidth="1"/>
    <col min="6" max="6" width="13.5" style="484" customWidth="1"/>
    <col min="7" max="7" width="8.7" style="485" customWidth="1"/>
    <col min="8" max="8" width="11.9" style="484" customWidth="1"/>
    <col min="9" max="9" width="10.2" style="484" customWidth="1"/>
    <col min="10" max="10" width="11.5" style="484" hidden="1" customWidth="1"/>
    <col min="11" max="11" width="25.5" style="486" hidden="1" customWidth="1"/>
    <col min="12" max="12" width="9" style="484" hidden="1" customWidth="1"/>
    <col min="13" max="13" width="11.6" style="487" customWidth="1"/>
    <col min="14" max="14" width="9" style="484"/>
    <col min="15" max="15" width="17.2" style="484" customWidth="1"/>
    <col min="16" max="16" width="11.6" style="484" customWidth="1"/>
    <col min="17" max="16384" width="9" style="484"/>
  </cols>
  <sheetData>
    <row r="1" ht="24" spans="1:15">
      <c r="A1" s="488" t="s">
        <v>1104</v>
      </c>
      <c r="B1" s="488" t="s">
        <v>1105</v>
      </c>
      <c r="C1" s="488" t="s">
        <v>1106</v>
      </c>
      <c r="D1" s="488" t="s">
        <v>1107</v>
      </c>
      <c r="E1" s="488" t="s">
        <v>1108</v>
      </c>
      <c r="F1" s="488" t="s">
        <v>1109</v>
      </c>
      <c r="G1" s="489" t="s">
        <v>1110</v>
      </c>
      <c r="H1" s="488" t="s">
        <v>1111</v>
      </c>
      <c r="I1" s="488" t="s">
        <v>1112</v>
      </c>
      <c r="J1" s="488" t="s">
        <v>1113</v>
      </c>
      <c r="K1" s="488" t="s">
        <v>1114</v>
      </c>
      <c r="L1" s="488" t="s">
        <v>1092</v>
      </c>
      <c r="M1" s="488"/>
      <c r="N1" s="488"/>
      <c r="O1" s="531" t="s">
        <v>1115</v>
      </c>
    </row>
    <row r="2" s="480" customFormat="1" ht="15" spans="1:15">
      <c r="A2" s="490" t="s">
        <v>1116</v>
      </c>
      <c r="B2" s="490" t="s">
        <v>74</v>
      </c>
      <c r="C2" s="491" t="s">
        <v>1117</v>
      </c>
      <c r="D2" s="491" t="s">
        <v>1118</v>
      </c>
      <c r="E2" s="492" t="s">
        <v>1119</v>
      </c>
      <c r="F2" s="493">
        <v>25000000</v>
      </c>
      <c r="G2" s="494">
        <v>0.0616</v>
      </c>
      <c r="H2" s="495"/>
      <c r="I2" s="495"/>
      <c r="J2" s="532"/>
      <c r="K2" s="533"/>
      <c r="L2" s="490"/>
      <c r="M2" s="495" t="s">
        <v>1120</v>
      </c>
      <c r="N2" s="490" t="s">
        <v>1121</v>
      </c>
      <c r="O2" s="534">
        <f>F2*$G$2</f>
        <v>1540000</v>
      </c>
    </row>
    <row r="3" s="480" customFormat="1" ht="15" spans="1:15">
      <c r="A3" s="490" t="s">
        <v>1116</v>
      </c>
      <c r="B3" s="490" t="s">
        <v>74</v>
      </c>
      <c r="C3" s="491" t="s">
        <v>1117</v>
      </c>
      <c r="D3" s="491" t="s">
        <v>1118</v>
      </c>
      <c r="E3" s="492" t="s">
        <v>1119</v>
      </c>
      <c r="F3" s="493">
        <v>25000000</v>
      </c>
      <c r="G3" s="496"/>
      <c r="H3" s="495"/>
      <c r="I3" s="495"/>
      <c r="J3" s="532"/>
      <c r="K3" s="533"/>
      <c r="L3" s="490"/>
      <c r="M3" s="495" t="s">
        <v>1120</v>
      </c>
      <c r="N3" s="490" t="s">
        <v>1121</v>
      </c>
      <c r="O3" s="534">
        <f t="shared" ref="O3:O8" si="0">F3*$G$2</f>
        <v>1540000</v>
      </c>
    </row>
    <row r="4" s="480" customFormat="1" ht="15" spans="1:15">
      <c r="A4" s="490" t="s">
        <v>1116</v>
      </c>
      <c r="B4" s="490" t="s">
        <v>74</v>
      </c>
      <c r="C4" s="491" t="s">
        <v>1117</v>
      </c>
      <c r="D4" s="491" t="s">
        <v>1118</v>
      </c>
      <c r="E4" s="492" t="s">
        <v>1119</v>
      </c>
      <c r="F4" s="493">
        <v>25000000</v>
      </c>
      <c r="G4" s="496"/>
      <c r="H4" s="495"/>
      <c r="I4" s="495"/>
      <c r="J4" s="532"/>
      <c r="K4" s="533"/>
      <c r="L4" s="490"/>
      <c r="M4" s="495" t="s">
        <v>1120</v>
      </c>
      <c r="N4" s="490" t="s">
        <v>1121</v>
      </c>
      <c r="O4" s="534">
        <f t="shared" si="0"/>
        <v>1540000</v>
      </c>
    </row>
    <row r="5" s="480" customFormat="1" ht="15" spans="1:15">
      <c r="A5" s="490" t="s">
        <v>1116</v>
      </c>
      <c r="B5" s="490" t="s">
        <v>74</v>
      </c>
      <c r="C5" s="491" t="s">
        <v>1117</v>
      </c>
      <c r="D5" s="491" t="s">
        <v>1118</v>
      </c>
      <c r="E5" s="492" t="s">
        <v>1119</v>
      </c>
      <c r="F5" s="493">
        <v>25000000</v>
      </c>
      <c r="G5" s="496"/>
      <c r="H5" s="495"/>
      <c r="I5" s="495"/>
      <c r="J5" s="532"/>
      <c r="K5" s="533"/>
      <c r="L5" s="490"/>
      <c r="M5" s="495" t="s">
        <v>1120</v>
      </c>
      <c r="N5" s="490" t="s">
        <v>1121</v>
      </c>
      <c r="O5" s="534">
        <f t="shared" si="0"/>
        <v>1540000</v>
      </c>
    </row>
    <row r="6" s="480" customFormat="1" ht="15" spans="1:15">
      <c r="A6" s="490" t="s">
        <v>1116</v>
      </c>
      <c r="B6" s="490" t="s">
        <v>74</v>
      </c>
      <c r="C6" s="491" t="s">
        <v>1117</v>
      </c>
      <c r="D6" s="491" t="s">
        <v>1118</v>
      </c>
      <c r="E6" s="492" t="s">
        <v>1119</v>
      </c>
      <c r="F6" s="493">
        <v>20000000</v>
      </c>
      <c r="G6" s="496"/>
      <c r="H6" s="495"/>
      <c r="I6" s="495"/>
      <c r="J6" s="532"/>
      <c r="K6" s="533"/>
      <c r="L6" s="490"/>
      <c r="M6" s="495" t="s">
        <v>1120</v>
      </c>
      <c r="N6" s="490" t="s">
        <v>1121</v>
      </c>
      <c r="O6" s="534">
        <f t="shared" si="0"/>
        <v>1232000</v>
      </c>
    </row>
    <row r="7" s="480" customFormat="1" ht="15" spans="1:15">
      <c r="A7" s="490" t="s">
        <v>1116</v>
      </c>
      <c r="B7" s="490" t="s">
        <v>74</v>
      </c>
      <c r="C7" s="491" t="s">
        <v>1117</v>
      </c>
      <c r="D7" s="491" t="s">
        <v>1118</v>
      </c>
      <c r="E7" s="492" t="s">
        <v>1119</v>
      </c>
      <c r="F7" s="493">
        <v>20000000</v>
      </c>
      <c r="G7" s="496"/>
      <c r="H7" s="495"/>
      <c r="I7" s="495"/>
      <c r="J7" s="532"/>
      <c r="K7" s="533"/>
      <c r="L7" s="490"/>
      <c r="M7" s="495" t="s">
        <v>1120</v>
      </c>
      <c r="N7" s="490" t="s">
        <v>1121</v>
      </c>
      <c r="O7" s="534">
        <f t="shared" si="0"/>
        <v>1232000</v>
      </c>
    </row>
    <row r="8" s="480" customFormat="1" ht="15" spans="1:15">
      <c r="A8" s="490" t="s">
        <v>1116</v>
      </c>
      <c r="B8" s="490" t="s">
        <v>74</v>
      </c>
      <c r="C8" s="491" t="s">
        <v>1117</v>
      </c>
      <c r="D8" s="491" t="s">
        <v>1118</v>
      </c>
      <c r="E8" s="492" t="s">
        <v>1119</v>
      </c>
      <c r="F8" s="493">
        <v>10000000</v>
      </c>
      <c r="G8" s="497"/>
      <c r="H8" s="495"/>
      <c r="I8" s="495"/>
      <c r="J8" s="532"/>
      <c r="K8" s="533"/>
      <c r="L8" s="490"/>
      <c r="M8" s="495" t="s">
        <v>1120</v>
      </c>
      <c r="N8" s="490" t="s">
        <v>1121</v>
      </c>
      <c r="O8" s="534">
        <f t="shared" si="0"/>
        <v>616000</v>
      </c>
    </row>
    <row r="9" ht="15" spans="1:15">
      <c r="A9" s="498" t="s">
        <v>1116</v>
      </c>
      <c r="B9" s="498" t="s">
        <v>74</v>
      </c>
      <c r="C9" s="499" t="s">
        <v>1117</v>
      </c>
      <c r="D9" s="499" t="s">
        <v>1122</v>
      </c>
      <c r="E9" s="500" t="s">
        <v>1119</v>
      </c>
      <c r="F9" s="501">
        <v>30000000</v>
      </c>
      <c r="G9" s="502">
        <f>4.35%*1.5</f>
        <v>0.06525</v>
      </c>
      <c r="H9" s="503"/>
      <c r="I9" s="503"/>
      <c r="J9" s="535"/>
      <c r="K9" s="536"/>
      <c r="L9" s="498"/>
      <c r="M9" s="503" t="s">
        <v>1120</v>
      </c>
      <c r="N9" s="498" t="s">
        <v>1121</v>
      </c>
      <c r="O9" s="534">
        <f t="shared" ref="O9:O17" si="1">F9*G9</f>
        <v>1957500</v>
      </c>
    </row>
    <row r="10" ht="15" spans="1:15">
      <c r="A10" s="498" t="s">
        <v>1116</v>
      </c>
      <c r="B10" s="498" t="s">
        <v>74</v>
      </c>
      <c r="C10" s="499" t="s">
        <v>1117</v>
      </c>
      <c r="D10" s="499" t="s">
        <v>1123</v>
      </c>
      <c r="E10" s="500" t="s">
        <v>1124</v>
      </c>
      <c r="F10" s="501">
        <v>60000000</v>
      </c>
      <c r="G10" s="502">
        <f>G11</f>
        <v>0.0544</v>
      </c>
      <c r="H10" s="503"/>
      <c r="I10" s="503"/>
      <c r="J10" s="535"/>
      <c r="K10" s="536"/>
      <c r="L10" s="498"/>
      <c r="M10" s="503" t="s">
        <v>1120</v>
      </c>
      <c r="N10" s="498" t="s">
        <v>1121</v>
      </c>
      <c r="O10" s="534">
        <f t="shared" si="1"/>
        <v>3264000</v>
      </c>
    </row>
    <row r="11" s="481" customFormat="1" ht="15" spans="1:15">
      <c r="A11" s="504" t="s">
        <v>1116</v>
      </c>
      <c r="B11" s="504" t="s">
        <v>74</v>
      </c>
      <c r="C11" s="505" t="s">
        <v>1117</v>
      </c>
      <c r="D11" s="505" t="s">
        <v>1125</v>
      </c>
      <c r="E11" s="506" t="s">
        <v>1126</v>
      </c>
      <c r="F11" s="507">
        <v>50000000</v>
      </c>
      <c r="G11" s="508">
        <v>0.0544</v>
      </c>
      <c r="H11" s="509"/>
      <c r="I11" s="509"/>
      <c r="J11" s="537"/>
      <c r="K11" s="538"/>
      <c r="L11" s="504"/>
      <c r="M11" s="509" t="s">
        <v>1120</v>
      </c>
      <c r="N11" s="504" t="s">
        <v>1121</v>
      </c>
      <c r="O11" s="534">
        <f t="shared" si="1"/>
        <v>2720000</v>
      </c>
    </row>
    <row r="12" s="481" customFormat="1" ht="15" spans="1:15">
      <c r="A12" s="504" t="s">
        <v>1116</v>
      </c>
      <c r="B12" s="504" t="s">
        <v>74</v>
      </c>
      <c r="C12" s="505" t="s">
        <v>1117</v>
      </c>
      <c r="D12" s="505" t="s">
        <v>1125</v>
      </c>
      <c r="E12" s="506" t="s">
        <v>1126</v>
      </c>
      <c r="F12" s="507">
        <v>20000000</v>
      </c>
      <c r="G12" s="508">
        <v>0.0435</v>
      </c>
      <c r="H12" s="509">
        <v>43137</v>
      </c>
      <c r="I12" s="509">
        <v>43502</v>
      </c>
      <c r="J12" s="537"/>
      <c r="K12" s="538"/>
      <c r="L12" s="504"/>
      <c r="M12" s="509"/>
      <c r="N12" s="504"/>
      <c r="O12" s="534">
        <f>F12*G12/360*324</f>
        <v>783000</v>
      </c>
    </row>
    <row r="13" s="481" customFormat="1" ht="15" spans="1:15">
      <c r="A13" s="504" t="s">
        <v>1116</v>
      </c>
      <c r="B13" s="504" t="s">
        <v>74</v>
      </c>
      <c r="C13" s="505" t="s">
        <v>1117</v>
      </c>
      <c r="D13" s="505" t="s">
        <v>1125</v>
      </c>
      <c r="E13" s="506" t="s">
        <v>1126</v>
      </c>
      <c r="F13" s="507">
        <v>5000000</v>
      </c>
      <c r="G13" s="508">
        <v>0.0522</v>
      </c>
      <c r="H13" s="509">
        <v>43154</v>
      </c>
      <c r="I13" s="509">
        <v>43518</v>
      </c>
      <c r="J13" s="537"/>
      <c r="K13" s="538"/>
      <c r="L13" s="504"/>
      <c r="M13" s="509"/>
      <c r="N13" s="504"/>
      <c r="O13" s="534">
        <f>F13*G13/360*307</f>
        <v>222575</v>
      </c>
    </row>
    <row r="14" s="481" customFormat="1" ht="15" spans="1:15">
      <c r="A14" s="504" t="s">
        <v>1116</v>
      </c>
      <c r="B14" s="504" t="s">
        <v>74</v>
      </c>
      <c r="C14" s="505" t="s">
        <v>1117</v>
      </c>
      <c r="D14" s="505" t="s">
        <v>1125</v>
      </c>
      <c r="E14" s="506" t="s">
        <v>1126</v>
      </c>
      <c r="F14" s="507">
        <v>14000000</v>
      </c>
      <c r="G14" s="510">
        <f>4.35%*1.31</f>
        <v>0.056985</v>
      </c>
      <c r="H14" s="509">
        <v>43159</v>
      </c>
      <c r="I14" s="509">
        <v>43524</v>
      </c>
      <c r="J14" s="537"/>
      <c r="K14" s="538"/>
      <c r="L14" s="504"/>
      <c r="M14" s="509"/>
      <c r="N14" s="504"/>
      <c r="O14" s="534">
        <f>F14*G14/360*300</f>
        <v>664825</v>
      </c>
    </row>
    <row r="15" s="481" customFormat="1" ht="15" spans="1:15">
      <c r="A15" s="504" t="s">
        <v>1116</v>
      </c>
      <c r="B15" s="504" t="s">
        <v>74</v>
      </c>
      <c r="C15" s="505" t="s">
        <v>1117</v>
      </c>
      <c r="D15" s="505" t="s">
        <v>1125</v>
      </c>
      <c r="E15" s="506" t="s">
        <v>1126</v>
      </c>
      <c r="F15" s="507">
        <v>11000000</v>
      </c>
      <c r="G15" s="508">
        <f>4.35%*1.8</f>
        <v>0.0783</v>
      </c>
      <c r="H15" s="509">
        <v>43175</v>
      </c>
      <c r="I15" s="509">
        <v>43539</v>
      </c>
      <c r="J15" s="537"/>
      <c r="K15" s="538"/>
      <c r="L15" s="504"/>
      <c r="M15" s="509"/>
      <c r="N15" s="504"/>
      <c r="O15" s="534">
        <f>F15*G15/360*285</f>
        <v>681862.5</v>
      </c>
    </row>
    <row r="16" s="482" customFormat="1" ht="15" spans="1:15">
      <c r="A16" s="511" t="s">
        <v>1116</v>
      </c>
      <c r="B16" s="511" t="s">
        <v>74</v>
      </c>
      <c r="C16" s="512" t="s">
        <v>1117</v>
      </c>
      <c r="D16" s="512" t="s">
        <v>1127</v>
      </c>
      <c r="E16" s="513" t="s">
        <v>1119</v>
      </c>
      <c r="F16" s="514">
        <v>39999999</v>
      </c>
      <c r="G16" s="515">
        <v>0.0566</v>
      </c>
      <c r="H16" s="516"/>
      <c r="I16" s="516"/>
      <c r="J16" s="539"/>
      <c r="K16" s="540"/>
      <c r="L16" s="511"/>
      <c r="M16" s="516" t="s">
        <v>1120</v>
      </c>
      <c r="N16" s="511" t="s">
        <v>1121</v>
      </c>
      <c r="O16" s="534">
        <f>F16*G16</f>
        <v>2263999.9434</v>
      </c>
    </row>
    <row r="17" ht="15" spans="1:15">
      <c r="A17" s="498" t="s">
        <v>1128</v>
      </c>
      <c r="B17" s="498" t="s">
        <v>76</v>
      </c>
      <c r="C17" s="499" t="s">
        <v>1117</v>
      </c>
      <c r="D17" s="499" t="s">
        <v>1122</v>
      </c>
      <c r="E17" s="517">
        <v>1</v>
      </c>
      <c r="F17" s="501">
        <v>30000000</v>
      </c>
      <c r="G17" s="518"/>
      <c r="H17" s="503"/>
      <c r="I17" s="503"/>
      <c r="J17" s="535">
        <v>30000000</v>
      </c>
      <c r="K17" s="536"/>
      <c r="L17" s="498"/>
      <c r="M17" s="503" t="s">
        <v>1120</v>
      </c>
      <c r="N17" s="498"/>
      <c r="O17" s="534">
        <f t="shared" si="1"/>
        <v>0</v>
      </c>
    </row>
    <row r="18" s="481" customFormat="1" ht="15" spans="1:15">
      <c r="A18" s="504"/>
      <c r="B18" s="519"/>
      <c r="C18" s="520"/>
      <c r="D18" s="520"/>
      <c r="E18" s="521"/>
      <c r="F18" s="507"/>
      <c r="G18" s="508"/>
      <c r="H18" s="509"/>
      <c r="I18" s="509"/>
      <c r="J18" s="537"/>
      <c r="K18" s="541"/>
      <c r="L18" s="519"/>
      <c r="M18" s="542"/>
      <c r="N18" s="504"/>
      <c r="O18" s="534"/>
    </row>
    <row r="19" s="481" customFormat="1" ht="15" spans="1:15">
      <c r="A19" s="504"/>
      <c r="B19" s="519"/>
      <c r="C19" s="520"/>
      <c r="D19" s="520"/>
      <c r="E19" s="521"/>
      <c r="F19" s="507"/>
      <c r="G19" s="508"/>
      <c r="H19" s="509"/>
      <c r="I19" s="509"/>
      <c r="J19" s="537"/>
      <c r="K19" s="541"/>
      <c r="L19" s="519"/>
      <c r="M19" s="542"/>
      <c r="N19" s="504"/>
      <c r="O19" s="534"/>
    </row>
    <row r="20" ht="15" spans="1:15">
      <c r="A20" s="522"/>
      <c r="B20" s="522"/>
      <c r="C20" s="522"/>
      <c r="D20" s="522"/>
      <c r="E20" s="522"/>
      <c r="F20" s="522"/>
      <c r="G20" s="522"/>
      <c r="H20" s="522"/>
      <c r="I20" s="522"/>
      <c r="J20" s="522"/>
      <c r="K20" s="522"/>
      <c r="L20" s="522"/>
      <c r="M20" s="522"/>
      <c r="N20" s="522"/>
      <c r="O20" s="543">
        <f>SUM(O2:O17)</f>
        <v>21797762.4434</v>
      </c>
    </row>
    <row r="21" ht="15" spans="1:15">
      <c r="A21" s="523"/>
      <c r="B21" s="524"/>
      <c r="C21" s="525"/>
      <c r="D21" s="525"/>
      <c r="E21" s="526"/>
      <c r="F21" s="527"/>
      <c r="G21" s="528"/>
      <c r="H21" s="529"/>
      <c r="I21" s="529"/>
      <c r="J21" s="527"/>
      <c r="K21" s="544"/>
      <c r="L21" s="524"/>
      <c r="M21" s="545"/>
      <c r="O21" s="484">
        <f>165*12</f>
        <v>1980</v>
      </c>
    </row>
    <row r="22" spans="6:15">
      <c r="F22" s="530">
        <f>SUBTOTAL(9,F2:F20)</f>
        <v>409999999</v>
      </c>
      <c r="G22" s="530"/>
      <c r="H22" s="530"/>
      <c r="I22" s="530"/>
      <c r="J22" s="530">
        <f>SUBTOTAL(9,J2:J17)</f>
        <v>30000000</v>
      </c>
      <c r="K22" s="530">
        <f>F22-J22</f>
        <v>379999999</v>
      </c>
      <c r="O22" s="484">
        <f>O21*1.1</f>
        <v>2178</v>
      </c>
    </row>
    <row r="24" spans="10:11">
      <c r="J24" s="546"/>
      <c r="K24" s="530"/>
    </row>
    <row r="25" spans="10:10">
      <c r="J25" s="547"/>
    </row>
    <row r="26" spans="11:11">
      <c r="K26" s="530"/>
    </row>
    <row r="64" s="483" customFormat="1" ht="16.5" spans="1:13">
      <c r="A64" s="484"/>
      <c r="B64" s="484"/>
      <c r="C64" s="484"/>
      <c r="D64" s="484"/>
      <c r="E64" s="484"/>
      <c r="F64" s="484"/>
      <c r="G64" s="485"/>
      <c r="H64" s="484"/>
      <c r="I64" s="484"/>
      <c r="J64" s="484"/>
      <c r="K64" s="548"/>
      <c r="M64" s="549"/>
    </row>
    <row r="65" s="483" customFormat="1" ht="16.5" spans="1:13">
      <c r="A65" s="484"/>
      <c r="B65" s="484"/>
      <c r="C65" s="484"/>
      <c r="D65" s="484"/>
      <c r="E65" s="484"/>
      <c r="F65" s="484"/>
      <c r="G65" s="485"/>
      <c r="H65" s="484"/>
      <c r="I65" s="484"/>
      <c r="J65" s="484"/>
      <c r="K65" s="548"/>
      <c r="M65" s="549"/>
    </row>
    <row r="66" s="483" customFormat="1" ht="16.5" spans="1:13">
      <c r="A66" s="484"/>
      <c r="B66" s="484"/>
      <c r="C66" s="484"/>
      <c r="D66" s="484"/>
      <c r="E66" s="484"/>
      <c r="F66" s="484"/>
      <c r="G66" s="485"/>
      <c r="H66" s="484"/>
      <c r="I66" s="484"/>
      <c r="J66" s="484"/>
      <c r="K66" s="548"/>
      <c r="M66" s="549"/>
    </row>
    <row r="67" s="483" customFormat="1" ht="16.5" spans="1:13">
      <c r="A67" s="484"/>
      <c r="B67" s="484"/>
      <c r="C67" s="484"/>
      <c r="D67" s="484"/>
      <c r="E67" s="484"/>
      <c r="F67" s="484"/>
      <c r="G67" s="485"/>
      <c r="H67" s="484"/>
      <c r="I67" s="484"/>
      <c r="J67" s="484"/>
      <c r="K67" s="548"/>
      <c r="M67" s="549"/>
    </row>
    <row r="75" spans="19:19">
      <c r="S75" s="484">
        <v>6494526</v>
      </c>
    </row>
  </sheetData>
  <autoFilter ref="A1:N17">
    <extLst/>
  </autoFilter>
  <mergeCells count="3">
    <mergeCell ref="L1:N1"/>
    <mergeCell ref="A20:N20"/>
    <mergeCell ref="G2:G8"/>
  </mergeCells>
  <pageMargins left="0.699305555555556" right="0.699305555555556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H7" sqref="H7"/>
    </sheetView>
  </sheetViews>
  <sheetFormatPr defaultColWidth="8.1" defaultRowHeight="14.25"/>
  <cols>
    <col min="1" max="1" width="18.1" style="465" customWidth="1"/>
    <col min="2" max="2" width="14.8" style="465" customWidth="1"/>
    <col min="3" max="3" width="15.9" style="465" customWidth="1"/>
    <col min="4" max="4" width="14.8" style="465" customWidth="1"/>
    <col min="5" max="5" width="14.1" style="465" customWidth="1"/>
    <col min="6" max="8" width="14.8" style="465" customWidth="1"/>
    <col min="9" max="9" width="15.9" style="466" customWidth="1"/>
    <col min="10" max="16384" width="8.1" style="465"/>
  </cols>
  <sheetData>
    <row r="1" ht="25.5" spans="1:7">
      <c r="A1" s="467" t="s">
        <v>1129</v>
      </c>
      <c r="B1" s="467"/>
      <c r="C1" s="467"/>
      <c r="D1" s="467"/>
      <c r="E1" s="468"/>
      <c r="F1" s="468"/>
      <c r="G1" s="468"/>
    </row>
    <row r="2" spans="1:4">
      <c r="A2" s="469" t="s">
        <v>195</v>
      </c>
      <c r="B2" s="469" t="s">
        <v>261</v>
      </c>
      <c r="C2" s="469" t="s">
        <v>224</v>
      </c>
      <c r="D2" s="469" t="s">
        <v>262</v>
      </c>
    </row>
    <row r="3" spans="1:9">
      <c r="A3" s="470" t="s">
        <v>1130</v>
      </c>
      <c r="B3" s="471">
        <f>B4+B7</f>
        <v>2418428.88</v>
      </c>
      <c r="C3" s="471">
        <f t="shared" ref="C3:D3" si="0">C4+C7</f>
        <v>8839205.18</v>
      </c>
      <c r="D3" s="471">
        <f t="shared" si="0"/>
        <v>9843943.6</v>
      </c>
      <c r="I3" s="477" t="s">
        <v>1131</v>
      </c>
    </row>
    <row r="4" spans="1:9">
      <c r="A4" s="470" t="s">
        <v>1132</v>
      </c>
      <c r="B4" s="471">
        <f>SUM(B5:B6)</f>
        <v>1918734</v>
      </c>
      <c r="C4" s="471">
        <f t="shared" ref="C4:D4" si="1">SUM(C5:C6)</f>
        <v>7495734.15</v>
      </c>
      <c r="D4" s="471">
        <f t="shared" si="1"/>
        <v>5598972.48</v>
      </c>
      <c r="F4" s="468">
        <f>SUM(B5:B6)</f>
        <v>1918734</v>
      </c>
      <c r="G4" s="468">
        <f t="shared" ref="G4:H4" si="2">SUM(C5:C6)</f>
        <v>7495734.15</v>
      </c>
      <c r="H4" s="468">
        <f t="shared" si="2"/>
        <v>5598972.48</v>
      </c>
      <c r="I4" s="478" t="s">
        <v>1133</v>
      </c>
    </row>
    <row r="5" spans="1:9">
      <c r="A5" s="472" t="s">
        <v>1134</v>
      </c>
      <c r="B5" s="471">
        <v>1690390</v>
      </c>
      <c r="C5" s="471">
        <v>6760221.11</v>
      </c>
      <c r="D5" s="471">
        <v>4747711.99</v>
      </c>
      <c r="F5" s="473">
        <f>F4/B3</f>
        <v>0.793380370151716</v>
      </c>
      <c r="G5" s="473">
        <f t="shared" ref="G5:H5" si="3">G4/C3</f>
        <v>0.848009973448767</v>
      </c>
      <c r="H5" s="473">
        <f t="shared" si="3"/>
        <v>0.568773319668349</v>
      </c>
      <c r="I5" s="479">
        <f>(F5+G5)/2</f>
        <v>0.820695171800241</v>
      </c>
    </row>
    <row r="6" spans="1:9">
      <c r="A6" s="472" t="s">
        <v>1135</v>
      </c>
      <c r="B6" s="471">
        <v>228344</v>
      </c>
      <c r="C6" s="471">
        <v>735513.04</v>
      </c>
      <c r="D6" s="471">
        <v>851260.49</v>
      </c>
      <c r="I6" s="478"/>
    </row>
    <row r="7" spans="1:9">
      <c r="A7" s="474" t="s">
        <v>1136</v>
      </c>
      <c r="B7" s="468">
        <f>SUM(B8:B10)</f>
        <v>499694.88</v>
      </c>
      <c r="C7" s="468">
        <f t="shared" ref="C7:D7" si="4">SUM(C8:C10)</f>
        <v>1343471.03</v>
      </c>
      <c r="D7" s="468">
        <f t="shared" si="4"/>
        <v>4244971.12</v>
      </c>
      <c r="F7" s="471">
        <f>SUM(B8:B10)</f>
        <v>499694.88</v>
      </c>
      <c r="G7" s="471">
        <f>SUM(C8:C10)</f>
        <v>1343471.03</v>
      </c>
      <c r="H7" s="471">
        <f>SUM(D8:D10)</f>
        <v>4244971.12</v>
      </c>
      <c r="I7" s="478" t="s">
        <v>1137</v>
      </c>
    </row>
    <row r="8" spans="1:9">
      <c r="A8" s="472" t="s">
        <v>1138</v>
      </c>
      <c r="B8" s="471">
        <v>182684.58</v>
      </c>
      <c r="C8" s="471">
        <v>506832.65</v>
      </c>
      <c r="D8" s="475">
        <v>1262869.2</v>
      </c>
      <c r="F8" s="473">
        <f>F7/B3</f>
        <v>0.206619629848284</v>
      </c>
      <c r="G8" s="473">
        <f t="shared" ref="G8:H8" si="5">G7/C3</f>
        <v>0.151990026551233</v>
      </c>
      <c r="H8" s="473">
        <f t="shared" si="5"/>
        <v>0.431226680331651</v>
      </c>
      <c r="I8" s="479">
        <f>(F8+G8)/2</f>
        <v>0.179304828199759</v>
      </c>
    </row>
    <row r="9" spans="1:4">
      <c r="A9" s="472" t="s">
        <v>1139</v>
      </c>
      <c r="B9" s="471"/>
      <c r="C9" s="471">
        <v>9802.32</v>
      </c>
      <c r="D9" s="476">
        <v>3523.64</v>
      </c>
    </row>
    <row r="10" spans="1:4">
      <c r="A10" s="472" t="s">
        <v>1140</v>
      </c>
      <c r="B10" s="471">
        <v>317010.3</v>
      </c>
      <c r="C10" s="471">
        <v>826836.06</v>
      </c>
      <c r="D10" s="476">
        <v>2978578.28</v>
      </c>
    </row>
    <row r="11" spans="1:4">
      <c r="A11" s="472" t="s">
        <v>1141</v>
      </c>
      <c r="B11" s="471">
        <v>87087</v>
      </c>
      <c r="C11" s="471">
        <v>176361</v>
      </c>
      <c r="D11" s="471">
        <v>1415385</v>
      </c>
    </row>
    <row r="12" spans="1:4">
      <c r="A12" s="472" t="s">
        <v>1142</v>
      </c>
      <c r="B12" s="471">
        <v>13501.84</v>
      </c>
      <c r="C12" s="471">
        <v>20729.76</v>
      </c>
      <c r="D12" s="471">
        <v>420726.38</v>
      </c>
    </row>
    <row r="13" spans="1:4">
      <c r="A13" s="472" t="s">
        <v>1143</v>
      </c>
      <c r="B13" s="471">
        <v>24299.33</v>
      </c>
      <c r="C13" s="471">
        <v>65379.04</v>
      </c>
      <c r="D13" s="471">
        <v>166451.73</v>
      </c>
    </row>
    <row r="14" spans="1:4">
      <c r="A14" s="472" t="s">
        <v>1144</v>
      </c>
      <c r="B14" s="471">
        <v>172694.72</v>
      </c>
      <c r="C14" s="471">
        <v>492413.34</v>
      </c>
      <c r="D14" s="471">
        <v>894589.83</v>
      </c>
    </row>
    <row r="15" spans="1:4">
      <c r="A15" s="472" t="s">
        <v>1145</v>
      </c>
      <c r="B15" s="471">
        <v>19427.41</v>
      </c>
      <c r="C15" s="471">
        <v>20670.87</v>
      </c>
      <c r="D15" s="471">
        <v>81425.34</v>
      </c>
    </row>
    <row r="16" spans="1:4">
      <c r="A16" s="472" t="s">
        <v>1146</v>
      </c>
      <c r="B16" s="471">
        <v>2935047.15</v>
      </c>
      <c r="C16" s="471">
        <v>10473621.5</v>
      </c>
      <c r="D16" s="471">
        <v>3114175.71</v>
      </c>
    </row>
  </sheetData>
  <mergeCells count="1">
    <mergeCell ref="A1:D1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topLeftCell="B1" workbookViewId="0">
      <selection activeCell="I6" sqref="I6"/>
    </sheetView>
  </sheetViews>
  <sheetFormatPr defaultColWidth="9" defaultRowHeight="14.25"/>
  <cols>
    <col min="2" max="2" width="33.8" customWidth="1"/>
    <col min="3" max="7" width="14.7" customWidth="1"/>
    <col min="8" max="8" width="13.9" customWidth="1"/>
    <col min="9" max="9" width="16" customWidth="1"/>
  </cols>
  <sheetData>
    <row r="1" spans="5:5">
      <c r="E1" s="456" t="s">
        <v>1147</v>
      </c>
    </row>
    <row r="2" ht="15"/>
    <row r="3" ht="15" spans="2:8">
      <c r="B3" s="457" t="s">
        <v>260</v>
      </c>
      <c r="C3" s="458" t="s">
        <v>247</v>
      </c>
      <c r="D3" s="458" t="s">
        <v>248</v>
      </c>
      <c r="E3" s="458" t="s">
        <v>249</v>
      </c>
      <c r="F3" s="458" t="s">
        <v>250</v>
      </c>
      <c r="G3" s="458" t="s">
        <v>251</v>
      </c>
      <c r="H3" s="458" t="s">
        <v>252</v>
      </c>
    </row>
    <row r="4" ht="15" spans="2:8">
      <c r="B4" s="459" t="s">
        <v>1148</v>
      </c>
      <c r="C4" s="460">
        <f>收入预测表!C9</f>
        <v>2751.17</v>
      </c>
      <c r="D4" s="460">
        <f>收入预测表!D9</f>
        <v>3301.404</v>
      </c>
      <c r="E4" s="460">
        <f>收入预测表!E9</f>
        <v>3895.65672</v>
      </c>
      <c r="F4" s="460">
        <f>收入预测表!F9</f>
        <v>4480.005228</v>
      </c>
      <c r="G4" s="460">
        <f>收入预测表!G9</f>
        <v>4928.0057508</v>
      </c>
      <c r="H4" s="460">
        <f>收入预测表!H9</f>
        <v>4928.0057508</v>
      </c>
    </row>
    <row r="5" ht="15" spans="2:9">
      <c r="B5" s="461" t="s">
        <v>1149</v>
      </c>
      <c r="C5" s="462">
        <f>SUM(C6:C7)</f>
        <v>2279.73160506117</v>
      </c>
      <c r="D5" s="462">
        <f t="shared" ref="D5:H5" si="0">SUM(D6:D7)</f>
        <v>2610.4136760734</v>
      </c>
      <c r="E5" s="462">
        <f t="shared" si="0"/>
        <v>2967.11291276662</v>
      </c>
      <c r="F5" s="462">
        <f t="shared" si="0"/>
        <v>3318.88776218161</v>
      </c>
      <c r="G5" s="462">
        <f t="shared" si="0"/>
        <v>3593.13624089977</v>
      </c>
      <c r="H5" s="462">
        <f t="shared" si="0"/>
        <v>3593.13624089977</v>
      </c>
      <c r="I5" s="463">
        <f>'成本--成本比例分析'!G29</f>
        <v>0.7</v>
      </c>
    </row>
    <row r="6" ht="15" spans="2:9">
      <c r="B6" s="459" t="s">
        <v>1150</v>
      </c>
      <c r="C6" s="460">
        <f t="shared" ref="C6:H6" si="1">C4*$I$5*$I$6</f>
        <v>1580.51035506117</v>
      </c>
      <c r="D6" s="460">
        <f t="shared" si="1"/>
        <v>1896.6124260734</v>
      </c>
      <c r="E6" s="460">
        <f t="shared" si="1"/>
        <v>2238.00266276662</v>
      </c>
      <c r="F6" s="460">
        <f t="shared" si="1"/>
        <v>2573.70306218161</v>
      </c>
      <c r="G6" s="460">
        <f t="shared" si="1"/>
        <v>2831.07336839977</v>
      </c>
      <c r="H6" s="460">
        <f t="shared" si="1"/>
        <v>2831.07336839977</v>
      </c>
      <c r="I6" s="463">
        <f>'成本--构成分析'!I5</f>
        <v>0.820695171800241</v>
      </c>
    </row>
    <row r="7" ht="15" spans="2:10">
      <c r="B7" s="459" t="s">
        <v>1151</v>
      </c>
      <c r="C7" s="460">
        <f>SUM(C8:C10)</f>
        <v>699.22125</v>
      </c>
      <c r="D7" s="460">
        <f t="shared" ref="D7:H7" si="2">SUM(D8:D10)</f>
        <v>713.80125</v>
      </c>
      <c r="E7" s="460">
        <f t="shared" si="2"/>
        <v>729.11025</v>
      </c>
      <c r="F7" s="460">
        <f t="shared" si="2"/>
        <v>745.1847</v>
      </c>
      <c r="G7" s="460">
        <f t="shared" si="2"/>
        <v>762.0628725</v>
      </c>
      <c r="H7" s="460">
        <f t="shared" si="2"/>
        <v>762.0628725</v>
      </c>
      <c r="I7" s="463"/>
      <c r="J7" s="456" t="s">
        <v>1152</v>
      </c>
    </row>
    <row r="8" ht="15" spans="2:10">
      <c r="B8" s="459" t="s">
        <v>1153</v>
      </c>
      <c r="C8" s="460">
        <f>折旧和资本化支出!D56</f>
        <v>137.74125</v>
      </c>
      <c r="D8" s="460">
        <f>折旧和资本化支出!E56</f>
        <v>137.74125</v>
      </c>
      <c r="E8" s="460">
        <f>折旧和资本化支出!F56</f>
        <v>137.74125</v>
      </c>
      <c r="F8" s="460">
        <f>折旧和资本化支出!G56</f>
        <v>137.74125</v>
      </c>
      <c r="G8" s="460">
        <f>折旧和资本化支出!H56</f>
        <v>137.74125</v>
      </c>
      <c r="H8" s="460">
        <f>折旧和资本化支出!I56</f>
        <v>137.74125</v>
      </c>
      <c r="I8" s="464"/>
      <c r="J8" s="456"/>
    </row>
    <row r="9" ht="15" spans="2:10">
      <c r="B9" s="459" t="s">
        <v>1154</v>
      </c>
      <c r="C9" s="460">
        <f>人员费用表!B21</f>
        <v>291.6</v>
      </c>
      <c r="D9" s="460">
        <f>人员费用表!C21</f>
        <v>306.18</v>
      </c>
      <c r="E9" s="460">
        <f>人员费用表!D21</f>
        <v>321.489</v>
      </c>
      <c r="F9" s="460">
        <f>人员费用表!E21</f>
        <v>337.56345</v>
      </c>
      <c r="G9" s="460">
        <f>人员费用表!F21</f>
        <v>354.4416225</v>
      </c>
      <c r="H9" s="460">
        <f>人员费用表!G21</f>
        <v>354.4416225</v>
      </c>
      <c r="I9" s="464"/>
      <c r="J9" s="456"/>
    </row>
    <row r="10" ht="23.25" spans="2:10">
      <c r="B10" s="459" t="s">
        <v>1155</v>
      </c>
      <c r="C10" s="460">
        <f>22.49*12</f>
        <v>269.88</v>
      </c>
      <c r="D10" s="460">
        <f t="shared" ref="D10:H10" si="3">22.49*12</f>
        <v>269.88</v>
      </c>
      <c r="E10" s="460">
        <f t="shared" si="3"/>
        <v>269.88</v>
      </c>
      <c r="F10" s="460">
        <f t="shared" si="3"/>
        <v>269.88</v>
      </c>
      <c r="G10" s="460">
        <f t="shared" si="3"/>
        <v>269.88</v>
      </c>
      <c r="H10" s="460">
        <f t="shared" si="3"/>
        <v>269.88</v>
      </c>
      <c r="I10" s="464" t="s">
        <v>1156</v>
      </c>
      <c r="J10" s="456"/>
    </row>
    <row r="11" ht="19.8" customHeight="1" spans="2:8">
      <c r="B11" s="459" t="s">
        <v>1157</v>
      </c>
      <c r="C11" s="460">
        <f t="shared" ref="C11:H11" si="4">C5/C4</f>
        <v>0.828640761952612</v>
      </c>
      <c r="D11" s="460">
        <f t="shared" si="4"/>
        <v>0.790698041219252</v>
      </c>
      <c r="E11" s="460">
        <f t="shared" si="4"/>
        <v>0.761646399061213</v>
      </c>
      <c r="F11" s="460">
        <f t="shared" si="4"/>
        <v>0.740822296688089</v>
      </c>
      <c r="G11" s="460">
        <f t="shared" si="4"/>
        <v>0.729125821396712</v>
      </c>
      <c r="H11" s="460">
        <f t="shared" si="4"/>
        <v>0.729125821396712</v>
      </c>
    </row>
    <row r="13" spans="3:8">
      <c r="C13" s="427">
        <f>1-C11</f>
        <v>0.171359238047388</v>
      </c>
      <c r="D13" s="427">
        <f t="shared" ref="D13:H13" si="5">1-D11</f>
        <v>0.209301958780748</v>
      </c>
      <c r="E13" s="427">
        <f t="shared" si="5"/>
        <v>0.238353600938787</v>
      </c>
      <c r="F13" s="427">
        <f t="shared" si="5"/>
        <v>0.259177703311911</v>
      </c>
      <c r="G13" s="427">
        <f t="shared" si="5"/>
        <v>0.270874178603288</v>
      </c>
      <c r="H13" s="427">
        <f t="shared" si="5"/>
        <v>0.270874178603288</v>
      </c>
    </row>
    <row r="15" spans="3:3">
      <c r="C15">
        <f>C4*70%</f>
        <v>1925.819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I36"/>
  <sheetViews>
    <sheetView topLeftCell="A2" workbookViewId="0">
      <selection activeCell="E9" sqref="E9"/>
    </sheetView>
  </sheetViews>
  <sheetFormatPr defaultColWidth="8.7" defaultRowHeight="12.75"/>
  <cols>
    <col min="1" max="1" width="12.3" style="431" customWidth="1"/>
    <col min="2" max="2" width="29" style="432" customWidth="1"/>
    <col min="3" max="3" width="6" style="431" customWidth="1" outlineLevel="1"/>
    <col min="4" max="4" width="11.3" style="431" customWidth="1"/>
    <col min="5" max="7" width="12" style="431" customWidth="1"/>
    <col min="8" max="9" width="13.3" style="431" customWidth="1"/>
    <col min="10" max="27" width="9" style="431" customWidth="1"/>
    <col min="28" max="251" width="8.7" style="431"/>
    <col min="252" max="252" width="12.3" style="431" customWidth="1"/>
    <col min="253" max="253" width="29" style="431" customWidth="1"/>
    <col min="254" max="254" width="5.7" style="431" customWidth="1"/>
    <col min="255" max="256" width="8.7" style="431" hidden="1" customWidth="1"/>
    <col min="257" max="257" width="10.2" style="431" customWidth="1"/>
    <col min="258" max="258" width="11.2" style="431" customWidth="1"/>
    <col min="259" max="259" width="10.7" style="431" customWidth="1"/>
    <col min="260" max="260" width="11.3" style="431" customWidth="1"/>
    <col min="261" max="263" width="12" style="431" customWidth="1"/>
    <col min="264" max="265" width="13.3" style="431" customWidth="1"/>
    <col min="266" max="283" width="9" style="431" customWidth="1"/>
    <col min="284" max="507" width="8.7" style="431"/>
    <col min="508" max="508" width="12.3" style="431" customWidth="1"/>
    <col min="509" max="509" width="29" style="431" customWidth="1"/>
    <col min="510" max="510" width="5.7" style="431" customWidth="1"/>
    <col min="511" max="512" width="8.7" style="431" hidden="1" customWidth="1"/>
    <col min="513" max="513" width="10.2" style="431" customWidth="1"/>
    <col min="514" max="514" width="11.2" style="431" customWidth="1"/>
    <col min="515" max="515" width="10.7" style="431" customWidth="1"/>
    <col min="516" max="516" width="11.3" style="431" customWidth="1"/>
    <col min="517" max="519" width="12" style="431" customWidth="1"/>
    <col min="520" max="521" width="13.3" style="431" customWidth="1"/>
    <col min="522" max="539" width="9" style="431" customWidth="1"/>
    <col min="540" max="763" width="8.7" style="431"/>
    <col min="764" max="764" width="12.3" style="431" customWidth="1"/>
    <col min="765" max="765" width="29" style="431" customWidth="1"/>
    <col min="766" max="766" width="5.7" style="431" customWidth="1"/>
    <col min="767" max="768" width="8.7" style="431" hidden="1" customWidth="1"/>
    <col min="769" max="769" width="10.2" style="431" customWidth="1"/>
    <col min="770" max="770" width="11.2" style="431" customWidth="1"/>
    <col min="771" max="771" width="10.7" style="431" customWidth="1"/>
    <col min="772" max="772" width="11.3" style="431" customWidth="1"/>
    <col min="773" max="775" width="12" style="431" customWidth="1"/>
    <col min="776" max="777" width="13.3" style="431" customWidth="1"/>
    <col min="778" max="795" width="9" style="431" customWidth="1"/>
    <col min="796" max="1019" width="8.7" style="431"/>
    <col min="1020" max="1020" width="12.3" style="431" customWidth="1"/>
    <col min="1021" max="1021" width="29" style="431" customWidth="1"/>
    <col min="1022" max="1022" width="5.7" style="431" customWidth="1"/>
    <col min="1023" max="1024" width="8.7" style="431" hidden="1" customWidth="1"/>
    <col min="1025" max="1025" width="10.2" style="431" customWidth="1"/>
    <col min="1026" max="1026" width="11.2" style="431" customWidth="1"/>
    <col min="1027" max="1027" width="10.7" style="431" customWidth="1"/>
    <col min="1028" max="1028" width="11.3" style="431" customWidth="1"/>
    <col min="1029" max="1031" width="12" style="431" customWidth="1"/>
    <col min="1032" max="1033" width="13.3" style="431" customWidth="1"/>
    <col min="1034" max="1051" width="9" style="431" customWidth="1"/>
    <col min="1052" max="1275" width="8.7" style="431"/>
    <col min="1276" max="1276" width="12.3" style="431" customWidth="1"/>
    <col min="1277" max="1277" width="29" style="431" customWidth="1"/>
    <col min="1278" max="1278" width="5.7" style="431" customWidth="1"/>
    <col min="1279" max="1280" width="8.7" style="431" hidden="1" customWidth="1"/>
    <col min="1281" max="1281" width="10.2" style="431" customWidth="1"/>
    <col min="1282" max="1282" width="11.2" style="431" customWidth="1"/>
    <col min="1283" max="1283" width="10.7" style="431" customWidth="1"/>
    <col min="1284" max="1284" width="11.3" style="431" customWidth="1"/>
    <col min="1285" max="1287" width="12" style="431" customWidth="1"/>
    <col min="1288" max="1289" width="13.3" style="431" customWidth="1"/>
    <col min="1290" max="1307" width="9" style="431" customWidth="1"/>
    <col min="1308" max="1531" width="8.7" style="431"/>
    <col min="1532" max="1532" width="12.3" style="431" customWidth="1"/>
    <col min="1533" max="1533" width="29" style="431" customWidth="1"/>
    <col min="1534" max="1534" width="5.7" style="431" customWidth="1"/>
    <col min="1535" max="1536" width="8.7" style="431" hidden="1" customWidth="1"/>
    <col min="1537" max="1537" width="10.2" style="431" customWidth="1"/>
    <col min="1538" max="1538" width="11.2" style="431" customWidth="1"/>
    <col min="1539" max="1539" width="10.7" style="431" customWidth="1"/>
    <col min="1540" max="1540" width="11.3" style="431" customWidth="1"/>
    <col min="1541" max="1543" width="12" style="431" customWidth="1"/>
    <col min="1544" max="1545" width="13.3" style="431" customWidth="1"/>
    <col min="1546" max="1563" width="9" style="431" customWidth="1"/>
    <col min="1564" max="1787" width="8.7" style="431"/>
    <col min="1788" max="1788" width="12.3" style="431" customWidth="1"/>
    <col min="1789" max="1789" width="29" style="431" customWidth="1"/>
    <col min="1790" max="1790" width="5.7" style="431" customWidth="1"/>
    <col min="1791" max="1792" width="8.7" style="431" hidden="1" customWidth="1"/>
    <col min="1793" max="1793" width="10.2" style="431" customWidth="1"/>
    <col min="1794" max="1794" width="11.2" style="431" customWidth="1"/>
    <col min="1795" max="1795" width="10.7" style="431" customWidth="1"/>
    <col min="1796" max="1796" width="11.3" style="431" customWidth="1"/>
    <col min="1797" max="1799" width="12" style="431" customWidth="1"/>
    <col min="1800" max="1801" width="13.3" style="431" customWidth="1"/>
    <col min="1802" max="1819" width="9" style="431" customWidth="1"/>
    <col min="1820" max="2043" width="8.7" style="431"/>
    <col min="2044" max="2044" width="12.3" style="431" customWidth="1"/>
    <col min="2045" max="2045" width="29" style="431" customWidth="1"/>
    <col min="2046" max="2046" width="5.7" style="431" customWidth="1"/>
    <col min="2047" max="2048" width="8.7" style="431" hidden="1" customWidth="1"/>
    <col min="2049" max="2049" width="10.2" style="431" customWidth="1"/>
    <col min="2050" max="2050" width="11.2" style="431" customWidth="1"/>
    <col min="2051" max="2051" width="10.7" style="431" customWidth="1"/>
    <col min="2052" max="2052" width="11.3" style="431" customWidth="1"/>
    <col min="2053" max="2055" width="12" style="431" customWidth="1"/>
    <col min="2056" max="2057" width="13.3" style="431" customWidth="1"/>
    <col min="2058" max="2075" width="9" style="431" customWidth="1"/>
    <col min="2076" max="2299" width="8.7" style="431"/>
    <col min="2300" max="2300" width="12.3" style="431" customWidth="1"/>
    <col min="2301" max="2301" width="29" style="431" customWidth="1"/>
    <col min="2302" max="2302" width="5.7" style="431" customWidth="1"/>
    <col min="2303" max="2304" width="8.7" style="431" hidden="1" customWidth="1"/>
    <col min="2305" max="2305" width="10.2" style="431" customWidth="1"/>
    <col min="2306" max="2306" width="11.2" style="431" customWidth="1"/>
    <col min="2307" max="2307" width="10.7" style="431" customWidth="1"/>
    <col min="2308" max="2308" width="11.3" style="431" customWidth="1"/>
    <col min="2309" max="2311" width="12" style="431" customWidth="1"/>
    <col min="2312" max="2313" width="13.3" style="431" customWidth="1"/>
    <col min="2314" max="2331" width="9" style="431" customWidth="1"/>
    <col min="2332" max="2555" width="8.7" style="431"/>
    <col min="2556" max="2556" width="12.3" style="431" customWidth="1"/>
    <col min="2557" max="2557" width="29" style="431" customWidth="1"/>
    <col min="2558" max="2558" width="5.7" style="431" customWidth="1"/>
    <col min="2559" max="2560" width="8.7" style="431" hidden="1" customWidth="1"/>
    <col min="2561" max="2561" width="10.2" style="431" customWidth="1"/>
    <col min="2562" max="2562" width="11.2" style="431" customWidth="1"/>
    <col min="2563" max="2563" width="10.7" style="431" customWidth="1"/>
    <col min="2564" max="2564" width="11.3" style="431" customWidth="1"/>
    <col min="2565" max="2567" width="12" style="431" customWidth="1"/>
    <col min="2568" max="2569" width="13.3" style="431" customWidth="1"/>
    <col min="2570" max="2587" width="9" style="431" customWidth="1"/>
    <col min="2588" max="2811" width="8.7" style="431"/>
    <col min="2812" max="2812" width="12.3" style="431" customWidth="1"/>
    <col min="2813" max="2813" width="29" style="431" customWidth="1"/>
    <col min="2814" max="2814" width="5.7" style="431" customWidth="1"/>
    <col min="2815" max="2816" width="8.7" style="431" hidden="1" customWidth="1"/>
    <col min="2817" max="2817" width="10.2" style="431" customWidth="1"/>
    <col min="2818" max="2818" width="11.2" style="431" customWidth="1"/>
    <col min="2819" max="2819" width="10.7" style="431" customWidth="1"/>
    <col min="2820" max="2820" width="11.3" style="431" customWidth="1"/>
    <col min="2821" max="2823" width="12" style="431" customWidth="1"/>
    <col min="2824" max="2825" width="13.3" style="431" customWidth="1"/>
    <col min="2826" max="2843" width="9" style="431" customWidth="1"/>
    <col min="2844" max="3067" width="8.7" style="431"/>
    <col min="3068" max="3068" width="12.3" style="431" customWidth="1"/>
    <col min="3069" max="3069" width="29" style="431" customWidth="1"/>
    <col min="3070" max="3070" width="5.7" style="431" customWidth="1"/>
    <col min="3071" max="3072" width="8.7" style="431" hidden="1" customWidth="1"/>
    <col min="3073" max="3073" width="10.2" style="431" customWidth="1"/>
    <col min="3074" max="3074" width="11.2" style="431" customWidth="1"/>
    <col min="3075" max="3075" width="10.7" style="431" customWidth="1"/>
    <col min="3076" max="3076" width="11.3" style="431" customWidth="1"/>
    <col min="3077" max="3079" width="12" style="431" customWidth="1"/>
    <col min="3080" max="3081" width="13.3" style="431" customWidth="1"/>
    <col min="3082" max="3099" width="9" style="431" customWidth="1"/>
    <col min="3100" max="3323" width="8.7" style="431"/>
    <col min="3324" max="3324" width="12.3" style="431" customWidth="1"/>
    <col min="3325" max="3325" width="29" style="431" customWidth="1"/>
    <col min="3326" max="3326" width="5.7" style="431" customWidth="1"/>
    <col min="3327" max="3328" width="8.7" style="431" hidden="1" customWidth="1"/>
    <col min="3329" max="3329" width="10.2" style="431" customWidth="1"/>
    <col min="3330" max="3330" width="11.2" style="431" customWidth="1"/>
    <col min="3331" max="3331" width="10.7" style="431" customWidth="1"/>
    <col min="3332" max="3332" width="11.3" style="431" customWidth="1"/>
    <col min="3333" max="3335" width="12" style="431" customWidth="1"/>
    <col min="3336" max="3337" width="13.3" style="431" customWidth="1"/>
    <col min="3338" max="3355" width="9" style="431" customWidth="1"/>
    <col min="3356" max="3579" width="8.7" style="431"/>
    <col min="3580" max="3580" width="12.3" style="431" customWidth="1"/>
    <col min="3581" max="3581" width="29" style="431" customWidth="1"/>
    <col min="3582" max="3582" width="5.7" style="431" customWidth="1"/>
    <col min="3583" max="3584" width="8.7" style="431" hidden="1" customWidth="1"/>
    <col min="3585" max="3585" width="10.2" style="431" customWidth="1"/>
    <col min="3586" max="3586" width="11.2" style="431" customWidth="1"/>
    <col min="3587" max="3587" width="10.7" style="431" customWidth="1"/>
    <col min="3588" max="3588" width="11.3" style="431" customWidth="1"/>
    <col min="3589" max="3591" width="12" style="431" customWidth="1"/>
    <col min="3592" max="3593" width="13.3" style="431" customWidth="1"/>
    <col min="3594" max="3611" width="9" style="431" customWidth="1"/>
    <col min="3612" max="3835" width="8.7" style="431"/>
    <col min="3836" max="3836" width="12.3" style="431" customWidth="1"/>
    <col min="3837" max="3837" width="29" style="431" customWidth="1"/>
    <col min="3838" max="3838" width="5.7" style="431" customWidth="1"/>
    <col min="3839" max="3840" width="8.7" style="431" hidden="1" customWidth="1"/>
    <col min="3841" max="3841" width="10.2" style="431" customWidth="1"/>
    <col min="3842" max="3842" width="11.2" style="431" customWidth="1"/>
    <col min="3843" max="3843" width="10.7" style="431" customWidth="1"/>
    <col min="3844" max="3844" width="11.3" style="431" customWidth="1"/>
    <col min="3845" max="3847" width="12" style="431" customWidth="1"/>
    <col min="3848" max="3849" width="13.3" style="431" customWidth="1"/>
    <col min="3850" max="3867" width="9" style="431" customWidth="1"/>
    <col min="3868" max="4091" width="8.7" style="431"/>
    <col min="4092" max="4092" width="12.3" style="431" customWidth="1"/>
    <col min="4093" max="4093" width="29" style="431" customWidth="1"/>
    <col min="4094" max="4094" width="5.7" style="431" customWidth="1"/>
    <col min="4095" max="4096" width="8.7" style="431" hidden="1" customWidth="1"/>
    <col min="4097" max="4097" width="10.2" style="431" customWidth="1"/>
    <col min="4098" max="4098" width="11.2" style="431" customWidth="1"/>
    <col min="4099" max="4099" width="10.7" style="431" customWidth="1"/>
    <col min="4100" max="4100" width="11.3" style="431" customWidth="1"/>
    <col min="4101" max="4103" width="12" style="431" customWidth="1"/>
    <col min="4104" max="4105" width="13.3" style="431" customWidth="1"/>
    <col min="4106" max="4123" width="9" style="431" customWidth="1"/>
    <col min="4124" max="4347" width="8.7" style="431"/>
    <col min="4348" max="4348" width="12.3" style="431" customWidth="1"/>
    <col min="4349" max="4349" width="29" style="431" customWidth="1"/>
    <col min="4350" max="4350" width="5.7" style="431" customWidth="1"/>
    <col min="4351" max="4352" width="8.7" style="431" hidden="1" customWidth="1"/>
    <col min="4353" max="4353" width="10.2" style="431" customWidth="1"/>
    <col min="4354" max="4354" width="11.2" style="431" customWidth="1"/>
    <col min="4355" max="4355" width="10.7" style="431" customWidth="1"/>
    <col min="4356" max="4356" width="11.3" style="431" customWidth="1"/>
    <col min="4357" max="4359" width="12" style="431" customWidth="1"/>
    <col min="4360" max="4361" width="13.3" style="431" customWidth="1"/>
    <col min="4362" max="4379" width="9" style="431" customWidth="1"/>
    <col min="4380" max="4603" width="8.7" style="431"/>
    <col min="4604" max="4604" width="12.3" style="431" customWidth="1"/>
    <col min="4605" max="4605" width="29" style="431" customWidth="1"/>
    <col min="4606" max="4606" width="5.7" style="431" customWidth="1"/>
    <col min="4607" max="4608" width="8.7" style="431" hidden="1" customWidth="1"/>
    <col min="4609" max="4609" width="10.2" style="431" customWidth="1"/>
    <col min="4610" max="4610" width="11.2" style="431" customWidth="1"/>
    <col min="4611" max="4611" width="10.7" style="431" customWidth="1"/>
    <col min="4612" max="4612" width="11.3" style="431" customWidth="1"/>
    <col min="4613" max="4615" width="12" style="431" customWidth="1"/>
    <col min="4616" max="4617" width="13.3" style="431" customWidth="1"/>
    <col min="4618" max="4635" width="9" style="431" customWidth="1"/>
    <col min="4636" max="4859" width="8.7" style="431"/>
    <col min="4860" max="4860" width="12.3" style="431" customWidth="1"/>
    <col min="4861" max="4861" width="29" style="431" customWidth="1"/>
    <col min="4862" max="4862" width="5.7" style="431" customWidth="1"/>
    <col min="4863" max="4864" width="8.7" style="431" hidden="1" customWidth="1"/>
    <col min="4865" max="4865" width="10.2" style="431" customWidth="1"/>
    <col min="4866" max="4866" width="11.2" style="431" customWidth="1"/>
    <col min="4867" max="4867" width="10.7" style="431" customWidth="1"/>
    <col min="4868" max="4868" width="11.3" style="431" customWidth="1"/>
    <col min="4869" max="4871" width="12" style="431" customWidth="1"/>
    <col min="4872" max="4873" width="13.3" style="431" customWidth="1"/>
    <col min="4874" max="4891" width="9" style="431" customWidth="1"/>
    <col min="4892" max="5115" width="8.7" style="431"/>
    <col min="5116" max="5116" width="12.3" style="431" customWidth="1"/>
    <col min="5117" max="5117" width="29" style="431" customWidth="1"/>
    <col min="5118" max="5118" width="5.7" style="431" customWidth="1"/>
    <col min="5119" max="5120" width="8.7" style="431" hidden="1" customWidth="1"/>
    <col min="5121" max="5121" width="10.2" style="431" customWidth="1"/>
    <col min="5122" max="5122" width="11.2" style="431" customWidth="1"/>
    <col min="5123" max="5123" width="10.7" style="431" customWidth="1"/>
    <col min="5124" max="5124" width="11.3" style="431" customWidth="1"/>
    <col min="5125" max="5127" width="12" style="431" customWidth="1"/>
    <col min="5128" max="5129" width="13.3" style="431" customWidth="1"/>
    <col min="5130" max="5147" width="9" style="431" customWidth="1"/>
    <col min="5148" max="5371" width="8.7" style="431"/>
    <col min="5372" max="5372" width="12.3" style="431" customWidth="1"/>
    <col min="5373" max="5373" width="29" style="431" customWidth="1"/>
    <col min="5374" max="5374" width="5.7" style="431" customWidth="1"/>
    <col min="5375" max="5376" width="8.7" style="431" hidden="1" customWidth="1"/>
    <col min="5377" max="5377" width="10.2" style="431" customWidth="1"/>
    <col min="5378" max="5378" width="11.2" style="431" customWidth="1"/>
    <col min="5379" max="5379" width="10.7" style="431" customWidth="1"/>
    <col min="5380" max="5380" width="11.3" style="431" customWidth="1"/>
    <col min="5381" max="5383" width="12" style="431" customWidth="1"/>
    <col min="5384" max="5385" width="13.3" style="431" customWidth="1"/>
    <col min="5386" max="5403" width="9" style="431" customWidth="1"/>
    <col min="5404" max="5627" width="8.7" style="431"/>
    <col min="5628" max="5628" width="12.3" style="431" customWidth="1"/>
    <col min="5629" max="5629" width="29" style="431" customWidth="1"/>
    <col min="5630" max="5630" width="5.7" style="431" customWidth="1"/>
    <col min="5631" max="5632" width="8.7" style="431" hidden="1" customWidth="1"/>
    <col min="5633" max="5633" width="10.2" style="431" customWidth="1"/>
    <col min="5634" max="5634" width="11.2" style="431" customWidth="1"/>
    <col min="5635" max="5635" width="10.7" style="431" customWidth="1"/>
    <col min="5636" max="5636" width="11.3" style="431" customWidth="1"/>
    <col min="5637" max="5639" width="12" style="431" customWidth="1"/>
    <col min="5640" max="5641" width="13.3" style="431" customWidth="1"/>
    <col min="5642" max="5659" width="9" style="431" customWidth="1"/>
    <col min="5660" max="5883" width="8.7" style="431"/>
    <col min="5884" max="5884" width="12.3" style="431" customWidth="1"/>
    <col min="5885" max="5885" width="29" style="431" customWidth="1"/>
    <col min="5886" max="5886" width="5.7" style="431" customWidth="1"/>
    <col min="5887" max="5888" width="8.7" style="431" hidden="1" customWidth="1"/>
    <col min="5889" max="5889" width="10.2" style="431" customWidth="1"/>
    <col min="5890" max="5890" width="11.2" style="431" customWidth="1"/>
    <col min="5891" max="5891" width="10.7" style="431" customWidth="1"/>
    <col min="5892" max="5892" width="11.3" style="431" customWidth="1"/>
    <col min="5893" max="5895" width="12" style="431" customWidth="1"/>
    <col min="5896" max="5897" width="13.3" style="431" customWidth="1"/>
    <col min="5898" max="5915" width="9" style="431" customWidth="1"/>
    <col min="5916" max="6139" width="8.7" style="431"/>
    <col min="6140" max="6140" width="12.3" style="431" customWidth="1"/>
    <col min="6141" max="6141" width="29" style="431" customWidth="1"/>
    <col min="6142" max="6142" width="5.7" style="431" customWidth="1"/>
    <col min="6143" max="6144" width="8.7" style="431" hidden="1" customWidth="1"/>
    <col min="6145" max="6145" width="10.2" style="431" customWidth="1"/>
    <col min="6146" max="6146" width="11.2" style="431" customWidth="1"/>
    <col min="6147" max="6147" width="10.7" style="431" customWidth="1"/>
    <col min="6148" max="6148" width="11.3" style="431" customWidth="1"/>
    <col min="6149" max="6151" width="12" style="431" customWidth="1"/>
    <col min="6152" max="6153" width="13.3" style="431" customWidth="1"/>
    <col min="6154" max="6171" width="9" style="431" customWidth="1"/>
    <col min="6172" max="6395" width="8.7" style="431"/>
    <col min="6396" max="6396" width="12.3" style="431" customWidth="1"/>
    <col min="6397" max="6397" width="29" style="431" customWidth="1"/>
    <col min="6398" max="6398" width="5.7" style="431" customWidth="1"/>
    <col min="6399" max="6400" width="8.7" style="431" hidden="1" customWidth="1"/>
    <col min="6401" max="6401" width="10.2" style="431" customWidth="1"/>
    <col min="6402" max="6402" width="11.2" style="431" customWidth="1"/>
    <col min="6403" max="6403" width="10.7" style="431" customWidth="1"/>
    <col min="6404" max="6404" width="11.3" style="431" customWidth="1"/>
    <col min="6405" max="6407" width="12" style="431" customWidth="1"/>
    <col min="6408" max="6409" width="13.3" style="431" customWidth="1"/>
    <col min="6410" max="6427" width="9" style="431" customWidth="1"/>
    <col min="6428" max="6651" width="8.7" style="431"/>
    <col min="6652" max="6652" width="12.3" style="431" customWidth="1"/>
    <col min="6653" max="6653" width="29" style="431" customWidth="1"/>
    <col min="6654" max="6654" width="5.7" style="431" customWidth="1"/>
    <col min="6655" max="6656" width="8.7" style="431" hidden="1" customWidth="1"/>
    <col min="6657" max="6657" width="10.2" style="431" customWidth="1"/>
    <col min="6658" max="6658" width="11.2" style="431" customWidth="1"/>
    <col min="6659" max="6659" width="10.7" style="431" customWidth="1"/>
    <col min="6660" max="6660" width="11.3" style="431" customWidth="1"/>
    <col min="6661" max="6663" width="12" style="431" customWidth="1"/>
    <col min="6664" max="6665" width="13.3" style="431" customWidth="1"/>
    <col min="6666" max="6683" width="9" style="431" customWidth="1"/>
    <col min="6684" max="6907" width="8.7" style="431"/>
    <col min="6908" max="6908" width="12.3" style="431" customWidth="1"/>
    <col min="6909" max="6909" width="29" style="431" customWidth="1"/>
    <col min="6910" max="6910" width="5.7" style="431" customWidth="1"/>
    <col min="6911" max="6912" width="8.7" style="431" hidden="1" customWidth="1"/>
    <col min="6913" max="6913" width="10.2" style="431" customWidth="1"/>
    <col min="6914" max="6914" width="11.2" style="431" customWidth="1"/>
    <col min="6915" max="6915" width="10.7" style="431" customWidth="1"/>
    <col min="6916" max="6916" width="11.3" style="431" customWidth="1"/>
    <col min="6917" max="6919" width="12" style="431" customWidth="1"/>
    <col min="6920" max="6921" width="13.3" style="431" customWidth="1"/>
    <col min="6922" max="6939" width="9" style="431" customWidth="1"/>
    <col min="6940" max="7163" width="8.7" style="431"/>
    <col min="7164" max="7164" width="12.3" style="431" customWidth="1"/>
    <col min="7165" max="7165" width="29" style="431" customWidth="1"/>
    <col min="7166" max="7166" width="5.7" style="431" customWidth="1"/>
    <col min="7167" max="7168" width="8.7" style="431" hidden="1" customWidth="1"/>
    <col min="7169" max="7169" width="10.2" style="431" customWidth="1"/>
    <col min="7170" max="7170" width="11.2" style="431" customWidth="1"/>
    <col min="7171" max="7171" width="10.7" style="431" customWidth="1"/>
    <col min="7172" max="7172" width="11.3" style="431" customWidth="1"/>
    <col min="7173" max="7175" width="12" style="431" customWidth="1"/>
    <col min="7176" max="7177" width="13.3" style="431" customWidth="1"/>
    <col min="7178" max="7195" width="9" style="431" customWidth="1"/>
    <col min="7196" max="7419" width="8.7" style="431"/>
    <col min="7420" max="7420" width="12.3" style="431" customWidth="1"/>
    <col min="7421" max="7421" width="29" style="431" customWidth="1"/>
    <col min="7422" max="7422" width="5.7" style="431" customWidth="1"/>
    <col min="7423" max="7424" width="8.7" style="431" hidden="1" customWidth="1"/>
    <col min="7425" max="7425" width="10.2" style="431" customWidth="1"/>
    <col min="7426" max="7426" width="11.2" style="431" customWidth="1"/>
    <col min="7427" max="7427" width="10.7" style="431" customWidth="1"/>
    <col min="7428" max="7428" width="11.3" style="431" customWidth="1"/>
    <col min="7429" max="7431" width="12" style="431" customWidth="1"/>
    <col min="7432" max="7433" width="13.3" style="431" customWidth="1"/>
    <col min="7434" max="7451" width="9" style="431" customWidth="1"/>
    <col min="7452" max="7675" width="8.7" style="431"/>
    <col min="7676" max="7676" width="12.3" style="431" customWidth="1"/>
    <col min="7677" max="7677" width="29" style="431" customWidth="1"/>
    <col min="7678" max="7678" width="5.7" style="431" customWidth="1"/>
    <col min="7679" max="7680" width="8.7" style="431" hidden="1" customWidth="1"/>
    <col min="7681" max="7681" width="10.2" style="431" customWidth="1"/>
    <col min="7682" max="7682" width="11.2" style="431" customWidth="1"/>
    <col min="7683" max="7683" width="10.7" style="431" customWidth="1"/>
    <col min="7684" max="7684" width="11.3" style="431" customWidth="1"/>
    <col min="7685" max="7687" width="12" style="431" customWidth="1"/>
    <col min="7688" max="7689" width="13.3" style="431" customWidth="1"/>
    <col min="7690" max="7707" width="9" style="431" customWidth="1"/>
    <col min="7708" max="7931" width="8.7" style="431"/>
    <col min="7932" max="7932" width="12.3" style="431" customWidth="1"/>
    <col min="7933" max="7933" width="29" style="431" customWidth="1"/>
    <col min="7934" max="7934" width="5.7" style="431" customWidth="1"/>
    <col min="7935" max="7936" width="8.7" style="431" hidden="1" customWidth="1"/>
    <col min="7937" max="7937" width="10.2" style="431" customWidth="1"/>
    <col min="7938" max="7938" width="11.2" style="431" customWidth="1"/>
    <col min="7939" max="7939" width="10.7" style="431" customWidth="1"/>
    <col min="7940" max="7940" width="11.3" style="431" customWidth="1"/>
    <col min="7941" max="7943" width="12" style="431" customWidth="1"/>
    <col min="7944" max="7945" width="13.3" style="431" customWidth="1"/>
    <col min="7946" max="7963" width="9" style="431" customWidth="1"/>
    <col min="7964" max="8187" width="8.7" style="431"/>
    <col min="8188" max="8188" width="12.3" style="431" customWidth="1"/>
    <col min="8189" max="8189" width="29" style="431" customWidth="1"/>
    <col min="8190" max="8190" width="5.7" style="431" customWidth="1"/>
    <col min="8191" max="8192" width="8.7" style="431" hidden="1" customWidth="1"/>
    <col min="8193" max="8193" width="10.2" style="431" customWidth="1"/>
    <col min="8194" max="8194" width="11.2" style="431" customWidth="1"/>
    <col min="8195" max="8195" width="10.7" style="431" customWidth="1"/>
    <col min="8196" max="8196" width="11.3" style="431" customWidth="1"/>
    <col min="8197" max="8199" width="12" style="431" customWidth="1"/>
    <col min="8200" max="8201" width="13.3" style="431" customWidth="1"/>
    <col min="8202" max="8219" width="9" style="431" customWidth="1"/>
    <col min="8220" max="8443" width="8.7" style="431"/>
    <col min="8444" max="8444" width="12.3" style="431" customWidth="1"/>
    <col min="8445" max="8445" width="29" style="431" customWidth="1"/>
    <col min="8446" max="8446" width="5.7" style="431" customWidth="1"/>
    <col min="8447" max="8448" width="8.7" style="431" hidden="1" customWidth="1"/>
    <col min="8449" max="8449" width="10.2" style="431" customWidth="1"/>
    <col min="8450" max="8450" width="11.2" style="431" customWidth="1"/>
    <col min="8451" max="8451" width="10.7" style="431" customWidth="1"/>
    <col min="8452" max="8452" width="11.3" style="431" customWidth="1"/>
    <col min="8453" max="8455" width="12" style="431" customWidth="1"/>
    <col min="8456" max="8457" width="13.3" style="431" customWidth="1"/>
    <col min="8458" max="8475" width="9" style="431" customWidth="1"/>
    <col min="8476" max="8699" width="8.7" style="431"/>
    <col min="8700" max="8700" width="12.3" style="431" customWidth="1"/>
    <col min="8701" max="8701" width="29" style="431" customWidth="1"/>
    <col min="8702" max="8702" width="5.7" style="431" customWidth="1"/>
    <col min="8703" max="8704" width="8.7" style="431" hidden="1" customWidth="1"/>
    <col min="8705" max="8705" width="10.2" style="431" customWidth="1"/>
    <col min="8706" max="8706" width="11.2" style="431" customWidth="1"/>
    <col min="8707" max="8707" width="10.7" style="431" customWidth="1"/>
    <col min="8708" max="8708" width="11.3" style="431" customWidth="1"/>
    <col min="8709" max="8711" width="12" style="431" customWidth="1"/>
    <col min="8712" max="8713" width="13.3" style="431" customWidth="1"/>
    <col min="8714" max="8731" width="9" style="431" customWidth="1"/>
    <col min="8732" max="8955" width="8.7" style="431"/>
    <col min="8956" max="8956" width="12.3" style="431" customWidth="1"/>
    <col min="8957" max="8957" width="29" style="431" customWidth="1"/>
    <col min="8958" max="8958" width="5.7" style="431" customWidth="1"/>
    <col min="8959" max="8960" width="8.7" style="431" hidden="1" customWidth="1"/>
    <col min="8961" max="8961" width="10.2" style="431" customWidth="1"/>
    <col min="8962" max="8962" width="11.2" style="431" customWidth="1"/>
    <col min="8963" max="8963" width="10.7" style="431" customWidth="1"/>
    <col min="8964" max="8964" width="11.3" style="431" customWidth="1"/>
    <col min="8965" max="8967" width="12" style="431" customWidth="1"/>
    <col min="8968" max="8969" width="13.3" style="431" customWidth="1"/>
    <col min="8970" max="8987" width="9" style="431" customWidth="1"/>
    <col min="8988" max="9211" width="8.7" style="431"/>
    <col min="9212" max="9212" width="12.3" style="431" customWidth="1"/>
    <col min="9213" max="9213" width="29" style="431" customWidth="1"/>
    <col min="9214" max="9214" width="5.7" style="431" customWidth="1"/>
    <col min="9215" max="9216" width="8.7" style="431" hidden="1" customWidth="1"/>
    <col min="9217" max="9217" width="10.2" style="431" customWidth="1"/>
    <col min="9218" max="9218" width="11.2" style="431" customWidth="1"/>
    <col min="9219" max="9219" width="10.7" style="431" customWidth="1"/>
    <col min="9220" max="9220" width="11.3" style="431" customWidth="1"/>
    <col min="9221" max="9223" width="12" style="431" customWidth="1"/>
    <col min="9224" max="9225" width="13.3" style="431" customWidth="1"/>
    <col min="9226" max="9243" width="9" style="431" customWidth="1"/>
    <col min="9244" max="9467" width="8.7" style="431"/>
    <col min="9468" max="9468" width="12.3" style="431" customWidth="1"/>
    <col min="9469" max="9469" width="29" style="431" customWidth="1"/>
    <col min="9470" max="9470" width="5.7" style="431" customWidth="1"/>
    <col min="9471" max="9472" width="8.7" style="431" hidden="1" customWidth="1"/>
    <col min="9473" max="9473" width="10.2" style="431" customWidth="1"/>
    <col min="9474" max="9474" width="11.2" style="431" customWidth="1"/>
    <col min="9475" max="9475" width="10.7" style="431" customWidth="1"/>
    <col min="9476" max="9476" width="11.3" style="431" customWidth="1"/>
    <col min="9477" max="9479" width="12" style="431" customWidth="1"/>
    <col min="9480" max="9481" width="13.3" style="431" customWidth="1"/>
    <col min="9482" max="9499" width="9" style="431" customWidth="1"/>
    <col min="9500" max="9723" width="8.7" style="431"/>
    <col min="9724" max="9724" width="12.3" style="431" customWidth="1"/>
    <col min="9725" max="9725" width="29" style="431" customWidth="1"/>
    <col min="9726" max="9726" width="5.7" style="431" customWidth="1"/>
    <col min="9727" max="9728" width="8.7" style="431" hidden="1" customWidth="1"/>
    <col min="9729" max="9729" width="10.2" style="431" customWidth="1"/>
    <col min="9730" max="9730" width="11.2" style="431" customWidth="1"/>
    <col min="9731" max="9731" width="10.7" style="431" customWidth="1"/>
    <col min="9732" max="9732" width="11.3" style="431" customWidth="1"/>
    <col min="9733" max="9735" width="12" style="431" customWidth="1"/>
    <col min="9736" max="9737" width="13.3" style="431" customWidth="1"/>
    <col min="9738" max="9755" width="9" style="431" customWidth="1"/>
    <col min="9756" max="9979" width="8.7" style="431"/>
    <col min="9980" max="9980" width="12.3" style="431" customWidth="1"/>
    <col min="9981" max="9981" width="29" style="431" customWidth="1"/>
    <col min="9982" max="9982" width="5.7" style="431" customWidth="1"/>
    <col min="9983" max="9984" width="8.7" style="431" hidden="1" customWidth="1"/>
    <col min="9985" max="9985" width="10.2" style="431" customWidth="1"/>
    <col min="9986" max="9986" width="11.2" style="431" customWidth="1"/>
    <col min="9987" max="9987" width="10.7" style="431" customWidth="1"/>
    <col min="9988" max="9988" width="11.3" style="431" customWidth="1"/>
    <col min="9989" max="9991" width="12" style="431" customWidth="1"/>
    <col min="9992" max="9993" width="13.3" style="431" customWidth="1"/>
    <col min="9994" max="10011" width="9" style="431" customWidth="1"/>
    <col min="10012" max="10235" width="8.7" style="431"/>
    <col min="10236" max="10236" width="12.3" style="431" customWidth="1"/>
    <col min="10237" max="10237" width="29" style="431" customWidth="1"/>
    <col min="10238" max="10238" width="5.7" style="431" customWidth="1"/>
    <col min="10239" max="10240" width="8.7" style="431" hidden="1" customWidth="1"/>
    <col min="10241" max="10241" width="10.2" style="431" customWidth="1"/>
    <col min="10242" max="10242" width="11.2" style="431" customWidth="1"/>
    <col min="10243" max="10243" width="10.7" style="431" customWidth="1"/>
    <col min="10244" max="10244" width="11.3" style="431" customWidth="1"/>
    <col min="10245" max="10247" width="12" style="431" customWidth="1"/>
    <col min="10248" max="10249" width="13.3" style="431" customWidth="1"/>
    <col min="10250" max="10267" width="9" style="431" customWidth="1"/>
    <col min="10268" max="10491" width="8.7" style="431"/>
    <col min="10492" max="10492" width="12.3" style="431" customWidth="1"/>
    <col min="10493" max="10493" width="29" style="431" customWidth="1"/>
    <col min="10494" max="10494" width="5.7" style="431" customWidth="1"/>
    <col min="10495" max="10496" width="8.7" style="431" hidden="1" customWidth="1"/>
    <col min="10497" max="10497" width="10.2" style="431" customWidth="1"/>
    <col min="10498" max="10498" width="11.2" style="431" customWidth="1"/>
    <col min="10499" max="10499" width="10.7" style="431" customWidth="1"/>
    <col min="10500" max="10500" width="11.3" style="431" customWidth="1"/>
    <col min="10501" max="10503" width="12" style="431" customWidth="1"/>
    <col min="10504" max="10505" width="13.3" style="431" customWidth="1"/>
    <col min="10506" max="10523" width="9" style="431" customWidth="1"/>
    <col min="10524" max="10747" width="8.7" style="431"/>
    <col min="10748" max="10748" width="12.3" style="431" customWidth="1"/>
    <col min="10749" max="10749" width="29" style="431" customWidth="1"/>
    <col min="10750" max="10750" width="5.7" style="431" customWidth="1"/>
    <col min="10751" max="10752" width="8.7" style="431" hidden="1" customWidth="1"/>
    <col min="10753" max="10753" width="10.2" style="431" customWidth="1"/>
    <col min="10754" max="10754" width="11.2" style="431" customWidth="1"/>
    <col min="10755" max="10755" width="10.7" style="431" customWidth="1"/>
    <col min="10756" max="10756" width="11.3" style="431" customWidth="1"/>
    <col min="10757" max="10759" width="12" style="431" customWidth="1"/>
    <col min="10760" max="10761" width="13.3" style="431" customWidth="1"/>
    <col min="10762" max="10779" width="9" style="431" customWidth="1"/>
    <col min="10780" max="11003" width="8.7" style="431"/>
    <col min="11004" max="11004" width="12.3" style="431" customWidth="1"/>
    <col min="11005" max="11005" width="29" style="431" customWidth="1"/>
    <col min="11006" max="11006" width="5.7" style="431" customWidth="1"/>
    <col min="11007" max="11008" width="8.7" style="431" hidden="1" customWidth="1"/>
    <col min="11009" max="11009" width="10.2" style="431" customWidth="1"/>
    <col min="11010" max="11010" width="11.2" style="431" customWidth="1"/>
    <col min="11011" max="11011" width="10.7" style="431" customWidth="1"/>
    <col min="11012" max="11012" width="11.3" style="431" customWidth="1"/>
    <col min="11013" max="11015" width="12" style="431" customWidth="1"/>
    <col min="11016" max="11017" width="13.3" style="431" customWidth="1"/>
    <col min="11018" max="11035" width="9" style="431" customWidth="1"/>
    <col min="11036" max="11259" width="8.7" style="431"/>
    <col min="11260" max="11260" width="12.3" style="431" customWidth="1"/>
    <col min="11261" max="11261" width="29" style="431" customWidth="1"/>
    <col min="11262" max="11262" width="5.7" style="431" customWidth="1"/>
    <col min="11263" max="11264" width="8.7" style="431" hidden="1" customWidth="1"/>
    <col min="11265" max="11265" width="10.2" style="431" customWidth="1"/>
    <col min="11266" max="11266" width="11.2" style="431" customWidth="1"/>
    <col min="11267" max="11267" width="10.7" style="431" customWidth="1"/>
    <col min="11268" max="11268" width="11.3" style="431" customWidth="1"/>
    <col min="11269" max="11271" width="12" style="431" customWidth="1"/>
    <col min="11272" max="11273" width="13.3" style="431" customWidth="1"/>
    <col min="11274" max="11291" width="9" style="431" customWidth="1"/>
    <col min="11292" max="11515" width="8.7" style="431"/>
    <col min="11516" max="11516" width="12.3" style="431" customWidth="1"/>
    <col min="11517" max="11517" width="29" style="431" customWidth="1"/>
    <col min="11518" max="11518" width="5.7" style="431" customWidth="1"/>
    <col min="11519" max="11520" width="8.7" style="431" hidden="1" customWidth="1"/>
    <col min="11521" max="11521" width="10.2" style="431" customWidth="1"/>
    <col min="11522" max="11522" width="11.2" style="431" customWidth="1"/>
    <col min="11523" max="11523" width="10.7" style="431" customWidth="1"/>
    <col min="11524" max="11524" width="11.3" style="431" customWidth="1"/>
    <col min="11525" max="11527" width="12" style="431" customWidth="1"/>
    <col min="11528" max="11529" width="13.3" style="431" customWidth="1"/>
    <col min="11530" max="11547" width="9" style="431" customWidth="1"/>
    <col min="11548" max="11771" width="8.7" style="431"/>
    <col min="11772" max="11772" width="12.3" style="431" customWidth="1"/>
    <col min="11773" max="11773" width="29" style="431" customWidth="1"/>
    <col min="11774" max="11774" width="5.7" style="431" customWidth="1"/>
    <col min="11775" max="11776" width="8.7" style="431" hidden="1" customWidth="1"/>
    <col min="11777" max="11777" width="10.2" style="431" customWidth="1"/>
    <col min="11778" max="11778" width="11.2" style="431" customWidth="1"/>
    <col min="11779" max="11779" width="10.7" style="431" customWidth="1"/>
    <col min="11780" max="11780" width="11.3" style="431" customWidth="1"/>
    <col min="11781" max="11783" width="12" style="431" customWidth="1"/>
    <col min="11784" max="11785" width="13.3" style="431" customWidth="1"/>
    <col min="11786" max="11803" width="9" style="431" customWidth="1"/>
    <col min="11804" max="12027" width="8.7" style="431"/>
    <col min="12028" max="12028" width="12.3" style="431" customWidth="1"/>
    <col min="12029" max="12029" width="29" style="431" customWidth="1"/>
    <col min="12030" max="12030" width="5.7" style="431" customWidth="1"/>
    <col min="12031" max="12032" width="8.7" style="431" hidden="1" customWidth="1"/>
    <col min="12033" max="12033" width="10.2" style="431" customWidth="1"/>
    <col min="12034" max="12034" width="11.2" style="431" customWidth="1"/>
    <col min="12035" max="12035" width="10.7" style="431" customWidth="1"/>
    <col min="12036" max="12036" width="11.3" style="431" customWidth="1"/>
    <col min="12037" max="12039" width="12" style="431" customWidth="1"/>
    <col min="12040" max="12041" width="13.3" style="431" customWidth="1"/>
    <col min="12042" max="12059" width="9" style="431" customWidth="1"/>
    <col min="12060" max="12283" width="8.7" style="431"/>
    <col min="12284" max="12284" width="12.3" style="431" customWidth="1"/>
    <col min="12285" max="12285" width="29" style="431" customWidth="1"/>
    <col min="12286" max="12286" width="5.7" style="431" customWidth="1"/>
    <col min="12287" max="12288" width="8.7" style="431" hidden="1" customWidth="1"/>
    <col min="12289" max="12289" width="10.2" style="431" customWidth="1"/>
    <col min="12290" max="12290" width="11.2" style="431" customWidth="1"/>
    <col min="12291" max="12291" width="10.7" style="431" customWidth="1"/>
    <col min="12292" max="12292" width="11.3" style="431" customWidth="1"/>
    <col min="12293" max="12295" width="12" style="431" customWidth="1"/>
    <col min="12296" max="12297" width="13.3" style="431" customWidth="1"/>
    <col min="12298" max="12315" width="9" style="431" customWidth="1"/>
    <col min="12316" max="12539" width="8.7" style="431"/>
    <col min="12540" max="12540" width="12.3" style="431" customWidth="1"/>
    <col min="12541" max="12541" width="29" style="431" customWidth="1"/>
    <col min="12542" max="12542" width="5.7" style="431" customWidth="1"/>
    <col min="12543" max="12544" width="8.7" style="431" hidden="1" customWidth="1"/>
    <col min="12545" max="12545" width="10.2" style="431" customWidth="1"/>
    <col min="12546" max="12546" width="11.2" style="431" customWidth="1"/>
    <col min="12547" max="12547" width="10.7" style="431" customWidth="1"/>
    <col min="12548" max="12548" width="11.3" style="431" customWidth="1"/>
    <col min="12549" max="12551" width="12" style="431" customWidth="1"/>
    <col min="12552" max="12553" width="13.3" style="431" customWidth="1"/>
    <col min="12554" max="12571" width="9" style="431" customWidth="1"/>
    <col min="12572" max="12795" width="8.7" style="431"/>
    <col min="12796" max="12796" width="12.3" style="431" customWidth="1"/>
    <col min="12797" max="12797" width="29" style="431" customWidth="1"/>
    <col min="12798" max="12798" width="5.7" style="431" customWidth="1"/>
    <col min="12799" max="12800" width="8.7" style="431" hidden="1" customWidth="1"/>
    <col min="12801" max="12801" width="10.2" style="431" customWidth="1"/>
    <col min="12802" max="12802" width="11.2" style="431" customWidth="1"/>
    <col min="12803" max="12803" width="10.7" style="431" customWidth="1"/>
    <col min="12804" max="12804" width="11.3" style="431" customWidth="1"/>
    <col min="12805" max="12807" width="12" style="431" customWidth="1"/>
    <col min="12808" max="12809" width="13.3" style="431" customWidth="1"/>
    <col min="12810" max="12827" width="9" style="431" customWidth="1"/>
    <col min="12828" max="13051" width="8.7" style="431"/>
    <col min="13052" max="13052" width="12.3" style="431" customWidth="1"/>
    <col min="13053" max="13053" width="29" style="431" customWidth="1"/>
    <col min="13054" max="13054" width="5.7" style="431" customWidth="1"/>
    <col min="13055" max="13056" width="8.7" style="431" hidden="1" customWidth="1"/>
    <col min="13057" max="13057" width="10.2" style="431" customWidth="1"/>
    <col min="13058" max="13058" width="11.2" style="431" customWidth="1"/>
    <col min="13059" max="13059" width="10.7" style="431" customWidth="1"/>
    <col min="13060" max="13060" width="11.3" style="431" customWidth="1"/>
    <col min="13061" max="13063" width="12" style="431" customWidth="1"/>
    <col min="13064" max="13065" width="13.3" style="431" customWidth="1"/>
    <col min="13066" max="13083" width="9" style="431" customWidth="1"/>
    <col min="13084" max="13307" width="8.7" style="431"/>
    <col min="13308" max="13308" width="12.3" style="431" customWidth="1"/>
    <col min="13309" max="13309" width="29" style="431" customWidth="1"/>
    <col min="13310" max="13310" width="5.7" style="431" customWidth="1"/>
    <col min="13311" max="13312" width="8.7" style="431" hidden="1" customWidth="1"/>
    <col min="13313" max="13313" width="10.2" style="431" customWidth="1"/>
    <col min="13314" max="13314" width="11.2" style="431" customWidth="1"/>
    <col min="13315" max="13315" width="10.7" style="431" customWidth="1"/>
    <col min="13316" max="13316" width="11.3" style="431" customWidth="1"/>
    <col min="13317" max="13319" width="12" style="431" customWidth="1"/>
    <col min="13320" max="13321" width="13.3" style="431" customWidth="1"/>
    <col min="13322" max="13339" width="9" style="431" customWidth="1"/>
    <col min="13340" max="13563" width="8.7" style="431"/>
    <col min="13564" max="13564" width="12.3" style="431" customWidth="1"/>
    <col min="13565" max="13565" width="29" style="431" customWidth="1"/>
    <col min="13566" max="13566" width="5.7" style="431" customWidth="1"/>
    <col min="13567" max="13568" width="8.7" style="431" hidden="1" customWidth="1"/>
    <col min="13569" max="13569" width="10.2" style="431" customWidth="1"/>
    <col min="13570" max="13570" width="11.2" style="431" customWidth="1"/>
    <col min="13571" max="13571" width="10.7" style="431" customWidth="1"/>
    <col min="13572" max="13572" width="11.3" style="431" customWidth="1"/>
    <col min="13573" max="13575" width="12" style="431" customWidth="1"/>
    <col min="13576" max="13577" width="13.3" style="431" customWidth="1"/>
    <col min="13578" max="13595" width="9" style="431" customWidth="1"/>
    <col min="13596" max="13819" width="8.7" style="431"/>
    <col min="13820" max="13820" width="12.3" style="431" customWidth="1"/>
    <col min="13821" max="13821" width="29" style="431" customWidth="1"/>
    <col min="13822" max="13822" width="5.7" style="431" customWidth="1"/>
    <col min="13823" max="13824" width="8.7" style="431" hidden="1" customWidth="1"/>
    <col min="13825" max="13825" width="10.2" style="431" customWidth="1"/>
    <col min="13826" max="13826" width="11.2" style="431" customWidth="1"/>
    <col min="13827" max="13827" width="10.7" style="431" customWidth="1"/>
    <col min="13828" max="13828" width="11.3" style="431" customWidth="1"/>
    <col min="13829" max="13831" width="12" style="431" customWidth="1"/>
    <col min="13832" max="13833" width="13.3" style="431" customWidth="1"/>
    <col min="13834" max="13851" width="9" style="431" customWidth="1"/>
    <col min="13852" max="14075" width="8.7" style="431"/>
    <col min="14076" max="14076" width="12.3" style="431" customWidth="1"/>
    <col min="14077" max="14077" width="29" style="431" customWidth="1"/>
    <col min="14078" max="14078" width="5.7" style="431" customWidth="1"/>
    <col min="14079" max="14080" width="8.7" style="431" hidden="1" customWidth="1"/>
    <col min="14081" max="14081" width="10.2" style="431" customWidth="1"/>
    <col min="14082" max="14082" width="11.2" style="431" customWidth="1"/>
    <col min="14083" max="14083" width="10.7" style="431" customWidth="1"/>
    <col min="14084" max="14084" width="11.3" style="431" customWidth="1"/>
    <col min="14085" max="14087" width="12" style="431" customWidth="1"/>
    <col min="14088" max="14089" width="13.3" style="431" customWidth="1"/>
    <col min="14090" max="14107" width="9" style="431" customWidth="1"/>
    <col min="14108" max="14331" width="8.7" style="431"/>
    <col min="14332" max="14332" width="12.3" style="431" customWidth="1"/>
    <col min="14333" max="14333" width="29" style="431" customWidth="1"/>
    <col min="14334" max="14334" width="5.7" style="431" customWidth="1"/>
    <col min="14335" max="14336" width="8.7" style="431" hidden="1" customWidth="1"/>
    <col min="14337" max="14337" width="10.2" style="431" customWidth="1"/>
    <col min="14338" max="14338" width="11.2" style="431" customWidth="1"/>
    <col min="14339" max="14339" width="10.7" style="431" customWidth="1"/>
    <col min="14340" max="14340" width="11.3" style="431" customWidth="1"/>
    <col min="14341" max="14343" width="12" style="431" customWidth="1"/>
    <col min="14344" max="14345" width="13.3" style="431" customWidth="1"/>
    <col min="14346" max="14363" width="9" style="431" customWidth="1"/>
    <col min="14364" max="14587" width="8.7" style="431"/>
    <col min="14588" max="14588" width="12.3" style="431" customWidth="1"/>
    <col min="14589" max="14589" width="29" style="431" customWidth="1"/>
    <col min="14590" max="14590" width="5.7" style="431" customWidth="1"/>
    <col min="14591" max="14592" width="8.7" style="431" hidden="1" customWidth="1"/>
    <col min="14593" max="14593" width="10.2" style="431" customWidth="1"/>
    <col min="14594" max="14594" width="11.2" style="431" customWidth="1"/>
    <col min="14595" max="14595" width="10.7" style="431" customWidth="1"/>
    <col min="14596" max="14596" width="11.3" style="431" customWidth="1"/>
    <col min="14597" max="14599" width="12" style="431" customWidth="1"/>
    <col min="14600" max="14601" width="13.3" style="431" customWidth="1"/>
    <col min="14602" max="14619" width="9" style="431" customWidth="1"/>
    <col min="14620" max="14843" width="8.7" style="431"/>
    <col min="14844" max="14844" width="12.3" style="431" customWidth="1"/>
    <col min="14845" max="14845" width="29" style="431" customWidth="1"/>
    <col min="14846" max="14846" width="5.7" style="431" customWidth="1"/>
    <col min="14847" max="14848" width="8.7" style="431" hidden="1" customWidth="1"/>
    <col min="14849" max="14849" width="10.2" style="431" customWidth="1"/>
    <col min="14850" max="14850" width="11.2" style="431" customWidth="1"/>
    <col min="14851" max="14851" width="10.7" style="431" customWidth="1"/>
    <col min="14852" max="14852" width="11.3" style="431" customWidth="1"/>
    <col min="14853" max="14855" width="12" style="431" customWidth="1"/>
    <col min="14856" max="14857" width="13.3" style="431" customWidth="1"/>
    <col min="14858" max="14875" width="9" style="431" customWidth="1"/>
    <col min="14876" max="15099" width="8.7" style="431"/>
    <col min="15100" max="15100" width="12.3" style="431" customWidth="1"/>
    <col min="15101" max="15101" width="29" style="431" customWidth="1"/>
    <col min="15102" max="15102" width="5.7" style="431" customWidth="1"/>
    <col min="15103" max="15104" width="8.7" style="431" hidden="1" customWidth="1"/>
    <col min="15105" max="15105" width="10.2" style="431" customWidth="1"/>
    <col min="15106" max="15106" width="11.2" style="431" customWidth="1"/>
    <col min="15107" max="15107" width="10.7" style="431" customWidth="1"/>
    <col min="15108" max="15108" width="11.3" style="431" customWidth="1"/>
    <col min="15109" max="15111" width="12" style="431" customWidth="1"/>
    <col min="15112" max="15113" width="13.3" style="431" customWidth="1"/>
    <col min="15114" max="15131" width="9" style="431" customWidth="1"/>
    <col min="15132" max="15355" width="8.7" style="431"/>
    <col min="15356" max="15356" width="12.3" style="431" customWidth="1"/>
    <col min="15357" max="15357" width="29" style="431" customWidth="1"/>
    <col min="15358" max="15358" width="5.7" style="431" customWidth="1"/>
    <col min="15359" max="15360" width="8.7" style="431" hidden="1" customWidth="1"/>
    <col min="15361" max="15361" width="10.2" style="431" customWidth="1"/>
    <col min="15362" max="15362" width="11.2" style="431" customWidth="1"/>
    <col min="15363" max="15363" width="10.7" style="431" customWidth="1"/>
    <col min="15364" max="15364" width="11.3" style="431" customWidth="1"/>
    <col min="15365" max="15367" width="12" style="431" customWidth="1"/>
    <col min="15368" max="15369" width="13.3" style="431" customWidth="1"/>
    <col min="15370" max="15387" width="9" style="431" customWidth="1"/>
    <col min="15388" max="15611" width="8.7" style="431"/>
    <col min="15612" max="15612" width="12.3" style="431" customWidth="1"/>
    <col min="15613" max="15613" width="29" style="431" customWidth="1"/>
    <col min="15614" max="15614" width="5.7" style="431" customWidth="1"/>
    <col min="15615" max="15616" width="8.7" style="431" hidden="1" customWidth="1"/>
    <col min="15617" max="15617" width="10.2" style="431" customWidth="1"/>
    <col min="15618" max="15618" width="11.2" style="431" customWidth="1"/>
    <col min="15619" max="15619" width="10.7" style="431" customWidth="1"/>
    <col min="15620" max="15620" width="11.3" style="431" customWidth="1"/>
    <col min="15621" max="15623" width="12" style="431" customWidth="1"/>
    <col min="15624" max="15625" width="13.3" style="431" customWidth="1"/>
    <col min="15626" max="15643" width="9" style="431" customWidth="1"/>
    <col min="15644" max="15867" width="8.7" style="431"/>
    <col min="15868" max="15868" width="12.3" style="431" customWidth="1"/>
    <col min="15869" max="15869" width="29" style="431" customWidth="1"/>
    <col min="15870" max="15870" width="5.7" style="431" customWidth="1"/>
    <col min="15871" max="15872" width="8.7" style="431" hidden="1" customWidth="1"/>
    <col min="15873" max="15873" width="10.2" style="431" customWidth="1"/>
    <col min="15874" max="15874" width="11.2" style="431" customWidth="1"/>
    <col min="15875" max="15875" width="10.7" style="431" customWidth="1"/>
    <col min="15876" max="15876" width="11.3" style="431" customWidth="1"/>
    <col min="15877" max="15879" width="12" style="431" customWidth="1"/>
    <col min="15880" max="15881" width="13.3" style="431" customWidth="1"/>
    <col min="15882" max="15899" width="9" style="431" customWidth="1"/>
    <col min="15900" max="16123" width="8.7" style="431"/>
    <col min="16124" max="16124" width="12.3" style="431" customWidth="1"/>
    <col min="16125" max="16125" width="29" style="431" customWidth="1"/>
    <col min="16126" max="16126" width="5.7" style="431" customWidth="1"/>
    <col min="16127" max="16128" width="8.7" style="431" hidden="1" customWidth="1"/>
    <col min="16129" max="16129" width="10.2" style="431" customWidth="1"/>
    <col min="16130" max="16130" width="11.2" style="431" customWidth="1"/>
    <col min="16131" max="16131" width="10.7" style="431" customWidth="1"/>
    <col min="16132" max="16132" width="11.3" style="431" customWidth="1"/>
    <col min="16133" max="16135" width="12" style="431" customWidth="1"/>
    <col min="16136" max="16137" width="13.3" style="431" customWidth="1"/>
    <col min="16138" max="16155" width="9" style="431" customWidth="1"/>
    <col min="16156" max="16384" width="8.7" style="431"/>
  </cols>
  <sheetData>
    <row r="1" s="428" customFormat="1" ht="20.25" hidden="1" customHeight="1" spans="2:2">
      <c r="B1" s="433"/>
    </row>
    <row r="2" ht="39.75" customHeight="1" spans="1:8">
      <c r="A2" s="434" t="s">
        <v>1158</v>
      </c>
      <c r="B2" s="434"/>
      <c r="C2" s="434"/>
      <c r="D2" s="434"/>
      <c r="E2" s="434"/>
      <c r="F2" s="434"/>
      <c r="G2" s="434"/>
      <c r="H2" s="434"/>
    </row>
    <row r="3" s="429" customFormat="1" ht="15.75" customHeight="1" spans="1:9">
      <c r="A3" s="435"/>
      <c r="B3" s="435"/>
      <c r="C3" s="435"/>
      <c r="I3" s="455" t="s">
        <v>1159</v>
      </c>
    </row>
    <row r="4" s="429" customFormat="1" ht="15.75" customHeight="1" spans="1:9">
      <c r="A4" s="436" t="str">
        <f>封面!B2</f>
        <v>被评估单位：福建卫东新能源股份有限公司</v>
      </c>
      <c r="D4" s="429">
        <f>-2708268.12/10000</f>
        <v>-270.826812</v>
      </c>
      <c r="E4" s="429">
        <f>D7+D4-D8</f>
        <v>-138.348680960399</v>
      </c>
      <c r="I4" s="455" t="s">
        <v>1160</v>
      </c>
    </row>
    <row r="5" s="429" customFormat="1" spans="1:9">
      <c r="A5" s="437" t="s">
        <v>29</v>
      </c>
      <c r="B5" s="437" t="s">
        <v>195</v>
      </c>
      <c r="C5" s="437" t="s">
        <v>1161</v>
      </c>
      <c r="D5" s="438" t="s">
        <v>1162</v>
      </c>
      <c r="E5" s="438"/>
      <c r="F5" s="438"/>
      <c r="G5" s="438"/>
      <c r="H5" s="438"/>
      <c r="I5" s="438"/>
    </row>
    <row r="6" ht="25.5" customHeight="1" spans="1:9">
      <c r="A6" s="437"/>
      <c r="B6" s="437"/>
      <c r="C6" s="437"/>
      <c r="D6" s="439" t="s">
        <v>247</v>
      </c>
      <c r="E6" s="439" t="s">
        <v>248</v>
      </c>
      <c r="F6" s="439" t="s">
        <v>249</v>
      </c>
      <c r="G6" s="439" t="s">
        <v>250</v>
      </c>
      <c r="H6" s="439" t="s">
        <v>251</v>
      </c>
      <c r="I6" s="439" t="s">
        <v>1163</v>
      </c>
    </row>
    <row r="7" s="430" customFormat="1" ht="18" customHeight="1" spans="1:9">
      <c r="A7" s="440">
        <v>1</v>
      </c>
      <c r="B7" s="441" t="s">
        <v>1164</v>
      </c>
      <c r="C7" s="442">
        <v>0.17</v>
      </c>
      <c r="D7" s="443">
        <f>收入预测表!C9*税金及附加预测表!$C$7</f>
        <v>467.6989</v>
      </c>
      <c r="E7" s="443">
        <f>收入预测表!D9*税金及附加预测表!$C$7</f>
        <v>561.23868</v>
      </c>
      <c r="F7" s="443">
        <f>收入预测表!E9*税金及附加预测表!$C$7</f>
        <v>662.2616424</v>
      </c>
      <c r="G7" s="443">
        <f>收入预测表!F9*税金及附加预测表!$C$7</f>
        <v>761.60088876</v>
      </c>
      <c r="H7" s="443">
        <f>收入预测表!G9*税金及附加预测表!$C$7</f>
        <v>837.760977636</v>
      </c>
      <c r="I7" s="443">
        <f>收入预测表!H9*税金及附加预测表!$C$7</f>
        <v>837.760977636</v>
      </c>
    </row>
    <row r="8" s="430" customFormat="1" ht="18" customHeight="1" spans="1:9">
      <c r="A8" s="440"/>
      <c r="B8" s="441" t="s">
        <v>1165</v>
      </c>
      <c r="C8" s="443"/>
      <c r="D8" s="443">
        <f>D36</f>
        <v>335.220768960399</v>
      </c>
      <c r="E8" s="443">
        <f t="shared" ref="E8:I8" si="0">E36</f>
        <v>389.123191232478</v>
      </c>
      <c r="F8" s="443">
        <f t="shared" si="0"/>
        <v>447.337807286325</v>
      </c>
      <c r="G8" s="443">
        <f t="shared" si="0"/>
        <v>504.582179739273</v>
      </c>
      <c r="H8" s="443">
        <f t="shared" si="0"/>
        <v>548.469531953201</v>
      </c>
      <c r="I8" s="443">
        <f t="shared" si="0"/>
        <v>548.469531953201</v>
      </c>
    </row>
    <row r="9" s="430" customFormat="1" ht="18" customHeight="1" spans="1:9">
      <c r="A9" s="440"/>
      <c r="B9" s="441" t="s">
        <v>1166</v>
      </c>
      <c r="C9" s="444"/>
      <c r="D9" s="445">
        <v>0</v>
      </c>
      <c r="E9" s="445">
        <f>E7-E8+E4</f>
        <v>33.7668078071228</v>
      </c>
      <c r="F9" s="445">
        <f t="shared" ref="F9:I9" si="1">F7-F8</f>
        <v>214.923835113675</v>
      </c>
      <c r="G9" s="445">
        <f t="shared" si="1"/>
        <v>257.018709020727</v>
      </c>
      <c r="H9" s="445">
        <f t="shared" si="1"/>
        <v>289.291445682799</v>
      </c>
      <c r="I9" s="445">
        <f t="shared" si="1"/>
        <v>289.291445682799</v>
      </c>
    </row>
    <row r="10" s="430" customFormat="1" ht="18" customHeight="1" spans="1:9">
      <c r="A10" s="440">
        <v>2</v>
      </c>
      <c r="B10" s="441" t="s">
        <v>1167</v>
      </c>
      <c r="C10" s="443"/>
      <c r="D10" s="443"/>
      <c r="E10" s="443"/>
      <c r="F10" s="443"/>
      <c r="G10" s="443"/>
      <c r="H10" s="443"/>
      <c r="I10" s="443"/>
    </row>
    <row r="11" s="430" customFormat="1" ht="18" customHeight="1" spans="1:9">
      <c r="A11" s="440">
        <v>3</v>
      </c>
      <c r="B11" s="441" t="s">
        <v>1168</v>
      </c>
      <c r="C11" s="443"/>
      <c r="D11" s="443"/>
      <c r="E11" s="443"/>
      <c r="F11" s="443"/>
      <c r="G11" s="443"/>
      <c r="H11" s="443"/>
      <c r="I11" s="443"/>
    </row>
    <row r="12" s="430" customFormat="1" ht="18" customHeight="1" spans="1:9">
      <c r="A12" s="440">
        <v>4</v>
      </c>
      <c r="B12" s="441" t="s">
        <v>1169</v>
      </c>
      <c r="C12" s="446">
        <v>0.07</v>
      </c>
      <c r="D12" s="443">
        <f t="shared" ref="D12:I14" si="2">D$9*$C12</f>
        <v>0</v>
      </c>
      <c r="E12" s="443">
        <f>E9*$C$12</f>
        <v>2.3636765464986</v>
      </c>
      <c r="F12" s="443">
        <f t="shared" ref="F12:I12" si="3">F9*$C$12</f>
        <v>15.0446684579573</v>
      </c>
      <c r="G12" s="443">
        <f t="shared" si="3"/>
        <v>17.9913096314509</v>
      </c>
      <c r="H12" s="443">
        <f t="shared" si="3"/>
        <v>20.250401197796</v>
      </c>
      <c r="I12" s="443">
        <f t="shared" si="3"/>
        <v>20.250401197796</v>
      </c>
    </row>
    <row r="13" s="430" customFormat="1" ht="18" customHeight="1" spans="1:9">
      <c r="A13" s="440">
        <v>5</v>
      </c>
      <c r="B13" s="441" t="s">
        <v>1170</v>
      </c>
      <c r="C13" s="446">
        <v>0.03</v>
      </c>
      <c r="D13" s="443">
        <f t="shared" si="2"/>
        <v>0</v>
      </c>
      <c r="E13" s="443">
        <f t="shared" si="2"/>
        <v>1.01300423421368</v>
      </c>
      <c r="F13" s="443">
        <f t="shared" si="2"/>
        <v>6.44771505341026</v>
      </c>
      <c r="G13" s="443">
        <f t="shared" si="2"/>
        <v>7.7105612706218</v>
      </c>
      <c r="H13" s="443">
        <f t="shared" si="2"/>
        <v>8.67874337048398</v>
      </c>
      <c r="I13" s="443">
        <f t="shared" si="2"/>
        <v>8.67874337048398</v>
      </c>
    </row>
    <row r="14" s="430" customFormat="1" ht="18" customHeight="1" spans="1:9">
      <c r="A14" s="440">
        <v>6</v>
      </c>
      <c r="B14" s="441" t="s">
        <v>1171</v>
      </c>
      <c r="C14" s="446">
        <v>0.02</v>
      </c>
      <c r="D14" s="443">
        <f t="shared" si="2"/>
        <v>0</v>
      </c>
      <c r="E14" s="443">
        <f t="shared" si="2"/>
        <v>0.675336156142456</v>
      </c>
      <c r="F14" s="443">
        <f t="shared" si="2"/>
        <v>4.29847670227351</v>
      </c>
      <c r="G14" s="443">
        <f t="shared" si="2"/>
        <v>5.14037418041453</v>
      </c>
      <c r="H14" s="443">
        <f t="shared" si="2"/>
        <v>5.78582891365599</v>
      </c>
      <c r="I14" s="443">
        <f t="shared" si="2"/>
        <v>5.78582891365599</v>
      </c>
    </row>
    <row r="15" s="430" customFormat="1" ht="18" customHeight="1" spans="1:9">
      <c r="A15" s="440">
        <v>7</v>
      </c>
      <c r="B15" s="441" t="s">
        <v>1172</v>
      </c>
      <c r="C15" s="447"/>
      <c r="D15" s="443"/>
      <c r="E15" s="443"/>
      <c r="F15" s="443"/>
      <c r="G15" s="443"/>
      <c r="H15" s="443"/>
      <c r="I15" s="443"/>
    </row>
    <row r="16" s="430" customFormat="1" ht="18" customHeight="1" spans="1:9">
      <c r="A16" s="440"/>
      <c r="B16" s="441" t="s">
        <v>1173</v>
      </c>
      <c r="C16" s="447"/>
      <c r="D16" s="443"/>
      <c r="E16" s="443"/>
      <c r="F16" s="443"/>
      <c r="G16" s="443"/>
      <c r="H16" s="443"/>
      <c r="I16" s="443"/>
    </row>
    <row r="17" s="430" customFormat="1" ht="18" customHeight="1" spans="1:9">
      <c r="A17" s="440"/>
      <c r="B17" s="441" t="s">
        <v>1174</v>
      </c>
      <c r="C17" s="447">
        <v>0.0003</v>
      </c>
      <c r="D17" s="443">
        <f>收入预测表!C9*税金及附加预测表!$C$17</f>
        <v>0.825351</v>
      </c>
      <c r="E17" s="443">
        <f>收入预测表!D9*税金及附加预测表!$C$17</f>
        <v>0.9904212</v>
      </c>
      <c r="F17" s="443">
        <f>收入预测表!E9*税金及附加预测表!$C$17</f>
        <v>1.168697016</v>
      </c>
      <c r="G17" s="443">
        <f>收入预测表!F9*税金及附加预测表!$C$17</f>
        <v>1.3440015684</v>
      </c>
      <c r="H17" s="443">
        <f>收入预测表!G9*税金及附加预测表!$C$17</f>
        <v>1.47840172524</v>
      </c>
      <c r="I17" s="443">
        <f>收入预测表!H9*税金及附加预测表!$C$17</f>
        <v>1.47840172524</v>
      </c>
    </row>
    <row r="18" s="430" customFormat="1" ht="18" customHeight="1" spans="1:9">
      <c r="A18" s="440"/>
      <c r="B18" s="441" t="s">
        <v>1175</v>
      </c>
      <c r="C18" s="447"/>
      <c r="D18" s="443"/>
      <c r="E18" s="443"/>
      <c r="F18" s="443"/>
      <c r="G18" s="443"/>
      <c r="H18" s="443"/>
      <c r="I18" s="443"/>
    </row>
    <row r="19" s="430" customFormat="1" ht="18" customHeight="1" spans="1:9">
      <c r="A19" s="440"/>
      <c r="B19" s="441" t="s">
        <v>1176</v>
      </c>
      <c r="C19" s="447"/>
      <c r="D19" s="443"/>
      <c r="E19" s="443"/>
      <c r="F19" s="443"/>
      <c r="G19" s="443"/>
      <c r="H19" s="443"/>
      <c r="I19" s="443"/>
    </row>
    <row r="20" s="430" customFormat="1" ht="18" customHeight="1" spans="1:9">
      <c r="A20" s="440"/>
      <c r="B20" s="441" t="s">
        <v>1177</v>
      </c>
      <c r="C20" s="447"/>
      <c r="D20" s="443"/>
      <c r="E20" s="443"/>
      <c r="F20" s="443"/>
      <c r="G20" s="443"/>
      <c r="H20" s="443"/>
      <c r="I20" s="443"/>
    </row>
    <row r="21" s="430" customFormat="1" ht="18" customHeight="1" spans="1:9">
      <c r="A21" s="440"/>
      <c r="B21" s="441" t="s">
        <v>1178</v>
      </c>
      <c r="C21" s="447"/>
      <c r="D21" s="443"/>
      <c r="E21" s="443"/>
      <c r="F21" s="443"/>
      <c r="G21" s="443"/>
      <c r="H21" s="443"/>
      <c r="I21" s="443"/>
    </row>
    <row r="22" s="430" customFormat="1" ht="18" customHeight="1" spans="1:9">
      <c r="A22" s="440"/>
      <c r="B22" s="441" t="s">
        <v>1175</v>
      </c>
      <c r="C22" s="447"/>
      <c r="D22" s="443"/>
      <c r="E22" s="443"/>
      <c r="F22" s="443"/>
      <c r="G22" s="443"/>
      <c r="H22" s="443"/>
      <c r="I22" s="443"/>
    </row>
    <row r="23" s="430" customFormat="1" ht="18" customHeight="1" spans="1:9">
      <c r="A23" s="440">
        <v>8</v>
      </c>
      <c r="B23" s="441" t="s">
        <v>1179</v>
      </c>
      <c r="C23" s="444"/>
      <c r="D23" s="445">
        <f>D12+D13+D14+D17</f>
        <v>0.825351</v>
      </c>
      <c r="E23" s="445">
        <f t="shared" ref="E23:I23" si="4">E12+E13+E14+E17</f>
        <v>5.04243813685474</v>
      </c>
      <c r="F23" s="445">
        <f t="shared" si="4"/>
        <v>26.959557229641</v>
      </c>
      <c r="G23" s="445">
        <f t="shared" si="4"/>
        <v>32.1862466508872</v>
      </c>
      <c r="H23" s="445">
        <f t="shared" si="4"/>
        <v>36.1933752071759</v>
      </c>
      <c r="I23" s="445">
        <f t="shared" si="4"/>
        <v>36.1933752071759</v>
      </c>
    </row>
    <row r="24" s="430" customFormat="1" ht="20.25" customHeight="1" spans="1:9">
      <c r="A24" s="440"/>
      <c r="B24" s="448"/>
      <c r="C24" s="443"/>
      <c r="D24" s="449"/>
      <c r="E24" s="443"/>
      <c r="F24" s="443"/>
      <c r="G24" s="443"/>
      <c r="H24" s="443"/>
      <c r="I24" s="443"/>
    </row>
    <row r="25" ht="20.25" customHeight="1"/>
    <row r="26" spans="2:2">
      <c r="B26" s="450" t="s">
        <v>1180</v>
      </c>
    </row>
    <row r="27" spans="2:9">
      <c r="B27" s="451" t="s">
        <v>1181</v>
      </c>
      <c r="C27" s="452" t="s">
        <v>195</v>
      </c>
      <c r="D27" s="453" t="s">
        <v>247</v>
      </c>
      <c r="E27" s="453" t="s">
        <v>248</v>
      </c>
      <c r="F27" s="453" t="s">
        <v>249</v>
      </c>
      <c r="G27" s="453" t="s">
        <v>250</v>
      </c>
      <c r="H27" s="453" t="s">
        <v>251</v>
      </c>
      <c r="I27" s="453" t="s">
        <v>1182</v>
      </c>
    </row>
    <row r="28" spans="2:9">
      <c r="B28" s="451" t="s">
        <v>1133</v>
      </c>
      <c r="C28" s="452" t="s">
        <v>1183</v>
      </c>
      <c r="D28" s="453">
        <f>成本预测表!C6</f>
        <v>1580.51035506117</v>
      </c>
      <c r="E28" s="453">
        <f>成本预测表!D6</f>
        <v>1896.6124260734</v>
      </c>
      <c r="F28" s="453">
        <f>成本预测表!E6</f>
        <v>2238.00266276662</v>
      </c>
      <c r="G28" s="453">
        <f>成本预测表!F6</f>
        <v>2573.70306218161</v>
      </c>
      <c r="H28" s="453">
        <f>成本预测表!G6</f>
        <v>2831.07336839977</v>
      </c>
      <c r="I28" s="453">
        <f>成本预测表!H6</f>
        <v>2831.07336839977</v>
      </c>
    </row>
    <row r="29" spans="2:9">
      <c r="B29" s="451"/>
      <c r="C29" s="454">
        <v>0.17</v>
      </c>
      <c r="D29" s="453">
        <f>D28*$C$29</f>
        <v>268.686760360399</v>
      </c>
      <c r="E29" s="453">
        <f t="shared" ref="E29:I29" si="5">E28*$C$29</f>
        <v>322.424112432478</v>
      </c>
      <c r="F29" s="453">
        <f t="shared" si="5"/>
        <v>380.460452670325</v>
      </c>
      <c r="G29" s="453">
        <f t="shared" si="5"/>
        <v>437.529520570873</v>
      </c>
      <c r="H29" s="453">
        <f t="shared" si="5"/>
        <v>481.282472627961</v>
      </c>
      <c r="I29" s="453">
        <f t="shared" si="5"/>
        <v>481.282472627961</v>
      </c>
    </row>
    <row r="30" spans="2:9">
      <c r="B30" s="451" t="s">
        <v>373</v>
      </c>
      <c r="C30" s="452" t="s">
        <v>1183</v>
      </c>
      <c r="D30" s="453">
        <f>成本预测表!C10</f>
        <v>269.88</v>
      </c>
      <c r="E30" s="453">
        <f>成本预测表!D10</f>
        <v>269.88</v>
      </c>
      <c r="F30" s="453">
        <f>成本预测表!E10</f>
        <v>269.88</v>
      </c>
      <c r="G30" s="453">
        <f>成本预测表!F10</f>
        <v>269.88</v>
      </c>
      <c r="H30" s="453">
        <f>成本预测表!G10</f>
        <v>269.88</v>
      </c>
      <c r="I30" s="453">
        <f>成本预测表!H10</f>
        <v>269.88</v>
      </c>
    </row>
    <row r="31" spans="2:9">
      <c r="B31" s="451"/>
      <c r="C31" s="454">
        <v>0.11</v>
      </c>
      <c r="D31" s="453">
        <f>D30*$C$31</f>
        <v>29.6868</v>
      </c>
      <c r="E31" s="453">
        <f t="shared" ref="E31:I31" si="6">E30*$C$31</f>
        <v>29.6868</v>
      </c>
      <c r="F31" s="453">
        <f t="shared" si="6"/>
        <v>29.6868</v>
      </c>
      <c r="G31" s="453">
        <f t="shared" si="6"/>
        <v>29.6868</v>
      </c>
      <c r="H31" s="453">
        <f t="shared" si="6"/>
        <v>29.6868</v>
      </c>
      <c r="I31" s="453">
        <f t="shared" si="6"/>
        <v>29.6868</v>
      </c>
    </row>
    <row r="32" spans="2:9">
      <c r="B32" s="451" t="s">
        <v>1184</v>
      </c>
      <c r="C32" s="452" t="s">
        <v>1183</v>
      </c>
      <c r="D32" s="453">
        <f>销售费用!O9</f>
        <v>13.75585</v>
      </c>
      <c r="E32" s="453">
        <f>销售费用!P9</f>
        <v>16.50702</v>
      </c>
      <c r="F32" s="453">
        <f>销售费用!Q9</f>
        <v>19.4782836</v>
      </c>
      <c r="G32" s="453">
        <f>销售费用!R9</f>
        <v>22.40002614</v>
      </c>
      <c r="H32" s="453">
        <f>销售费用!S9</f>
        <v>24.640028754</v>
      </c>
      <c r="I32" s="453">
        <f>销售费用!T9</f>
        <v>24.640028754</v>
      </c>
    </row>
    <row r="33" spans="2:9">
      <c r="B33" s="451"/>
      <c r="C33" s="454">
        <v>0.06</v>
      </c>
      <c r="D33" s="453">
        <f>D32*$C$33</f>
        <v>0.825351</v>
      </c>
      <c r="E33" s="453">
        <f t="shared" ref="E33:I33" si="7">E32*$C$33</f>
        <v>0.9904212</v>
      </c>
      <c r="F33" s="453">
        <f t="shared" si="7"/>
        <v>1.168697016</v>
      </c>
      <c r="G33" s="453">
        <f t="shared" si="7"/>
        <v>1.3440015684</v>
      </c>
      <c r="H33" s="453">
        <f t="shared" si="7"/>
        <v>1.47840172524</v>
      </c>
      <c r="I33" s="453">
        <f t="shared" si="7"/>
        <v>1.47840172524</v>
      </c>
    </row>
    <row r="34" spans="2:9">
      <c r="B34" s="451" t="s">
        <v>1185</v>
      </c>
      <c r="C34" s="452" t="s">
        <v>1183</v>
      </c>
      <c r="D34" s="453">
        <f>折旧和资本化支出!D60</f>
        <v>211.89328</v>
      </c>
      <c r="E34" s="453">
        <f>折旧和资本化支出!E60</f>
        <v>211.89328</v>
      </c>
      <c r="F34" s="453">
        <f>折旧和资本化支出!F60</f>
        <v>211.89328</v>
      </c>
      <c r="G34" s="453">
        <f>折旧和资本化支出!G60</f>
        <v>211.89328</v>
      </c>
      <c r="H34" s="453">
        <f>折旧和资本化支出!H60</f>
        <v>211.89328</v>
      </c>
      <c r="I34" s="453">
        <f>折旧和资本化支出!I60</f>
        <v>211.89328</v>
      </c>
    </row>
    <row r="35" spans="2:9">
      <c r="B35" s="451"/>
      <c r="C35" s="454">
        <v>0.17</v>
      </c>
      <c r="D35" s="453">
        <f>D34*$C$35</f>
        <v>36.0218576</v>
      </c>
      <c r="E35" s="453">
        <f t="shared" ref="E35:I35" si="8">E34*$C$35</f>
        <v>36.0218576</v>
      </c>
      <c r="F35" s="453">
        <f t="shared" si="8"/>
        <v>36.0218576</v>
      </c>
      <c r="G35" s="453">
        <f t="shared" si="8"/>
        <v>36.0218576</v>
      </c>
      <c r="H35" s="453">
        <f t="shared" si="8"/>
        <v>36.0218576</v>
      </c>
      <c r="I35" s="453">
        <f t="shared" si="8"/>
        <v>36.0218576</v>
      </c>
    </row>
    <row r="36" spans="2:9">
      <c r="B36" s="451" t="s">
        <v>157</v>
      </c>
      <c r="C36" s="453"/>
      <c r="D36" s="453">
        <f>D29+D31+D33+D35</f>
        <v>335.220768960399</v>
      </c>
      <c r="E36" s="453">
        <f t="shared" ref="E36:I36" si="9">E29+E31+E33+E35</f>
        <v>389.123191232478</v>
      </c>
      <c r="F36" s="453">
        <f t="shared" si="9"/>
        <v>447.337807286325</v>
      </c>
      <c r="G36" s="453">
        <f t="shared" si="9"/>
        <v>504.582179739273</v>
      </c>
      <c r="H36" s="453">
        <f t="shared" si="9"/>
        <v>548.469531953201</v>
      </c>
      <c r="I36" s="453">
        <f t="shared" si="9"/>
        <v>548.469531953201</v>
      </c>
    </row>
  </sheetData>
  <mergeCells count="9">
    <mergeCell ref="A2:H2"/>
    <mergeCell ref="D5:I5"/>
    <mergeCell ref="A5:A6"/>
    <mergeCell ref="B5:B6"/>
    <mergeCell ref="B28:B29"/>
    <mergeCell ref="B30:B31"/>
    <mergeCell ref="B32:B33"/>
    <mergeCell ref="B34:B35"/>
    <mergeCell ref="C5:C6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workbookViewId="0">
      <selection activeCell="S16" sqref="S16"/>
    </sheetView>
  </sheetViews>
  <sheetFormatPr defaultColWidth="9" defaultRowHeight="14.25"/>
  <cols>
    <col min="1" max="1" width="9.6" style="380" customWidth="1"/>
    <col min="2" max="2" width="5" customWidth="1"/>
    <col min="3" max="3" width="10" hidden="1" customWidth="1"/>
    <col min="4" max="4" width="9.9" hidden="1" customWidth="1"/>
    <col min="5" max="5" width="11.5" customWidth="1"/>
    <col min="6" max="6" width="9.5" style="144" hidden="1" customWidth="1"/>
    <col min="7" max="7" width="8.1" style="144" hidden="1" customWidth="1"/>
    <col min="8" max="9" width="8.6" hidden="1" customWidth="1"/>
    <col min="10" max="10" width="7.2" hidden="1" customWidth="1"/>
    <col min="11" max="11" width="7.9" hidden="1" customWidth="1"/>
    <col min="12" max="12" width="8.5" hidden="1" customWidth="1"/>
    <col min="13" max="13" width="9.4" hidden="1" customWidth="1"/>
    <col min="14" max="14" width="10.6" hidden="1" customWidth="1"/>
    <col min="15" max="15" width="12.7" customWidth="1"/>
    <col min="16" max="16" width="9.4" customWidth="1"/>
  </cols>
  <sheetData>
    <row r="1" s="374" customFormat="1" ht="42" customHeight="1" spans="1:15">
      <c r="A1" s="381" t="s">
        <v>1186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</row>
    <row r="2" s="375" customFormat="1" ht="30" customHeight="1" spans="1:15">
      <c r="A2" s="382" t="s">
        <v>1187</v>
      </c>
      <c r="B2" s="383" t="s">
        <v>1188</v>
      </c>
      <c r="C2" s="384" t="s">
        <v>1189</v>
      </c>
      <c r="D2" s="385" t="s">
        <v>1190</v>
      </c>
      <c r="E2" s="386" t="s">
        <v>1191</v>
      </c>
      <c r="F2" s="387" t="s">
        <v>1192</v>
      </c>
      <c r="G2" s="387" t="s">
        <v>1193</v>
      </c>
      <c r="H2" s="387" t="s">
        <v>1194</v>
      </c>
      <c r="I2" s="387" t="s">
        <v>1195</v>
      </c>
      <c r="J2" s="387" t="s">
        <v>1196</v>
      </c>
      <c r="K2" s="387" t="s">
        <v>1197</v>
      </c>
      <c r="L2" s="387" t="s">
        <v>1198</v>
      </c>
      <c r="M2" s="387" t="s">
        <v>1199</v>
      </c>
      <c r="N2" s="415" t="s">
        <v>341</v>
      </c>
      <c r="O2" s="416" t="s">
        <v>1200</v>
      </c>
    </row>
    <row r="3" s="375" customFormat="1" ht="23.25" customHeight="1" spans="1:15">
      <c r="A3" s="388" t="s">
        <v>1201</v>
      </c>
      <c r="B3" s="389">
        <v>5</v>
      </c>
      <c r="C3" s="390">
        <f>VLOOKUP(A3,'[37]2017年12月份'!B:N,13,FALSE)</f>
        <v>35000</v>
      </c>
      <c r="D3" s="390">
        <v>0</v>
      </c>
      <c r="E3" s="390">
        <f t="shared" ref="E3:E16" si="0">C3+D3</f>
        <v>35000</v>
      </c>
      <c r="F3" s="390">
        <f>VLOOKUP(A3,'[37]2017年12月份'!B:O,14,FALSE)</f>
        <v>561</v>
      </c>
      <c r="G3" s="390">
        <f>VLOOKUP(A3,'[37]2017年12月份'!B:P,15,FALSE)</f>
        <v>177.96</v>
      </c>
      <c r="H3" s="390">
        <f>VLOOKUP(A3,'[37]2017年12月份'!B:R,17,FALSE)</f>
        <v>1151.11</v>
      </c>
      <c r="I3" s="390">
        <f>VLOOKUP(A3,'[37]2017年12月份'!B:S,18,FALSE)</f>
        <v>0</v>
      </c>
      <c r="J3" s="390">
        <f>VLOOKUP(A3,'[37]2017年12月份'!B:T,19,FALSE)</f>
        <v>0</v>
      </c>
      <c r="K3" s="390">
        <f>VLOOKUP(A3,'[37]2017年12月份'!B:U,20,FALSE)</f>
        <v>0</v>
      </c>
      <c r="L3" s="390">
        <f>VLOOKUP(A3,'[37]2017年12月份'!B:V,21,FALSE)</f>
        <v>0</v>
      </c>
      <c r="M3" s="390">
        <f t="shared" ref="M3:M16" si="1">SUM(F3:L3)</f>
        <v>1890.07</v>
      </c>
      <c r="N3" s="390">
        <f>VLOOKUP(A3,'[37]2017年12月份'!B2:Y132,23,FALSE)</f>
        <v>33109.93</v>
      </c>
      <c r="O3" s="417">
        <f>E3/B3</f>
        <v>7000</v>
      </c>
    </row>
    <row r="4" s="375" customFormat="1" ht="23.25" customHeight="1" spans="1:15">
      <c r="A4" s="391" t="s">
        <v>1202</v>
      </c>
      <c r="B4" s="392">
        <v>3</v>
      </c>
      <c r="C4" s="393">
        <f>IF(ISERROR(VLOOKUP(A4,'[37]2017年12月份'!B:N,13,FALSE)),0,VLOOKUP(A4,'[37]2017年12月份'!B:N,13,FALSE))</f>
        <v>12500</v>
      </c>
      <c r="D4" s="390">
        <v>0</v>
      </c>
      <c r="E4" s="390">
        <f t="shared" si="0"/>
        <v>12500</v>
      </c>
      <c r="F4" s="393">
        <f>IF(ISERROR(VLOOKUP(A4,'[37]2017年12月份'!B:V,14,FALSE)),0,VLOOKUP(A4,'[37]2017年12月份'!B:V,14,FALSE))</f>
        <v>0</v>
      </c>
      <c r="G4" s="393">
        <f>IF(ISERROR(VLOOKUP(A4,'[37]2017年12月份'!B:V,15,FALSE)),0,VLOOKUP(A4,'[37]2017年12月份'!B:V,15,FALSE))</f>
        <v>0</v>
      </c>
      <c r="H4" s="393">
        <f>IF(ISERROR(VLOOKUP(A4,'[37]2017年12月份'!B:V,17,FALSE)),0,VLOOKUP(A4,'[37]2017年12月份'!B:V,17,FALSE))</f>
        <v>60</v>
      </c>
      <c r="I4" s="393">
        <f>IF(ISERROR(VLOOKUP(A4,'[37]2017年12月份'!B:V,18,FALSE)),0,VLOOKUP(A4,'[37]2017年12月份'!B:V,18,FALSE))</f>
        <v>0</v>
      </c>
      <c r="J4" s="393">
        <f>IF(ISERROR(VLOOKUP(A4,'[37]2017年12月份'!B:V,19,FALSE)),0,VLOOKUP(A4,'[37]2017年12月份'!B:V,19,FALSE))</f>
        <v>0</v>
      </c>
      <c r="K4" s="393">
        <f>IF(ISERROR(VLOOKUP(A4,'[37]2017年12月份'!B:V,20,FALSE)),0,VLOOKUP(A4,'[37]2017年12月份'!B:V,20,FALSE))</f>
        <v>0</v>
      </c>
      <c r="L4" s="393">
        <f>IF(ISERROR(VLOOKUP(A4,'[37]2017年12月份'!B:V,21,FALSE)),0,VLOOKUP(A4,'[37]2017年12月份'!B:V,21,FALSE))</f>
        <v>0</v>
      </c>
      <c r="M4" s="390">
        <f t="shared" si="1"/>
        <v>60</v>
      </c>
      <c r="N4" s="390">
        <f>E4-M4</f>
        <v>12440</v>
      </c>
      <c r="O4" s="417">
        <f>E4/B4</f>
        <v>4166.66666666667</v>
      </c>
    </row>
    <row r="5" s="375" customFormat="1" ht="23.25" customHeight="1" spans="1:15">
      <c r="A5" s="388" t="s">
        <v>1203</v>
      </c>
      <c r="B5" s="389">
        <v>7</v>
      </c>
      <c r="C5" s="390">
        <f>VLOOKUP(A5,'[37]2017年12月份'!B:N,13,FALSE)</f>
        <v>20323</v>
      </c>
      <c r="D5" s="390">
        <v>0</v>
      </c>
      <c r="E5" s="390">
        <f t="shared" si="0"/>
        <v>20323</v>
      </c>
      <c r="F5" s="390">
        <f>VLOOKUP(A5,'[37]2017年12月份'!B:O,14,FALSE)</f>
        <v>756.5</v>
      </c>
      <c r="G5" s="390">
        <f>VLOOKUP(A5,'[37]2017年12月份'!B:P,15,FALSE)</f>
        <v>296.6</v>
      </c>
      <c r="H5" s="390">
        <f>VLOOKUP(A5,'[37]2017年12月份'!B:R,17,FALSE)</f>
        <v>23.89</v>
      </c>
      <c r="I5" s="390">
        <f>VLOOKUP(A5,'[37]2017年12月份'!B:S,18,FALSE)</f>
        <v>5</v>
      </c>
      <c r="J5" s="390">
        <f>VLOOKUP(A5,'[37]2017年12月份'!B:T,19,FALSE)</f>
        <v>0.68</v>
      </c>
      <c r="K5" s="390">
        <f>VLOOKUP(A5,'[37]2017年12月份'!B:U,20,FALSE)</f>
        <v>9.77</v>
      </c>
      <c r="L5" s="390">
        <f>VLOOKUP(A5,'[37]2017年12月份'!B:V,21,FALSE)</f>
        <v>0</v>
      </c>
      <c r="M5" s="390">
        <f t="shared" si="1"/>
        <v>1092.44</v>
      </c>
      <c r="N5" s="390">
        <f>VLOOKUP(A5,'[37]2017年12月份'!B2:Y133,23,FALSE)</f>
        <v>19230.56</v>
      </c>
      <c r="O5" s="417">
        <f>E5/B5</f>
        <v>2903.28571428571</v>
      </c>
    </row>
    <row r="6" s="375" customFormat="1" ht="23.25" customHeight="1" spans="1:15">
      <c r="A6" s="388" t="s">
        <v>1204</v>
      </c>
      <c r="B6" s="389">
        <v>2</v>
      </c>
      <c r="C6" s="390">
        <f>VLOOKUP(A6,'[37]2017年12月份'!B:N,13,FALSE)</f>
        <v>7700</v>
      </c>
      <c r="D6" s="390">
        <v>0</v>
      </c>
      <c r="E6" s="390">
        <f t="shared" si="0"/>
        <v>7700</v>
      </c>
      <c r="F6" s="390">
        <f>VLOOKUP(A6,'[37]2017年12月份'!B:O,14,FALSE)</f>
        <v>312.8</v>
      </c>
      <c r="G6" s="390">
        <f>VLOOKUP(A6,'[37]2017年12月份'!B:P,15,FALSE)</f>
        <v>118.64</v>
      </c>
      <c r="H6" s="390">
        <f>VLOOKUP(A6,'[37]2017年12月份'!B:R,17,FALSE)</f>
        <v>62.92</v>
      </c>
      <c r="I6" s="390">
        <f>VLOOKUP(A6,'[37]2017年12月份'!B:S,18,FALSE)</f>
        <v>10</v>
      </c>
      <c r="J6" s="390">
        <f>VLOOKUP(A6,'[37]2017年12月份'!B:T,19,FALSE)</f>
        <v>0</v>
      </c>
      <c r="K6" s="390">
        <f>VLOOKUP(A6,'[37]2017年12月份'!B:U,20,FALSE)</f>
        <v>0</v>
      </c>
      <c r="L6" s="390">
        <f>VLOOKUP(A6,'[37]2017年12月份'!B:V,21,FALSE)</f>
        <v>0</v>
      </c>
      <c r="M6" s="390">
        <f t="shared" si="1"/>
        <v>504.36</v>
      </c>
      <c r="N6" s="390">
        <f>VLOOKUP(A6,'[37]2017年12月份'!B3:Y133,23,FALSE)</f>
        <v>7195.64</v>
      </c>
      <c r="O6" s="417">
        <f>E6/B6</f>
        <v>3850</v>
      </c>
    </row>
    <row r="7" s="375" customFormat="1" ht="23.25" customHeight="1" spans="1:16">
      <c r="A7" s="394" t="s">
        <v>1205</v>
      </c>
      <c r="B7" s="395">
        <f>SUM(B3:B6)</f>
        <v>17</v>
      </c>
      <c r="C7" s="395">
        <f t="shared" ref="C7:E7" si="2">SUM(C3:C6)</f>
        <v>75523</v>
      </c>
      <c r="D7" s="395">
        <f t="shared" si="2"/>
        <v>0</v>
      </c>
      <c r="E7" s="395">
        <f t="shared" si="2"/>
        <v>75523</v>
      </c>
      <c r="F7" s="396"/>
      <c r="G7" s="396"/>
      <c r="H7" s="396"/>
      <c r="I7" s="396"/>
      <c r="J7" s="396"/>
      <c r="K7" s="396"/>
      <c r="L7" s="396"/>
      <c r="M7" s="396"/>
      <c r="N7" s="396"/>
      <c r="O7" s="418">
        <f>E7/B7</f>
        <v>4442.52941176471</v>
      </c>
      <c r="P7" s="419">
        <v>4500</v>
      </c>
    </row>
    <row r="8" s="375" customFormat="1" ht="23.25" customHeight="1" spans="1:15">
      <c r="A8" s="388" t="s">
        <v>1206</v>
      </c>
      <c r="B8" s="389">
        <v>3</v>
      </c>
      <c r="C8" s="390">
        <f>VLOOKUP(A8,'[37]2017年12月份'!B:N,13,FALSE)</f>
        <v>6756</v>
      </c>
      <c r="D8" s="390">
        <v>0</v>
      </c>
      <c r="E8" s="390">
        <f t="shared" si="0"/>
        <v>6756</v>
      </c>
      <c r="F8" s="390">
        <f>VLOOKUP(A8,'[37]2017年12月份'!B:O,14,FALSE)</f>
        <v>151.3</v>
      </c>
      <c r="G8" s="390">
        <f>VLOOKUP(A8,'[37]2017年12月份'!B:P,15,FALSE)</f>
        <v>59.32</v>
      </c>
      <c r="H8" s="390">
        <f>VLOOKUP(A8,'[37]2017年12月份'!B:R,17,FALSE)</f>
        <v>0</v>
      </c>
      <c r="I8" s="390">
        <f>VLOOKUP(A8,'[37]2017年12月份'!B:S,18,FALSE)</f>
        <v>5</v>
      </c>
      <c r="J8" s="390">
        <f>VLOOKUP(A8,'[37]2017年12月份'!B:T,19,FALSE)</f>
        <v>0</v>
      </c>
      <c r="K8" s="390">
        <f>VLOOKUP(A8,'[37]2017年12月份'!B:U,20,FALSE)</f>
        <v>0</v>
      </c>
      <c r="L8" s="390">
        <f>VLOOKUP(A8,'[37]2017年12月份'!B:V,21,FALSE)</f>
        <v>0</v>
      </c>
      <c r="M8" s="390">
        <f t="shared" si="1"/>
        <v>215.62</v>
      </c>
      <c r="N8" s="390">
        <f>VLOOKUP(A8,'[37]2017年12月份'!B2:Y133,23,FALSE)</f>
        <v>6540.38</v>
      </c>
      <c r="O8" s="417">
        <f t="shared" ref="O8:O17" si="3">E8/B8</f>
        <v>2252</v>
      </c>
    </row>
    <row r="9" s="375" customFormat="1" ht="23.25" customHeight="1" spans="1:15">
      <c r="A9" s="388" t="s">
        <v>1207</v>
      </c>
      <c r="B9" s="389">
        <v>3</v>
      </c>
      <c r="C9" s="390">
        <f>VLOOKUP(A9,'[37]2017年12月份'!B:N,13,FALSE)</f>
        <v>8327</v>
      </c>
      <c r="D9" s="390">
        <v>0</v>
      </c>
      <c r="E9" s="390">
        <f t="shared" si="0"/>
        <v>8327</v>
      </c>
      <c r="F9" s="390">
        <f>VLOOKUP(A9,'[37]2017年12月份'!B:O,14,FALSE)</f>
        <v>464.1</v>
      </c>
      <c r="G9" s="390">
        <f>VLOOKUP(A9,'[37]2017年12月份'!B:P,15,FALSE)</f>
        <v>177.96</v>
      </c>
      <c r="H9" s="390">
        <f>VLOOKUP(A9,'[37]2017年12月份'!B:R,17,FALSE)</f>
        <v>0</v>
      </c>
      <c r="I9" s="390">
        <f>VLOOKUP(A9,'[37]2017年12月份'!B:S,18,FALSE)</f>
        <v>70</v>
      </c>
      <c r="J9" s="390">
        <f>VLOOKUP(A9,'[37]2017年12月份'!B:T,19,FALSE)</f>
        <v>0.23</v>
      </c>
      <c r="K9" s="390">
        <f>VLOOKUP(A9,'[37]2017年12月份'!B:U,20,FALSE)</f>
        <v>3.58</v>
      </c>
      <c r="L9" s="390">
        <f>VLOOKUP(A9,'[37]2017年12月份'!B:V,21,FALSE)</f>
        <v>0</v>
      </c>
      <c r="M9" s="390">
        <f t="shared" si="1"/>
        <v>715.87</v>
      </c>
      <c r="N9" s="390">
        <f>VLOOKUP(A9,'[37]2017年12月份'!B9:Y139,23,FALSE)</f>
        <v>7611.13</v>
      </c>
      <c r="O9" s="417">
        <f t="shared" si="3"/>
        <v>2775.66666666667</v>
      </c>
    </row>
    <row r="10" s="375" customFormat="1" ht="23.25" customHeight="1" spans="1:16">
      <c r="A10" s="394" t="s">
        <v>1205</v>
      </c>
      <c r="B10" s="395">
        <f>SUM(B8:B9)</f>
        <v>6</v>
      </c>
      <c r="C10" s="396"/>
      <c r="D10" s="396"/>
      <c r="E10" s="396">
        <f>SUM(E8:E9)</f>
        <v>15083</v>
      </c>
      <c r="F10" s="396"/>
      <c r="G10" s="396"/>
      <c r="H10" s="396"/>
      <c r="I10" s="396"/>
      <c r="J10" s="396"/>
      <c r="K10" s="396"/>
      <c r="L10" s="396"/>
      <c r="M10" s="396"/>
      <c r="N10" s="396"/>
      <c r="O10" s="418">
        <f t="shared" si="3"/>
        <v>2513.83333333333</v>
      </c>
      <c r="P10" s="419">
        <v>2500</v>
      </c>
    </row>
    <row r="11" s="375" customFormat="1" ht="23.25" customHeight="1" spans="1:15">
      <c r="A11" s="388" t="s">
        <v>1208</v>
      </c>
      <c r="B11" s="389">
        <v>9</v>
      </c>
      <c r="C11" s="390">
        <f>VLOOKUP(A11,'[37]2017年12月份'!B:N,13,FALSE)</f>
        <v>25645</v>
      </c>
      <c r="D11" s="390">
        <v>0</v>
      </c>
      <c r="E11" s="390">
        <f t="shared" si="0"/>
        <v>25645</v>
      </c>
      <c r="F11" s="390">
        <f>VLOOKUP(A11,'[37]2017年12月份'!B:O,14,FALSE)</f>
        <v>1220.6</v>
      </c>
      <c r="G11" s="390">
        <f>VLOOKUP(A11,'[37]2017年12月份'!B:P,15,FALSE)</f>
        <v>474.56</v>
      </c>
      <c r="H11" s="390">
        <f>VLOOKUP(A11,'[37]2017年12月份'!B:R,17,FALSE)</f>
        <v>400.84</v>
      </c>
      <c r="I11" s="390">
        <f>VLOOKUP(A11,'[37]2017年12月份'!B:S,18,FALSE)</f>
        <v>105</v>
      </c>
      <c r="J11" s="390">
        <f>VLOOKUP(A11,'[37]2017年12月份'!B:T,19,FALSE)</f>
        <v>5.1</v>
      </c>
      <c r="K11" s="390">
        <f>VLOOKUP(A11,'[37]2017年12月份'!B:U,20,FALSE)</f>
        <v>56.12</v>
      </c>
      <c r="L11" s="390">
        <f>VLOOKUP(A11,'[37]2017年12月份'!B:V,21,FALSE)</f>
        <v>78</v>
      </c>
      <c r="M11" s="390">
        <f t="shared" si="1"/>
        <v>2340.22</v>
      </c>
      <c r="N11" s="390">
        <f>VLOOKUP(A11,'[37]2017年12月份'!B3:Y135,23,FALSE)</f>
        <v>23304.78</v>
      </c>
      <c r="O11" s="417">
        <f t="shared" si="3"/>
        <v>2849.44444444444</v>
      </c>
    </row>
    <row r="12" s="375" customFormat="1" ht="23.25" customHeight="1" spans="1:15">
      <c r="A12" s="388" t="s">
        <v>1209</v>
      </c>
      <c r="B12" s="397">
        <v>22</v>
      </c>
      <c r="C12" s="390">
        <f>VLOOKUP(A12,'[37]2017年12月份'!B:N,13,FALSE)</f>
        <v>87234</v>
      </c>
      <c r="D12" s="390">
        <v>0</v>
      </c>
      <c r="E12" s="390">
        <f t="shared" si="0"/>
        <v>87234</v>
      </c>
      <c r="F12" s="390">
        <f>VLOOKUP(A12,'[37]2017年12月份'!B:O,14,FALSE)</f>
        <v>2441.2</v>
      </c>
      <c r="G12" s="390">
        <f>VLOOKUP(A12,'[37]2017年12月份'!B:P,15,FALSE)</f>
        <v>949.12</v>
      </c>
      <c r="H12" s="390">
        <f>VLOOKUP(A12,'[37]2017年12月份'!B:R,17,FALSE)</f>
        <v>846.88</v>
      </c>
      <c r="I12" s="390">
        <f>VLOOKUP(A12,'[37]2017年12月份'!B:S,18,FALSE)</f>
        <v>463.33</v>
      </c>
      <c r="J12" s="390">
        <f>VLOOKUP(A12,'[37]2017年12月份'!B:T,19,FALSE)</f>
        <v>36.99</v>
      </c>
      <c r="K12" s="390">
        <f>VLOOKUP(A12,'[37]2017年12月份'!B:U,20,FALSE)</f>
        <v>363.06</v>
      </c>
      <c r="L12" s="390">
        <f>VLOOKUP(A12,'[37]2017年12月份'!B:V,21,FALSE)</f>
        <v>182</v>
      </c>
      <c r="M12" s="390">
        <f t="shared" si="1"/>
        <v>5282.58</v>
      </c>
      <c r="N12" s="390">
        <f>VLOOKUP(A12,'[37]2017年12月份'!B4:Y135,23,FALSE)</f>
        <v>81951.42</v>
      </c>
      <c r="O12" s="417">
        <f t="shared" si="3"/>
        <v>3965.18181818182</v>
      </c>
    </row>
    <row r="13" s="376" customFormat="1" ht="23.25" customHeight="1" spans="1:15">
      <c r="A13" s="398" t="s">
        <v>1210</v>
      </c>
      <c r="B13" s="397">
        <v>7</v>
      </c>
      <c r="C13" s="390">
        <f>VLOOKUP(A13,'[37]2017年12月份'!B:N,13,FALSE)</f>
        <v>29428</v>
      </c>
      <c r="D13" s="399">
        <v>0</v>
      </c>
      <c r="E13" s="399">
        <f t="shared" si="0"/>
        <v>29428</v>
      </c>
      <c r="F13" s="390">
        <f>VLOOKUP(A13,'[37]2017年12月份'!B:O,14,FALSE)</f>
        <v>918</v>
      </c>
      <c r="G13" s="390">
        <f>VLOOKUP(A13,'[37]2017年12月份'!B:P,15,FALSE)</f>
        <v>355.92</v>
      </c>
      <c r="H13" s="390">
        <f>VLOOKUP(A13,'[37]2017年12月份'!B:R,17,FALSE)</f>
        <v>486.6</v>
      </c>
      <c r="I13" s="390">
        <f>VLOOKUP(A13,'[37]2017年12月份'!B:S,18,FALSE)</f>
        <v>240</v>
      </c>
      <c r="J13" s="390">
        <f>VLOOKUP(A13,'[37]2017年12月份'!B:T,19,FALSE)</f>
        <v>12.45</v>
      </c>
      <c r="K13" s="390">
        <f>VLOOKUP(A13,'[37]2017年12月份'!B:U,20,FALSE)</f>
        <v>116.31</v>
      </c>
      <c r="L13" s="390">
        <f>VLOOKUP(A13,'[37]2017年12月份'!B:V,21,FALSE)</f>
        <v>275</v>
      </c>
      <c r="M13" s="390">
        <f t="shared" si="1"/>
        <v>2404.28</v>
      </c>
      <c r="N13" s="390">
        <f>VLOOKUP(A13,'[37]2017年12月份'!B5:Y136,23,FALSE)</f>
        <v>27023.72</v>
      </c>
      <c r="O13" s="417">
        <f t="shared" si="3"/>
        <v>4204</v>
      </c>
    </row>
    <row r="14" s="375" customFormat="1" ht="23.25" customHeight="1" spans="1:16">
      <c r="A14" s="388" t="s">
        <v>1211</v>
      </c>
      <c r="B14" s="400">
        <v>43</v>
      </c>
      <c r="C14" s="390">
        <f>VLOOKUP(A14,'[37]2017年12月份'!B:N,13,FALSE)</f>
        <v>95275</v>
      </c>
      <c r="D14" s="390">
        <v>0</v>
      </c>
      <c r="E14" s="390">
        <f t="shared" si="0"/>
        <v>95275</v>
      </c>
      <c r="F14" s="390">
        <f>VLOOKUP(A14,'[37]2017年12月份'!B:O,14,FALSE)</f>
        <v>5910.9</v>
      </c>
      <c r="G14" s="390">
        <f>VLOOKUP(A14,'[37]2017年12月份'!B:P,15,FALSE)</f>
        <v>2313.48</v>
      </c>
      <c r="H14" s="390">
        <f>VLOOKUP(A14,'[37]2017年12月份'!B:R,17,FALSE)</f>
        <v>439.28</v>
      </c>
      <c r="I14" s="390">
        <f>VLOOKUP(A14,'[37]2017年12月份'!B:S,18,FALSE)</f>
        <v>310</v>
      </c>
      <c r="J14" s="390">
        <f>VLOOKUP(A14,'[37]2017年12月份'!B:T,19,FALSE)</f>
        <v>39.24</v>
      </c>
      <c r="K14" s="390">
        <f>VLOOKUP(A14,'[37]2017年12月份'!B:U,20,FALSE)</f>
        <v>306.05</v>
      </c>
      <c r="L14" s="390">
        <f>VLOOKUP(A14,'[37]2017年12月份'!B:V,21,FALSE)</f>
        <v>234</v>
      </c>
      <c r="M14" s="390">
        <f t="shared" si="1"/>
        <v>9552.95</v>
      </c>
      <c r="N14" s="390">
        <f>VLOOKUP(A14,'[37]2017年12月份'!B7:Y137,23,FALSE)</f>
        <v>85722.05</v>
      </c>
      <c r="O14" s="417">
        <f t="shared" si="3"/>
        <v>2215.6976744186</v>
      </c>
      <c r="P14" s="420"/>
    </row>
    <row r="15" s="375" customFormat="1" ht="23.25" customHeight="1" spans="1:16">
      <c r="A15" s="401" t="s">
        <v>1205</v>
      </c>
      <c r="B15" s="402">
        <f>SUM(B11:B14)</f>
        <v>81</v>
      </c>
      <c r="C15" s="396"/>
      <c r="D15" s="396"/>
      <c r="E15" s="396">
        <f>SUM(E11:E14)</f>
        <v>237582</v>
      </c>
      <c r="F15" s="396"/>
      <c r="G15" s="396"/>
      <c r="H15" s="396"/>
      <c r="I15" s="396"/>
      <c r="J15" s="396"/>
      <c r="K15" s="396"/>
      <c r="L15" s="396"/>
      <c r="M15" s="396"/>
      <c r="N15" s="396"/>
      <c r="O15" s="418">
        <f t="shared" si="3"/>
        <v>2933.11111111111</v>
      </c>
      <c r="P15" s="421">
        <v>3000</v>
      </c>
    </row>
    <row r="16" s="375" customFormat="1" ht="23.25" customHeight="1" spans="1:19">
      <c r="A16" s="391" t="s">
        <v>1212</v>
      </c>
      <c r="B16" s="392">
        <v>4</v>
      </c>
      <c r="C16" s="390">
        <f>VLOOKUP(A16,'[37]2017年12月份'!B:N,13,FALSE)</f>
        <v>13058</v>
      </c>
      <c r="D16" s="390">
        <v>0</v>
      </c>
      <c r="E16" s="390">
        <f t="shared" si="0"/>
        <v>13058</v>
      </c>
      <c r="F16" s="390">
        <f>VLOOKUP(A16,'[37]2017年12月份'!B:O,14,FALSE)</f>
        <v>615.4</v>
      </c>
      <c r="G16" s="390">
        <f>VLOOKUP(A16,'[37]2017年12月份'!B:P,15,FALSE)</f>
        <v>237.28</v>
      </c>
      <c r="H16" s="390">
        <f>VLOOKUP(A16,'[37]2017年12月份'!B:R,17,FALSE)</f>
        <v>1.18</v>
      </c>
      <c r="I16" s="390">
        <f>VLOOKUP(A16,'[37]2017年12月份'!B:S,18,FALSE)</f>
        <v>50</v>
      </c>
      <c r="J16" s="390">
        <f>VLOOKUP(A16,'[37]2017年12月份'!B:T,19,FALSE)</f>
        <v>2.7</v>
      </c>
      <c r="K16" s="390">
        <f>VLOOKUP(A16,'[37]2017年12月份'!B:U,20,FALSE)</f>
        <v>24.4</v>
      </c>
      <c r="L16" s="390">
        <f>VLOOKUP(A16,'[37]2017年12月份'!B:V,21,FALSE)</f>
        <v>39</v>
      </c>
      <c r="M16" s="390">
        <f t="shared" si="1"/>
        <v>969.96</v>
      </c>
      <c r="N16" s="390">
        <f>VLOOKUP(A16,'[37]2017年12月份'!B8:Y138,23,FALSE)</f>
        <v>12088.04</v>
      </c>
      <c r="O16" s="417">
        <f t="shared" si="3"/>
        <v>3264.5</v>
      </c>
      <c r="P16" s="419">
        <v>3300</v>
      </c>
      <c r="S16" s="375">
        <f>E17*12</f>
        <v>8033208</v>
      </c>
    </row>
    <row r="17" s="375" customFormat="1" ht="23.25" customHeight="1" spans="1:15">
      <c r="A17" s="403" t="s">
        <v>157</v>
      </c>
      <c r="B17" s="404">
        <f t="shared" ref="B17:N17" si="4">SUM(B3:B16)</f>
        <v>212</v>
      </c>
      <c r="C17" s="405">
        <f t="shared" si="4"/>
        <v>416769</v>
      </c>
      <c r="D17" s="405">
        <f t="shared" si="4"/>
        <v>0</v>
      </c>
      <c r="E17" s="405">
        <f t="shared" si="4"/>
        <v>669434</v>
      </c>
      <c r="F17" s="405">
        <f t="shared" si="4"/>
        <v>13351.8</v>
      </c>
      <c r="G17" s="405">
        <f t="shared" si="4"/>
        <v>5160.84</v>
      </c>
      <c r="H17" s="405">
        <f t="shared" si="4"/>
        <v>3472.7</v>
      </c>
      <c r="I17" s="405">
        <f t="shared" si="4"/>
        <v>1258.33</v>
      </c>
      <c r="J17" s="405">
        <f t="shared" si="4"/>
        <v>97.39</v>
      </c>
      <c r="K17" s="405">
        <f t="shared" si="4"/>
        <v>879.29</v>
      </c>
      <c r="L17" s="405">
        <f t="shared" si="4"/>
        <v>808</v>
      </c>
      <c r="M17" s="405">
        <f t="shared" si="4"/>
        <v>25028.35</v>
      </c>
      <c r="N17" s="405">
        <f t="shared" si="4"/>
        <v>316217.65</v>
      </c>
      <c r="O17" s="417">
        <f t="shared" si="3"/>
        <v>3157.70754716981</v>
      </c>
    </row>
    <row r="18" s="377" customFormat="1" ht="22.5" customHeight="1" spans="1:14">
      <c r="A18" s="406"/>
      <c r="F18" s="407"/>
      <c r="G18" s="407"/>
      <c r="N18" s="422"/>
    </row>
    <row r="19" s="377" customFormat="1" ht="11.25" customHeight="1" spans="1:7">
      <c r="A19" s="406"/>
      <c r="F19" s="407"/>
      <c r="G19" s="407"/>
    </row>
    <row r="20" s="378" customFormat="1" ht="29.25" customHeight="1" spans="1:12">
      <c r="A20" s="408"/>
      <c r="B20" s="409" t="s">
        <v>1213</v>
      </c>
      <c r="C20" s="409"/>
      <c r="G20" s="410" t="s">
        <v>1214</v>
      </c>
      <c r="K20" s="423"/>
      <c r="L20" s="423" t="s">
        <v>1215</v>
      </c>
    </row>
    <row r="21" s="379" customFormat="1" ht="13.5" customHeight="1" spans="1:12">
      <c r="A21" s="411"/>
      <c r="F21" s="412"/>
      <c r="G21" s="413"/>
      <c r="I21" s="424"/>
      <c r="J21" s="424"/>
      <c r="K21" s="424"/>
      <c r="L21" s="425"/>
    </row>
    <row r="22" ht="24" customHeight="1" spans="1:15">
      <c r="A22" s="414"/>
      <c r="B22" s="414"/>
      <c r="C22" s="414"/>
      <c r="D22" s="414"/>
      <c r="E22" s="414"/>
      <c r="F22" s="414"/>
      <c r="G22" s="414"/>
      <c r="H22" s="414"/>
      <c r="I22" s="414"/>
      <c r="J22" s="414"/>
      <c r="K22" s="414"/>
      <c r="L22" s="414"/>
      <c r="M22" s="414"/>
      <c r="N22" s="414"/>
      <c r="O22" s="414"/>
    </row>
    <row r="23" ht="21.75" customHeight="1"/>
    <row r="24" ht="21.75" customHeight="1"/>
    <row r="25" ht="21.75" customHeight="1"/>
    <row r="26" ht="21.75" customHeight="1" spans="13:14">
      <c r="M26" s="426"/>
      <c r="N26" s="427"/>
    </row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</sheetData>
  <mergeCells count="2">
    <mergeCell ref="A1:O1"/>
    <mergeCell ref="A22:O22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4"/>
  <sheetViews>
    <sheetView workbookViewId="0">
      <selection activeCell="B22" sqref="B22"/>
    </sheetView>
  </sheetViews>
  <sheetFormatPr defaultColWidth="8.1" defaultRowHeight="11.25"/>
  <cols>
    <col min="1" max="1" width="22.6" style="352" customWidth="1"/>
    <col min="2" max="2" width="10.4" style="353" customWidth="1"/>
    <col min="3" max="7" width="8.9" style="353" customWidth="1"/>
    <col min="8" max="8" width="8.9" style="353" hidden="1" customWidth="1"/>
    <col min="9" max="9" width="7" style="352" customWidth="1"/>
    <col min="10" max="10" width="7.4" style="352" customWidth="1"/>
    <col min="11" max="258" width="8.1" style="352"/>
    <col min="259" max="259" width="24.6" style="352" customWidth="1"/>
    <col min="260" max="260" width="11.9" style="352" customWidth="1"/>
    <col min="261" max="264" width="10.2" style="352" customWidth="1"/>
    <col min="265" max="265" width="10" style="352" customWidth="1"/>
    <col min="266" max="514" width="8.1" style="352"/>
    <col min="515" max="515" width="24.6" style="352" customWidth="1"/>
    <col min="516" max="516" width="11.9" style="352" customWidth="1"/>
    <col min="517" max="520" width="10.2" style="352" customWidth="1"/>
    <col min="521" max="521" width="10" style="352" customWidth="1"/>
    <col min="522" max="770" width="8.1" style="352"/>
    <col min="771" max="771" width="24.6" style="352" customWidth="1"/>
    <col min="772" max="772" width="11.9" style="352" customWidth="1"/>
    <col min="773" max="776" width="10.2" style="352" customWidth="1"/>
    <col min="777" max="777" width="10" style="352" customWidth="1"/>
    <col min="778" max="1026" width="8.1" style="352"/>
    <col min="1027" max="1027" width="24.6" style="352" customWidth="1"/>
    <col min="1028" max="1028" width="11.9" style="352" customWidth="1"/>
    <col min="1029" max="1032" width="10.2" style="352" customWidth="1"/>
    <col min="1033" max="1033" width="10" style="352" customWidth="1"/>
    <col min="1034" max="1282" width="8.1" style="352"/>
    <col min="1283" max="1283" width="24.6" style="352" customWidth="1"/>
    <col min="1284" max="1284" width="11.9" style="352" customWidth="1"/>
    <col min="1285" max="1288" width="10.2" style="352" customWidth="1"/>
    <col min="1289" max="1289" width="10" style="352" customWidth="1"/>
    <col min="1290" max="1538" width="8.1" style="352"/>
    <col min="1539" max="1539" width="24.6" style="352" customWidth="1"/>
    <col min="1540" max="1540" width="11.9" style="352" customWidth="1"/>
    <col min="1541" max="1544" width="10.2" style="352" customWidth="1"/>
    <col min="1545" max="1545" width="10" style="352" customWidth="1"/>
    <col min="1546" max="1794" width="8.1" style="352"/>
    <col min="1795" max="1795" width="24.6" style="352" customWidth="1"/>
    <col min="1796" max="1796" width="11.9" style="352" customWidth="1"/>
    <col min="1797" max="1800" width="10.2" style="352" customWidth="1"/>
    <col min="1801" max="1801" width="10" style="352" customWidth="1"/>
    <col min="1802" max="2050" width="8.1" style="352"/>
    <col min="2051" max="2051" width="24.6" style="352" customWidth="1"/>
    <col min="2052" max="2052" width="11.9" style="352" customWidth="1"/>
    <col min="2053" max="2056" width="10.2" style="352" customWidth="1"/>
    <col min="2057" max="2057" width="10" style="352" customWidth="1"/>
    <col min="2058" max="2306" width="8.1" style="352"/>
    <col min="2307" max="2307" width="24.6" style="352" customWidth="1"/>
    <col min="2308" max="2308" width="11.9" style="352" customWidth="1"/>
    <col min="2309" max="2312" width="10.2" style="352" customWidth="1"/>
    <col min="2313" max="2313" width="10" style="352" customWidth="1"/>
    <col min="2314" max="2562" width="8.1" style="352"/>
    <col min="2563" max="2563" width="24.6" style="352" customWidth="1"/>
    <col min="2564" max="2564" width="11.9" style="352" customWidth="1"/>
    <col min="2565" max="2568" width="10.2" style="352" customWidth="1"/>
    <col min="2569" max="2569" width="10" style="352" customWidth="1"/>
    <col min="2570" max="2818" width="8.1" style="352"/>
    <col min="2819" max="2819" width="24.6" style="352" customWidth="1"/>
    <col min="2820" max="2820" width="11.9" style="352" customWidth="1"/>
    <col min="2821" max="2824" width="10.2" style="352" customWidth="1"/>
    <col min="2825" max="2825" width="10" style="352" customWidth="1"/>
    <col min="2826" max="3074" width="8.1" style="352"/>
    <col min="3075" max="3075" width="24.6" style="352" customWidth="1"/>
    <col min="3076" max="3076" width="11.9" style="352" customWidth="1"/>
    <col min="3077" max="3080" width="10.2" style="352" customWidth="1"/>
    <col min="3081" max="3081" width="10" style="352" customWidth="1"/>
    <col min="3082" max="3330" width="8.1" style="352"/>
    <col min="3331" max="3331" width="24.6" style="352" customWidth="1"/>
    <col min="3332" max="3332" width="11.9" style="352" customWidth="1"/>
    <col min="3333" max="3336" width="10.2" style="352" customWidth="1"/>
    <col min="3337" max="3337" width="10" style="352" customWidth="1"/>
    <col min="3338" max="3586" width="8.1" style="352"/>
    <col min="3587" max="3587" width="24.6" style="352" customWidth="1"/>
    <col min="3588" max="3588" width="11.9" style="352" customWidth="1"/>
    <col min="3589" max="3592" width="10.2" style="352" customWidth="1"/>
    <col min="3593" max="3593" width="10" style="352" customWidth="1"/>
    <col min="3594" max="3842" width="8.1" style="352"/>
    <col min="3843" max="3843" width="24.6" style="352" customWidth="1"/>
    <col min="3844" max="3844" width="11.9" style="352" customWidth="1"/>
    <col min="3845" max="3848" width="10.2" style="352" customWidth="1"/>
    <col min="3849" max="3849" width="10" style="352" customWidth="1"/>
    <col min="3850" max="4098" width="8.1" style="352"/>
    <col min="4099" max="4099" width="24.6" style="352" customWidth="1"/>
    <col min="4100" max="4100" width="11.9" style="352" customWidth="1"/>
    <col min="4101" max="4104" width="10.2" style="352" customWidth="1"/>
    <col min="4105" max="4105" width="10" style="352" customWidth="1"/>
    <col min="4106" max="4354" width="8.1" style="352"/>
    <col min="4355" max="4355" width="24.6" style="352" customWidth="1"/>
    <col min="4356" max="4356" width="11.9" style="352" customWidth="1"/>
    <col min="4357" max="4360" width="10.2" style="352" customWidth="1"/>
    <col min="4361" max="4361" width="10" style="352" customWidth="1"/>
    <col min="4362" max="4610" width="8.1" style="352"/>
    <col min="4611" max="4611" width="24.6" style="352" customWidth="1"/>
    <col min="4612" max="4612" width="11.9" style="352" customWidth="1"/>
    <col min="4613" max="4616" width="10.2" style="352" customWidth="1"/>
    <col min="4617" max="4617" width="10" style="352" customWidth="1"/>
    <col min="4618" max="4866" width="8.1" style="352"/>
    <col min="4867" max="4867" width="24.6" style="352" customWidth="1"/>
    <col min="4868" max="4868" width="11.9" style="352" customWidth="1"/>
    <col min="4869" max="4872" width="10.2" style="352" customWidth="1"/>
    <col min="4873" max="4873" width="10" style="352" customWidth="1"/>
    <col min="4874" max="5122" width="8.1" style="352"/>
    <col min="5123" max="5123" width="24.6" style="352" customWidth="1"/>
    <col min="5124" max="5124" width="11.9" style="352" customWidth="1"/>
    <col min="5125" max="5128" width="10.2" style="352" customWidth="1"/>
    <col min="5129" max="5129" width="10" style="352" customWidth="1"/>
    <col min="5130" max="5378" width="8.1" style="352"/>
    <col min="5379" max="5379" width="24.6" style="352" customWidth="1"/>
    <col min="5380" max="5380" width="11.9" style="352" customWidth="1"/>
    <col min="5381" max="5384" width="10.2" style="352" customWidth="1"/>
    <col min="5385" max="5385" width="10" style="352" customWidth="1"/>
    <col min="5386" max="5634" width="8.1" style="352"/>
    <col min="5635" max="5635" width="24.6" style="352" customWidth="1"/>
    <col min="5636" max="5636" width="11.9" style="352" customWidth="1"/>
    <col min="5637" max="5640" width="10.2" style="352" customWidth="1"/>
    <col min="5641" max="5641" width="10" style="352" customWidth="1"/>
    <col min="5642" max="5890" width="8.1" style="352"/>
    <col min="5891" max="5891" width="24.6" style="352" customWidth="1"/>
    <col min="5892" max="5892" width="11.9" style="352" customWidth="1"/>
    <col min="5893" max="5896" width="10.2" style="352" customWidth="1"/>
    <col min="5897" max="5897" width="10" style="352" customWidth="1"/>
    <col min="5898" max="6146" width="8.1" style="352"/>
    <col min="6147" max="6147" width="24.6" style="352" customWidth="1"/>
    <col min="6148" max="6148" width="11.9" style="352" customWidth="1"/>
    <col min="6149" max="6152" width="10.2" style="352" customWidth="1"/>
    <col min="6153" max="6153" width="10" style="352" customWidth="1"/>
    <col min="6154" max="6402" width="8.1" style="352"/>
    <col min="6403" max="6403" width="24.6" style="352" customWidth="1"/>
    <col min="6404" max="6404" width="11.9" style="352" customWidth="1"/>
    <col min="6405" max="6408" width="10.2" style="352" customWidth="1"/>
    <col min="6409" max="6409" width="10" style="352" customWidth="1"/>
    <col min="6410" max="6658" width="8.1" style="352"/>
    <col min="6659" max="6659" width="24.6" style="352" customWidth="1"/>
    <col min="6660" max="6660" width="11.9" style="352" customWidth="1"/>
    <col min="6661" max="6664" width="10.2" style="352" customWidth="1"/>
    <col min="6665" max="6665" width="10" style="352" customWidth="1"/>
    <col min="6666" max="6914" width="8.1" style="352"/>
    <col min="6915" max="6915" width="24.6" style="352" customWidth="1"/>
    <col min="6916" max="6916" width="11.9" style="352" customWidth="1"/>
    <col min="6917" max="6920" width="10.2" style="352" customWidth="1"/>
    <col min="6921" max="6921" width="10" style="352" customWidth="1"/>
    <col min="6922" max="7170" width="8.1" style="352"/>
    <col min="7171" max="7171" width="24.6" style="352" customWidth="1"/>
    <col min="7172" max="7172" width="11.9" style="352" customWidth="1"/>
    <col min="7173" max="7176" width="10.2" style="352" customWidth="1"/>
    <col min="7177" max="7177" width="10" style="352" customWidth="1"/>
    <col min="7178" max="7426" width="8.1" style="352"/>
    <col min="7427" max="7427" width="24.6" style="352" customWidth="1"/>
    <col min="7428" max="7428" width="11.9" style="352" customWidth="1"/>
    <col min="7429" max="7432" width="10.2" style="352" customWidth="1"/>
    <col min="7433" max="7433" width="10" style="352" customWidth="1"/>
    <col min="7434" max="7682" width="8.1" style="352"/>
    <col min="7683" max="7683" width="24.6" style="352" customWidth="1"/>
    <col min="7684" max="7684" width="11.9" style="352" customWidth="1"/>
    <col min="7685" max="7688" width="10.2" style="352" customWidth="1"/>
    <col min="7689" max="7689" width="10" style="352" customWidth="1"/>
    <col min="7690" max="7938" width="8.1" style="352"/>
    <col min="7939" max="7939" width="24.6" style="352" customWidth="1"/>
    <col min="7940" max="7940" width="11.9" style="352" customWidth="1"/>
    <col min="7941" max="7944" width="10.2" style="352" customWidth="1"/>
    <col min="7945" max="7945" width="10" style="352" customWidth="1"/>
    <col min="7946" max="8194" width="8.1" style="352"/>
    <col min="8195" max="8195" width="24.6" style="352" customWidth="1"/>
    <col min="8196" max="8196" width="11.9" style="352" customWidth="1"/>
    <col min="8197" max="8200" width="10.2" style="352" customWidth="1"/>
    <col min="8201" max="8201" width="10" style="352" customWidth="1"/>
    <col min="8202" max="8450" width="8.1" style="352"/>
    <col min="8451" max="8451" width="24.6" style="352" customWidth="1"/>
    <col min="8452" max="8452" width="11.9" style="352" customWidth="1"/>
    <col min="8453" max="8456" width="10.2" style="352" customWidth="1"/>
    <col min="8457" max="8457" width="10" style="352" customWidth="1"/>
    <col min="8458" max="8706" width="8.1" style="352"/>
    <col min="8707" max="8707" width="24.6" style="352" customWidth="1"/>
    <col min="8708" max="8708" width="11.9" style="352" customWidth="1"/>
    <col min="8709" max="8712" width="10.2" style="352" customWidth="1"/>
    <col min="8713" max="8713" width="10" style="352" customWidth="1"/>
    <col min="8714" max="8962" width="8.1" style="352"/>
    <col min="8963" max="8963" width="24.6" style="352" customWidth="1"/>
    <col min="8964" max="8964" width="11.9" style="352" customWidth="1"/>
    <col min="8965" max="8968" width="10.2" style="352" customWidth="1"/>
    <col min="8969" max="8969" width="10" style="352" customWidth="1"/>
    <col min="8970" max="9218" width="8.1" style="352"/>
    <col min="9219" max="9219" width="24.6" style="352" customWidth="1"/>
    <col min="9220" max="9220" width="11.9" style="352" customWidth="1"/>
    <col min="9221" max="9224" width="10.2" style="352" customWidth="1"/>
    <col min="9225" max="9225" width="10" style="352" customWidth="1"/>
    <col min="9226" max="9474" width="8.1" style="352"/>
    <col min="9475" max="9475" width="24.6" style="352" customWidth="1"/>
    <col min="9476" max="9476" width="11.9" style="352" customWidth="1"/>
    <col min="9477" max="9480" width="10.2" style="352" customWidth="1"/>
    <col min="9481" max="9481" width="10" style="352" customWidth="1"/>
    <col min="9482" max="9730" width="8.1" style="352"/>
    <col min="9731" max="9731" width="24.6" style="352" customWidth="1"/>
    <col min="9732" max="9732" width="11.9" style="352" customWidth="1"/>
    <col min="9733" max="9736" width="10.2" style="352" customWidth="1"/>
    <col min="9737" max="9737" width="10" style="352" customWidth="1"/>
    <col min="9738" max="9986" width="8.1" style="352"/>
    <col min="9987" max="9987" width="24.6" style="352" customWidth="1"/>
    <col min="9988" max="9988" width="11.9" style="352" customWidth="1"/>
    <col min="9989" max="9992" width="10.2" style="352" customWidth="1"/>
    <col min="9993" max="9993" width="10" style="352" customWidth="1"/>
    <col min="9994" max="10242" width="8.1" style="352"/>
    <col min="10243" max="10243" width="24.6" style="352" customWidth="1"/>
    <col min="10244" max="10244" width="11.9" style="352" customWidth="1"/>
    <col min="10245" max="10248" width="10.2" style="352" customWidth="1"/>
    <col min="10249" max="10249" width="10" style="352" customWidth="1"/>
    <col min="10250" max="10498" width="8.1" style="352"/>
    <col min="10499" max="10499" width="24.6" style="352" customWidth="1"/>
    <col min="10500" max="10500" width="11.9" style="352" customWidth="1"/>
    <col min="10501" max="10504" width="10.2" style="352" customWidth="1"/>
    <col min="10505" max="10505" width="10" style="352" customWidth="1"/>
    <col min="10506" max="10754" width="8.1" style="352"/>
    <col min="10755" max="10755" width="24.6" style="352" customWidth="1"/>
    <col min="10756" max="10756" width="11.9" style="352" customWidth="1"/>
    <col min="10757" max="10760" width="10.2" style="352" customWidth="1"/>
    <col min="10761" max="10761" width="10" style="352" customWidth="1"/>
    <col min="10762" max="11010" width="8.1" style="352"/>
    <col min="11011" max="11011" width="24.6" style="352" customWidth="1"/>
    <col min="11012" max="11012" width="11.9" style="352" customWidth="1"/>
    <col min="11013" max="11016" width="10.2" style="352" customWidth="1"/>
    <col min="11017" max="11017" width="10" style="352" customWidth="1"/>
    <col min="11018" max="11266" width="8.1" style="352"/>
    <col min="11267" max="11267" width="24.6" style="352" customWidth="1"/>
    <col min="11268" max="11268" width="11.9" style="352" customWidth="1"/>
    <col min="11269" max="11272" width="10.2" style="352" customWidth="1"/>
    <col min="11273" max="11273" width="10" style="352" customWidth="1"/>
    <col min="11274" max="11522" width="8.1" style="352"/>
    <col min="11523" max="11523" width="24.6" style="352" customWidth="1"/>
    <col min="11524" max="11524" width="11.9" style="352" customWidth="1"/>
    <col min="11525" max="11528" width="10.2" style="352" customWidth="1"/>
    <col min="11529" max="11529" width="10" style="352" customWidth="1"/>
    <col min="11530" max="11778" width="8.1" style="352"/>
    <col min="11779" max="11779" width="24.6" style="352" customWidth="1"/>
    <col min="11780" max="11780" width="11.9" style="352" customWidth="1"/>
    <col min="11781" max="11784" width="10.2" style="352" customWidth="1"/>
    <col min="11785" max="11785" width="10" style="352" customWidth="1"/>
    <col min="11786" max="12034" width="8.1" style="352"/>
    <col min="12035" max="12035" width="24.6" style="352" customWidth="1"/>
    <col min="12036" max="12036" width="11.9" style="352" customWidth="1"/>
    <col min="12037" max="12040" width="10.2" style="352" customWidth="1"/>
    <col min="12041" max="12041" width="10" style="352" customWidth="1"/>
    <col min="12042" max="12290" width="8.1" style="352"/>
    <col min="12291" max="12291" width="24.6" style="352" customWidth="1"/>
    <col min="12292" max="12292" width="11.9" style="352" customWidth="1"/>
    <col min="12293" max="12296" width="10.2" style="352" customWidth="1"/>
    <col min="12297" max="12297" width="10" style="352" customWidth="1"/>
    <col min="12298" max="12546" width="8.1" style="352"/>
    <col min="12547" max="12547" width="24.6" style="352" customWidth="1"/>
    <col min="12548" max="12548" width="11.9" style="352" customWidth="1"/>
    <col min="12549" max="12552" width="10.2" style="352" customWidth="1"/>
    <col min="12553" max="12553" width="10" style="352" customWidth="1"/>
    <col min="12554" max="12802" width="8.1" style="352"/>
    <col min="12803" max="12803" width="24.6" style="352" customWidth="1"/>
    <col min="12804" max="12804" width="11.9" style="352" customWidth="1"/>
    <col min="12805" max="12808" width="10.2" style="352" customWidth="1"/>
    <col min="12809" max="12809" width="10" style="352" customWidth="1"/>
    <col min="12810" max="13058" width="8.1" style="352"/>
    <col min="13059" max="13059" width="24.6" style="352" customWidth="1"/>
    <col min="13060" max="13060" width="11.9" style="352" customWidth="1"/>
    <col min="13061" max="13064" width="10.2" style="352" customWidth="1"/>
    <col min="13065" max="13065" width="10" style="352" customWidth="1"/>
    <col min="13066" max="13314" width="8.1" style="352"/>
    <col min="13315" max="13315" width="24.6" style="352" customWidth="1"/>
    <col min="13316" max="13316" width="11.9" style="352" customWidth="1"/>
    <col min="13317" max="13320" width="10.2" style="352" customWidth="1"/>
    <col min="13321" max="13321" width="10" style="352" customWidth="1"/>
    <col min="13322" max="13570" width="8.1" style="352"/>
    <col min="13571" max="13571" width="24.6" style="352" customWidth="1"/>
    <col min="13572" max="13572" width="11.9" style="352" customWidth="1"/>
    <col min="13573" max="13576" width="10.2" style="352" customWidth="1"/>
    <col min="13577" max="13577" width="10" style="352" customWidth="1"/>
    <col min="13578" max="13826" width="8.1" style="352"/>
    <col min="13827" max="13827" width="24.6" style="352" customWidth="1"/>
    <col min="13828" max="13828" width="11.9" style="352" customWidth="1"/>
    <col min="13829" max="13832" width="10.2" style="352" customWidth="1"/>
    <col min="13833" max="13833" width="10" style="352" customWidth="1"/>
    <col min="13834" max="14082" width="8.1" style="352"/>
    <col min="14083" max="14083" width="24.6" style="352" customWidth="1"/>
    <col min="14084" max="14084" width="11.9" style="352" customWidth="1"/>
    <col min="14085" max="14088" width="10.2" style="352" customWidth="1"/>
    <col min="14089" max="14089" width="10" style="352" customWidth="1"/>
    <col min="14090" max="14338" width="8.1" style="352"/>
    <col min="14339" max="14339" width="24.6" style="352" customWidth="1"/>
    <col min="14340" max="14340" width="11.9" style="352" customWidth="1"/>
    <col min="14341" max="14344" width="10.2" style="352" customWidth="1"/>
    <col min="14345" max="14345" width="10" style="352" customWidth="1"/>
    <col min="14346" max="14594" width="8.1" style="352"/>
    <col min="14595" max="14595" width="24.6" style="352" customWidth="1"/>
    <col min="14596" max="14596" width="11.9" style="352" customWidth="1"/>
    <col min="14597" max="14600" width="10.2" style="352" customWidth="1"/>
    <col min="14601" max="14601" width="10" style="352" customWidth="1"/>
    <col min="14602" max="14850" width="8.1" style="352"/>
    <col min="14851" max="14851" width="24.6" style="352" customWidth="1"/>
    <col min="14852" max="14852" width="11.9" style="352" customWidth="1"/>
    <col min="14853" max="14856" width="10.2" style="352" customWidth="1"/>
    <col min="14857" max="14857" width="10" style="352" customWidth="1"/>
    <col min="14858" max="15106" width="8.1" style="352"/>
    <col min="15107" max="15107" width="24.6" style="352" customWidth="1"/>
    <col min="15108" max="15108" width="11.9" style="352" customWidth="1"/>
    <col min="15109" max="15112" width="10.2" style="352" customWidth="1"/>
    <col min="15113" max="15113" width="10" style="352" customWidth="1"/>
    <col min="15114" max="15362" width="8.1" style="352"/>
    <col min="15363" max="15363" width="24.6" style="352" customWidth="1"/>
    <col min="15364" max="15364" width="11.9" style="352" customWidth="1"/>
    <col min="15365" max="15368" width="10.2" style="352" customWidth="1"/>
    <col min="15369" max="15369" width="10" style="352" customWidth="1"/>
    <col min="15370" max="15618" width="8.1" style="352"/>
    <col min="15619" max="15619" width="24.6" style="352" customWidth="1"/>
    <col min="15620" max="15620" width="11.9" style="352" customWidth="1"/>
    <col min="15621" max="15624" width="10.2" style="352" customWidth="1"/>
    <col min="15625" max="15625" width="10" style="352" customWidth="1"/>
    <col min="15626" max="15874" width="8.1" style="352"/>
    <col min="15875" max="15875" width="24.6" style="352" customWidth="1"/>
    <col min="15876" max="15876" width="11.9" style="352" customWidth="1"/>
    <col min="15877" max="15880" width="10.2" style="352" customWidth="1"/>
    <col min="15881" max="15881" width="10" style="352" customWidth="1"/>
    <col min="15882" max="16130" width="8.1" style="352"/>
    <col min="16131" max="16131" width="24.6" style="352" customWidth="1"/>
    <col min="16132" max="16132" width="11.9" style="352" customWidth="1"/>
    <col min="16133" max="16136" width="10.2" style="352" customWidth="1"/>
    <col min="16137" max="16137" width="10" style="352" customWidth="1"/>
    <col min="16138" max="16384" width="8.1" style="352"/>
  </cols>
  <sheetData>
    <row r="1" ht="31.5" customHeight="1" spans="1:8">
      <c r="A1" s="354" t="s">
        <v>1216</v>
      </c>
      <c r="B1" s="354"/>
      <c r="C1" s="354"/>
      <c r="D1" s="354"/>
      <c r="E1" s="354"/>
      <c r="F1" s="354"/>
      <c r="G1" s="354"/>
      <c r="H1" s="354"/>
    </row>
    <row r="2" s="351" customFormat="1" ht="12" spans="1:16383">
      <c r="A2" s="352"/>
      <c r="B2" s="353"/>
      <c r="C2" s="353"/>
      <c r="D2" s="353"/>
      <c r="E2" s="353"/>
      <c r="F2" s="353"/>
      <c r="G2" s="353"/>
      <c r="H2" s="353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352"/>
      <c r="AK2" s="352"/>
      <c r="AL2" s="352"/>
      <c r="AM2" s="352"/>
      <c r="AN2" s="352"/>
      <c r="AO2" s="352"/>
      <c r="AP2" s="352"/>
      <c r="AQ2" s="352"/>
      <c r="AR2" s="352"/>
      <c r="AS2" s="352"/>
      <c r="AT2" s="352"/>
      <c r="AU2" s="352"/>
      <c r="AV2" s="352"/>
      <c r="AW2" s="352"/>
      <c r="AX2" s="352"/>
      <c r="AY2" s="352"/>
      <c r="AZ2" s="352"/>
      <c r="BA2" s="352"/>
      <c r="BB2" s="352"/>
      <c r="BC2" s="352"/>
      <c r="BD2" s="352"/>
      <c r="BE2" s="352"/>
      <c r="BF2" s="352"/>
      <c r="BG2" s="352"/>
      <c r="BH2" s="352"/>
      <c r="BI2" s="352"/>
      <c r="BJ2" s="352"/>
      <c r="BK2" s="352"/>
      <c r="BL2" s="352"/>
      <c r="BM2" s="352"/>
      <c r="BN2" s="352"/>
      <c r="BO2" s="352"/>
      <c r="BP2" s="352"/>
      <c r="BQ2" s="352"/>
      <c r="BR2" s="352"/>
      <c r="BS2" s="352"/>
      <c r="BT2" s="352"/>
      <c r="BU2" s="352"/>
      <c r="BV2" s="352"/>
      <c r="BW2" s="352"/>
      <c r="BX2" s="352"/>
      <c r="BY2" s="352"/>
      <c r="BZ2" s="352"/>
      <c r="CA2" s="352"/>
      <c r="CB2" s="352"/>
      <c r="CC2" s="352"/>
      <c r="CD2" s="352"/>
      <c r="CE2" s="352"/>
      <c r="CF2" s="352"/>
      <c r="CG2" s="352"/>
      <c r="CH2" s="352"/>
      <c r="CI2" s="352"/>
      <c r="CJ2" s="352"/>
      <c r="CK2" s="352"/>
      <c r="CL2" s="352"/>
      <c r="CM2" s="352"/>
      <c r="CN2" s="352"/>
      <c r="CO2" s="352"/>
      <c r="CP2" s="352"/>
      <c r="CQ2" s="352"/>
      <c r="CR2" s="352"/>
      <c r="CS2" s="352"/>
      <c r="CT2" s="352"/>
      <c r="CU2" s="352"/>
      <c r="CV2" s="352"/>
      <c r="CW2" s="352"/>
      <c r="CX2" s="352"/>
      <c r="CY2" s="352"/>
      <c r="CZ2" s="352"/>
      <c r="DA2" s="352"/>
      <c r="DB2" s="352"/>
      <c r="DC2" s="352"/>
      <c r="DD2" s="352"/>
      <c r="DE2" s="352"/>
      <c r="DF2" s="352"/>
      <c r="DG2" s="352"/>
      <c r="DH2" s="352"/>
      <c r="DI2" s="352"/>
      <c r="DJ2" s="352"/>
      <c r="DK2" s="352"/>
      <c r="DL2" s="352"/>
      <c r="DM2" s="352"/>
      <c r="DN2" s="352"/>
      <c r="DO2" s="352"/>
      <c r="DP2" s="352"/>
      <c r="DQ2" s="352"/>
      <c r="DR2" s="352"/>
      <c r="DS2" s="352"/>
      <c r="DT2" s="352"/>
      <c r="DU2" s="352"/>
      <c r="DV2" s="352"/>
      <c r="DW2" s="352"/>
      <c r="DX2" s="352"/>
      <c r="DY2" s="352"/>
      <c r="DZ2" s="352"/>
      <c r="EA2" s="352"/>
      <c r="EB2" s="352"/>
      <c r="EC2" s="352"/>
      <c r="ED2" s="352"/>
      <c r="EE2" s="352"/>
      <c r="EF2" s="352"/>
      <c r="EG2" s="352"/>
      <c r="EH2" s="352"/>
      <c r="EI2" s="352"/>
      <c r="EJ2" s="352"/>
      <c r="EK2" s="352"/>
      <c r="EL2" s="352"/>
      <c r="EM2" s="352"/>
      <c r="EN2" s="352"/>
      <c r="EO2" s="352"/>
      <c r="EP2" s="352"/>
      <c r="EQ2" s="352"/>
      <c r="ER2" s="352"/>
      <c r="ES2" s="352"/>
      <c r="ET2" s="352"/>
      <c r="EU2" s="352"/>
      <c r="EV2" s="352"/>
      <c r="EW2" s="352"/>
      <c r="EX2" s="352"/>
      <c r="EY2" s="352"/>
      <c r="EZ2" s="352"/>
      <c r="FA2" s="352"/>
      <c r="FB2" s="352"/>
      <c r="FC2" s="352"/>
      <c r="FD2" s="352"/>
      <c r="FE2" s="352"/>
      <c r="FF2" s="352"/>
      <c r="FG2" s="352"/>
      <c r="FH2" s="352"/>
      <c r="FI2" s="352"/>
      <c r="FJ2" s="352"/>
      <c r="FK2" s="352"/>
      <c r="FL2" s="352"/>
      <c r="FM2" s="352"/>
      <c r="FN2" s="352"/>
      <c r="FO2" s="352"/>
      <c r="FP2" s="352"/>
      <c r="FQ2" s="352"/>
      <c r="FR2" s="352"/>
      <c r="FS2" s="352"/>
      <c r="FT2" s="352"/>
      <c r="FU2" s="352"/>
      <c r="FV2" s="352"/>
      <c r="FW2" s="352"/>
      <c r="FX2" s="352"/>
      <c r="FY2" s="352"/>
      <c r="FZ2" s="352"/>
      <c r="GA2" s="352"/>
      <c r="GB2" s="352"/>
      <c r="GC2" s="352"/>
      <c r="GD2" s="352"/>
      <c r="GE2" s="352"/>
      <c r="GF2" s="352"/>
      <c r="GG2" s="352"/>
      <c r="GH2" s="352"/>
      <c r="GI2" s="352"/>
      <c r="GJ2" s="352"/>
      <c r="GK2" s="352"/>
      <c r="GL2" s="352"/>
      <c r="GM2" s="352"/>
      <c r="GN2" s="352"/>
      <c r="GO2" s="352"/>
      <c r="GP2" s="352"/>
      <c r="GQ2" s="352"/>
      <c r="GR2" s="352"/>
      <c r="GS2" s="352"/>
      <c r="GT2" s="352"/>
      <c r="GU2" s="352"/>
      <c r="GV2" s="352"/>
      <c r="GW2" s="352"/>
      <c r="GX2" s="352"/>
      <c r="GY2" s="352"/>
      <c r="GZ2" s="352"/>
      <c r="HA2" s="352"/>
      <c r="HB2" s="352"/>
      <c r="HC2" s="352"/>
      <c r="HD2" s="352"/>
      <c r="HE2" s="352"/>
      <c r="HF2" s="352"/>
      <c r="HG2" s="352"/>
      <c r="HH2" s="352"/>
      <c r="HI2" s="352"/>
      <c r="HJ2" s="352"/>
      <c r="HK2" s="352"/>
      <c r="HL2" s="352"/>
      <c r="HM2" s="352"/>
      <c r="HN2" s="352"/>
      <c r="HO2" s="352"/>
      <c r="HP2" s="352"/>
      <c r="HQ2" s="352"/>
      <c r="HR2" s="352"/>
      <c r="HS2" s="352"/>
      <c r="HT2" s="352"/>
      <c r="HU2" s="352"/>
      <c r="HV2" s="352"/>
      <c r="HW2" s="352"/>
      <c r="HX2" s="352"/>
      <c r="HY2" s="352"/>
      <c r="HZ2" s="352"/>
      <c r="IA2" s="352"/>
      <c r="IB2" s="352"/>
      <c r="IC2" s="352"/>
      <c r="ID2" s="352"/>
      <c r="IE2" s="352"/>
      <c r="IF2" s="352"/>
      <c r="IG2" s="352"/>
      <c r="IH2" s="352"/>
      <c r="II2" s="352"/>
      <c r="IJ2" s="352"/>
      <c r="IK2" s="352"/>
      <c r="IL2" s="352"/>
      <c r="IM2" s="352"/>
      <c r="IN2" s="352"/>
      <c r="IO2" s="352"/>
      <c r="IP2" s="352"/>
      <c r="IQ2" s="352"/>
      <c r="IR2" s="352"/>
      <c r="IS2" s="352"/>
      <c r="IT2" s="352"/>
      <c r="IU2" s="352"/>
      <c r="IV2" s="352"/>
      <c r="IW2" s="352"/>
      <c r="IX2" s="352"/>
      <c r="IY2" s="352"/>
      <c r="IZ2" s="352"/>
      <c r="JA2" s="352"/>
      <c r="JB2" s="352"/>
      <c r="JC2" s="352"/>
      <c r="JD2" s="352"/>
      <c r="JE2" s="352"/>
      <c r="JF2" s="352"/>
      <c r="JG2" s="352"/>
      <c r="JH2" s="352"/>
      <c r="JI2" s="352"/>
      <c r="JJ2" s="352"/>
      <c r="JK2" s="352"/>
      <c r="JL2" s="352"/>
      <c r="JM2" s="352"/>
      <c r="JN2" s="352"/>
      <c r="JO2" s="352"/>
      <c r="JP2" s="352"/>
      <c r="JQ2" s="352"/>
      <c r="JR2" s="352"/>
      <c r="JS2" s="352"/>
      <c r="JT2" s="352"/>
      <c r="JU2" s="352"/>
      <c r="JV2" s="352"/>
      <c r="JW2" s="352"/>
      <c r="JX2" s="352"/>
      <c r="JY2" s="352"/>
      <c r="JZ2" s="352"/>
      <c r="KA2" s="352"/>
      <c r="KB2" s="352"/>
      <c r="KC2" s="352"/>
      <c r="KD2" s="352"/>
      <c r="KE2" s="352"/>
      <c r="KF2" s="352"/>
      <c r="KG2" s="352"/>
      <c r="KH2" s="352"/>
      <c r="KI2" s="352"/>
      <c r="KJ2" s="352"/>
      <c r="KK2" s="352"/>
      <c r="KL2" s="352"/>
      <c r="KM2" s="352"/>
      <c r="KN2" s="352"/>
      <c r="KO2" s="352"/>
      <c r="KP2" s="352"/>
      <c r="KQ2" s="352"/>
      <c r="KR2" s="352"/>
      <c r="KS2" s="352"/>
      <c r="KT2" s="352"/>
      <c r="KU2" s="352"/>
      <c r="KV2" s="352"/>
      <c r="KW2" s="352"/>
      <c r="KX2" s="352"/>
      <c r="KY2" s="352"/>
      <c r="KZ2" s="352"/>
      <c r="LA2" s="352"/>
      <c r="LB2" s="352"/>
      <c r="LC2" s="352"/>
      <c r="LD2" s="352"/>
      <c r="LE2" s="352"/>
      <c r="LF2" s="352"/>
      <c r="LG2" s="352"/>
      <c r="LH2" s="352"/>
      <c r="LI2" s="352"/>
      <c r="LJ2" s="352"/>
      <c r="LK2" s="352"/>
      <c r="LL2" s="352"/>
      <c r="LM2" s="352"/>
      <c r="LN2" s="352"/>
      <c r="LO2" s="352"/>
      <c r="LP2" s="352"/>
      <c r="LQ2" s="352"/>
      <c r="LR2" s="352"/>
      <c r="LS2" s="352"/>
      <c r="LT2" s="352"/>
      <c r="LU2" s="352"/>
      <c r="LV2" s="352"/>
      <c r="LW2" s="352"/>
      <c r="LX2" s="352"/>
      <c r="LY2" s="352"/>
      <c r="LZ2" s="352"/>
      <c r="MA2" s="352"/>
      <c r="MB2" s="352"/>
      <c r="MC2" s="352"/>
      <c r="MD2" s="352"/>
      <c r="ME2" s="352"/>
      <c r="MF2" s="352"/>
      <c r="MG2" s="352"/>
      <c r="MH2" s="352"/>
      <c r="MI2" s="352"/>
      <c r="MJ2" s="352"/>
      <c r="MK2" s="352"/>
      <c r="ML2" s="352"/>
      <c r="MM2" s="352"/>
      <c r="MN2" s="352"/>
      <c r="MO2" s="352"/>
      <c r="MP2" s="352"/>
      <c r="MQ2" s="352"/>
      <c r="MR2" s="352"/>
      <c r="MS2" s="352"/>
      <c r="MT2" s="352"/>
      <c r="MU2" s="352"/>
      <c r="MV2" s="352"/>
      <c r="MW2" s="352"/>
      <c r="MX2" s="352"/>
      <c r="MY2" s="352"/>
      <c r="MZ2" s="352"/>
      <c r="NA2" s="352"/>
      <c r="NB2" s="352"/>
      <c r="NC2" s="352"/>
      <c r="ND2" s="352"/>
      <c r="NE2" s="352"/>
      <c r="NF2" s="352"/>
      <c r="NG2" s="352"/>
      <c r="NH2" s="352"/>
      <c r="NI2" s="352"/>
      <c r="NJ2" s="352"/>
      <c r="NK2" s="352"/>
      <c r="NL2" s="352"/>
      <c r="NM2" s="352"/>
      <c r="NN2" s="352"/>
      <c r="NO2" s="352"/>
      <c r="NP2" s="352"/>
      <c r="NQ2" s="352"/>
      <c r="NR2" s="352"/>
      <c r="NS2" s="352"/>
      <c r="NT2" s="352"/>
      <c r="NU2" s="352"/>
      <c r="NV2" s="352"/>
      <c r="NW2" s="352"/>
      <c r="NX2" s="352"/>
      <c r="NY2" s="352"/>
      <c r="NZ2" s="352"/>
      <c r="OA2" s="352"/>
      <c r="OB2" s="352"/>
      <c r="OC2" s="352"/>
      <c r="OD2" s="352"/>
      <c r="OE2" s="352"/>
      <c r="OF2" s="352"/>
      <c r="OG2" s="352"/>
      <c r="OH2" s="352"/>
      <c r="OI2" s="352"/>
      <c r="OJ2" s="352"/>
      <c r="OK2" s="352"/>
      <c r="OL2" s="352"/>
      <c r="OM2" s="352"/>
      <c r="ON2" s="352"/>
      <c r="OO2" s="352"/>
      <c r="OP2" s="352"/>
      <c r="OQ2" s="352"/>
      <c r="OR2" s="352"/>
      <c r="OS2" s="352"/>
      <c r="OT2" s="352"/>
      <c r="OU2" s="352"/>
      <c r="OV2" s="352"/>
      <c r="OW2" s="352"/>
      <c r="OX2" s="352"/>
      <c r="OY2" s="352"/>
      <c r="OZ2" s="352"/>
      <c r="PA2" s="352"/>
      <c r="PB2" s="352"/>
      <c r="PC2" s="352"/>
      <c r="PD2" s="352"/>
      <c r="PE2" s="352"/>
      <c r="PF2" s="352"/>
      <c r="PG2" s="352"/>
      <c r="PH2" s="352"/>
      <c r="PI2" s="352"/>
      <c r="PJ2" s="352"/>
      <c r="PK2" s="352"/>
      <c r="PL2" s="352"/>
      <c r="PM2" s="352"/>
      <c r="PN2" s="352"/>
      <c r="PO2" s="352"/>
      <c r="PP2" s="352"/>
      <c r="PQ2" s="352"/>
      <c r="PR2" s="352"/>
      <c r="PS2" s="352"/>
      <c r="PT2" s="352"/>
      <c r="PU2" s="352"/>
      <c r="PV2" s="352"/>
      <c r="PW2" s="352"/>
      <c r="PX2" s="352"/>
      <c r="PY2" s="352"/>
      <c r="PZ2" s="352"/>
      <c r="QA2" s="352"/>
      <c r="QB2" s="352"/>
      <c r="QC2" s="352"/>
      <c r="QD2" s="352"/>
      <c r="QE2" s="352"/>
      <c r="QF2" s="352"/>
      <c r="QG2" s="352"/>
      <c r="QH2" s="352"/>
      <c r="QI2" s="352"/>
      <c r="QJ2" s="352"/>
      <c r="QK2" s="352"/>
      <c r="QL2" s="352"/>
      <c r="QM2" s="352"/>
      <c r="QN2" s="352"/>
      <c r="QO2" s="352"/>
      <c r="QP2" s="352"/>
      <c r="QQ2" s="352"/>
      <c r="QR2" s="352"/>
      <c r="QS2" s="352"/>
      <c r="QT2" s="352"/>
      <c r="QU2" s="352"/>
      <c r="QV2" s="352"/>
      <c r="QW2" s="352"/>
      <c r="QX2" s="352"/>
      <c r="QY2" s="352"/>
      <c r="QZ2" s="352"/>
      <c r="RA2" s="352"/>
      <c r="RB2" s="352"/>
      <c r="RC2" s="352"/>
      <c r="RD2" s="352"/>
      <c r="RE2" s="352"/>
      <c r="RF2" s="352"/>
      <c r="RG2" s="352"/>
      <c r="RH2" s="352"/>
      <c r="RI2" s="352"/>
      <c r="RJ2" s="352"/>
      <c r="RK2" s="352"/>
      <c r="RL2" s="352"/>
      <c r="RM2" s="352"/>
      <c r="RN2" s="352"/>
      <c r="RO2" s="352"/>
      <c r="RP2" s="352"/>
      <c r="RQ2" s="352"/>
      <c r="RR2" s="352"/>
      <c r="RS2" s="352"/>
      <c r="RT2" s="352"/>
      <c r="RU2" s="352"/>
      <c r="RV2" s="352"/>
      <c r="RW2" s="352"/>
      <c r="RX2" s="352"/>
      <c r="RY2" s="352"/>
      <c r="RZ2" s="352"/>
      <c r="SA2" s="352"/>
      <c r="SB2" s="352"/>
      <c r="SC2" s="352"/>
      <c r="SD2" s="352"/>
      <c r="SE2" s="352"/>
      <c r="SF2" s="352"/>
      <c r="SG2" s="352"/>
      <c r="SH2" s="352"/>
      <c r="SI2" s="352"/>
      <c r="SJ2" s="352"/>
      <c r="SK2" s="352"/>
      <c r="SL2" s="352"/>
      <c r="SM2" s="352"/>
      <c r="SN2" s="352"/>
      <c r="SO2" s="352"/>
      <c r="SP2" s="352"/>
      <c r="SQ2" s="352"/>
      <c r="SR2" s="352"/>
      <c r="SS2" s="352"/>
      <c r="ST2" s="352"/>
      <c r="SU2" s="352"/>
      <c r="SV2" s="352"/>
      <c r="SW2" s="352"/>
      <c r="SX2" s="352"/>
      <c r="SY2" s="352"/>
      <c r="SZ2" s="352"/>
      <c r="TA2" s="352"/>
      <c r="TB2" s="352"/>
      <c r="TC2" s="352"/>
      <c r="TD2" s="352"/>
      <c r="TE2" s="352"/>
      <c r="TF2" s="352"/>
      <c r="TG2" s="352"/>
      <c r="TH2" s="352"/>
      <c r="TI2" s="352"/>
      <c r="TJ2" s="352"/>
      <c r="TK2" s="352"/>
      <c r="TL2" s="352"/>
      <c r="TM2" s="352"/>
      <c r="TN2" s="352"/>
      <c r="TO2" s="352"/>
      <c r="TP2" s="352"/>
      <c r="TQ2" s="352"/>
      <c r="TR2" s="352"/>
      <c r="TS2" s="352"/>
      <c r="TT2" s="352"/>
      <c r="TU2" s="352"/>
      <c r="TV2" s="352"/>
      <c r="TW2" s="352"/>
      <c r="TX2" s="352"/>
      <c r="TY2" s="352"/>
      <c r="TZ2" s="352"/>
      <c r="UA2" s="352"/>
      <c r="UB2" s="352"/>
      <c r="UC2" s="352"/>
      <c r="UD2" s="352"/>
      <c r="UE2" s="352"/>
      <c r="UF2" s="352"/>
      <c r="UG2" s="352"/>
      <c r="UH2" s="352"/>
      <c r="UI2" s="352"/>
      <c r="UJ2" s="352"/>
      <c r="UK2" s="352"/>
      <c r="UL2" s="352"/>
      <c r="UM2" s="352"/>
      <c r="UN2" s="352"/>
      <c r="UO2" s="352"/>
      <c r="UP2" s="352"/>
      <c r="UQ2" s="352"/>
      <c r="UR2" s="352"/>
      <c r="US2" s="352"/>
      <c r="UT2" s="352"/>
      <c r="UU2" s="352"/>
      <c r="UV2" s="352"/>
      <c r="UW2" s="352"/>
      <c r="UX2" s="352"/>
      <c r="UY2" s="352"/>
      <c r="UZ2" s="352"/>
      <c r="VA2" s="352"/>
      <c r="VB2" s="352"/>
      <c r="VC2" s="352"/>
      <c r="VD2" s="352"/>
      <c r="VE2" s="352"/>
      <c r="VF2" s="352"/>
      <c r="VG2" s="352"/>
      <c r="VH2" s="352"/>
      <c r="VI2" s="352"/>
      <c r="VJ2" s="352"/>
      <c r="VK2" s="352"/>
      <c r="VL2" s="352"/>
      <c r="VM2" s="352"/>
      <c r="VN2" s="352"/>
      <c r="VO2" s="352"/>
      <c r="VP2" s="352"/>
      <c r="VQ2" s="352"/>
      <c r="VR2" s="352"/>
      <c r="VS2" s="352"/>
      <c r="VT2" s="352"/>
      <c r="VU2" s="352"/>
      <c r="VV2" s="352"/>
      <c r="VW2" s="352"/>
      <c r="VX2" s="352"/>
      <c r="VY2" s="352"/>
      <c r="VZ2" s="352"/>
      <c r="WA2" s="352"/>
      <c r="WB2" s="352"/>
      <c r="WC2" s="352"/>
      <c r="WD2" s="352"/>
      <c r="WE2" s="352"/>
      <c r="WF2" s="352"/>
      <c r="WG2" s="352"/>
      <c r="WH2" s="352"/>
      <c r="WI2" s="352"/>
      <c r="WJ2" s="352"/>
      <c r="WK2" s="352"/>
      <c r="WL2" s="352"/>
      <c r="WM2" s="352"/>
      <c r="WN2" s="352"/>
      <c r="WO2" s="352"/>
      <c r="WP2" s="352"/>
      <c r="WQ2" s="352"/>
      <c r="WR2" s="352"/>
      <c r="WS2" s="352"/>
      <c r="WT2" s="352"/>
      <c r="WU2" s="352"/>
      <c r="WV2" s="352"/>
      <c r="WW2" s="352"/>
      <c r="WX2" s="352"/>
      <c r="WY2" s="352"/>
      <c r="WZ2" s="352"/>
      <c r="XA2" s="352"/>
      <c r="XB2" s="352"/>
      <c r="XC2" s="352"/>
      <c r="XD2" s="352"/>
      <c r="XE2" s="352"/>
      <c r="XF2" s="352"/>
      <c r="XG2" s="352"/>
      <c r="XH2" s="352"/>
      <c r="XI2" s="352"/>
      <c r="XJ2" s="352"/>
      <c r="XK2" s="352"/>
      <c r="XL2" s="352"/>
      <c r="XM2" s="352"/>
      <c r="XN2" s="352"/>
      <c r="XO2" s="352"/>
      <c r="XP2" s="352"/>
      <c r="XQ2" s="352"/>
      <c r="XR2" s="352"/>
      <c r="XS2" s="352"/>
      <c r="XT2" s="352"/>
      <c r="XU2" s="352"/>
      <c r="XV2" s="352"/>
      <c r="XW2" s="352"/>
      <c r="XX2" s="352"/>
      <c r="XY2" s="352"/>
      <c r="XZ2" s="352"/>
      <c r="YA2" s="352"/>
      <c r="YB2" s="352"/>
      <c r="YC2" s="352"/>
      <c r="YD2" s="352"/>
      <c r="YE2" s="352"/>
      <c r="YF2" s="352"/>
      <c r="YG2" s="352"/>
      <c r="YH2" s="352"/>
      <c r="YI2" s="352"/>
      <c r="YJ2" s="352"/>
      <c r="YK2" s="352"/>
      <c r="YL2" s="352"/>
      <c r="YM2" s="352"/>
      <c r="YN2" s="352"/>
      <c r="YO2" s="352"/>
      <c r="YP2" s="352"/>
      <c r="YQ2" s="352"/>
      <c r="YR2" s="352"/>
      <c r="YS2" s="352"/>
      <c r="YT2" s="352"/>
      <c r="YU2" s="352"/>
      <c r="YV2" s="352"/>
      <c r="YW2" s="352"/>
      <c r="YX2" s="352"/>
      <c r="YY2" s="352"/>
      <c r="YZ2" s="352"/>
      <c r="ZA2" s="352"/>
      <c r="ZB2" s="352"/>
      <c r="ZC2" s="352"/>
      <c r="ZD2" s="352"/>
      <c r="ZE2" s="352"/>
      <c r="ZF2" s="352"/>
      <c r="ZG2" s="352"/>
      <c r="ZH2" s="352"/>
      <c r="ZI2" s="352"/>
      <c r="ZJ2" s="352"/>
      <c r="ZK2" s="352"/>
      <c r="ZL2" s="352"/>
      <c r="ZM2" s="352"/>
      <c r="ZN2" s="352"/>
      <c r="ZO2" s="352"/>
      <c r="ZP2" s="352"/>
      <c r="ZQ2" s="352"/>
      <c r="ZR2" s="352"/>
      <c r="ZS2" s="352"/>
      <c r="ZT2" s="352"/>
      <c r="ZU2" s="352"/>
      <c r="ZV2" s="352"/>
      <c r="ZW2" s="352"/>
      <c r="ZX2" s="352"/>
      <c r="ZY2" s="352"/>
      <c r="ZZ2" s="352"/>
      <c r="AAA2" s="352"/>
      <c r="AAB2" s="352"/>
      <c r="AAC2" s="352"/>
      <c r="AAD2" s="352"/>
      <c r="AAE2" s="352"/>
      <c r="AAF2" s="352"/>
      <c r="AAG2" s="352"/>
      <c r="AAH2" s="352"/>
      <c r="AAI2" s="352"/>
      <c r="AAJ2" s="352"/>
      <c r="AAK2" s="352"/>
      <c r="AAL2" s="352"/>
      <c r="AAM2" s="352"/>
      <c r="AAN2" s="352"/>
      <c r="AAO2" s="352"/>
      <c r="AAP2" s="352"/>
      <c r="AAQ2" s="352"/>
      <c r="AAR2" s="352"/>
      <c r="AAS2" s="352"/>
      <c r="AAT2" s="352"/>
      <c r="AAU2" s="352"/>
      <c r="AAV2" s="352"/>
      <c r="AAW2" s="352"/>
      <c r="AAX2" s="352"/>
      <c r="AAY2" s="352"/>
      <c r="AAZ2" s="352"/>
      <c r="ABA2" s="352"/>
      <c r="ABB2" s="352"/>
      <c r="ABC2" s="352"/>
      <c r="ABD2" s="352"/>
      <c r="ABE2" s="352"/>
      <c r="ABF2" s="352"/>
      <c r="ABG2" s="352"/>
      <c r="ABH2" s="352"/>
      <c r="ABI2" s="352"/>
      <c r="ABJ2" s="352"/>
      <c r="ABK2" s="352"/>
      <c r="ABL2" s="352"/>
      <c r="ABM2" s="352"/>
      <c r="ABN2" s="352"/>
      <c r="ABO2" s="352"/>
      <c r="ABP2" s="352"/>
      <c r="ABQ2" s="352"/>
      <c r="ABR2" s="352"/>
      <c r="ABS2" s="352"/>
      <c r="ABT2" s="352"/>
      <c r="ABU2" s="352"/>
      <c r="ABV2" s="352"/>
      <c r="ABW2" s="352"/>
      <c r="ABX2" s="352"/>
      <c r="ABY2" s="352"/>
      <c r="ABZ2" s="352"/>
      <c r="ACA2" s="352"/>
      <c r="ACB2" s="352"/>
      <c r="ACC2" s="352"/>
      <c r="ACD2" s="352"/>
      <c r="ACE2" s="352"/>
      <c r="ACF2" s="352"/>
      <c r="ACG2" s="352"/>
      <c r="ACH2" s="352"/>
      <c r="ACI2" s="352"/>
      <c r="ACJ2" s="352"/>
      <c r="ACK2" s="352"/>
      <c r="ACL2" s="352"/>
      <c r="ACM2" s="352"/>
      <c r="ACN2" s="352"/>
      <c r="ACO2" s="352"/>
      <c r="ACP2" s="352"/>
      <c r="ACQ2" s="352"/>
      <c r="ACR2" s="352"/>
      <c r="ACS2" s="352"/>
      <c r="ACT2" s="352"/>
      <c r="ACU2" s="352"/>
      <c r="ACV2" s="352"/>
      <c r="ACW2" s="352"/>
      <c r="ACX2" s="352"/>
      <c r="ACY2" s="352"/>
      <c r="ACZ2" s="352"/>
      <c r="ADA2" s="352"/>
      <c r="ADB2" s="352"/>
      <c r="ADC2" s="352"/>
      <c r="ADD2" s="352"/>
      <c r="ADE2" s="352"/>
      <c r="ADF2" s="352"/>
      <c r="ADG2" s="352"/>
      <c r="ADH2" s="352"/>
      <c r="ADI2" s="352"/>
      <c r="ADJ2" s="352"/>
      <c r="ADK2" s="352"/>
      <c r="ADL2" s="352"/>
      <c r="ADM2" s="352"/>
      <c r="ADN2" s="352"/>
      <c r="ADO2" s="352"/>
      <c r="ADP2" s="352"/>
      <c r="ADQ2" s="352"/>
      <c r="ADR2" s="352"/>
      <c r="ADS2" s="352"/>
      <c r="ADT2" s="352"/>
      <c r="ADU2" s="352"/>
      <c r="ADV2" s="352"/>
      <c r="ADW2" s="352"/>
      <c r="ADX2" s="352"/>
      <c r="ADY2" s="352"/>
      <c r="ADZ2" s="352"/>
      <c r="AEA2" s="352"/>
      <c r="AEB2" s="352"/>
      <c r="AEC2" s="352"/>
      <c r="AED2" s="352"/>
      <c r="AEE2" s="352"/>
      <c r="AEF2" s="352"/>
      <c r="AEG2" s="352"/>
      <c r="AEH2" s="352"/>
      <c r="AEI2" s="352"/>
      <c r="AEJ2" s="352"/>
      <c r="AEK2" s="352"/>
      <c r="AEL2" s="352"/>
      <c r="AEM2" s="352"/>
      <c r="AEN2" s="352"/>
      <c r="AEO2" s="352"/>
      <c r="AEP2" s="352"/>
      <c r="AEQ2" s="352"/>
      <c r="AER2" s="352"/>
      <c r="AES2" s="352"/>
      <c r="AET2" s="352"/>
      <c r="AEU2" s="352"/>
      <c r="AEV2" s="352"/>
      <c r="AEW2" s="352"/>
      <c r="AEX2" s="352"/>
      <c r="AEY2" s="352"/>
      <c r="AEZ2" s="352"/>
      <c r="AFA2" s="352"/>
      <c r="AFB2" s="352"/>
      <c r="AFC2" s="352"/>
      <c r="AFD2" s="352"/>
      <c r="AFE2" s="352"/>
      <c r="AFF2" s="352"/>
      <c r="AFG2" s="352"/>
      <c r="AFH2" s="352"/>
      <c r="AFI2" s="352"/>
      <c r="AFJ2" s="352"/>
      <c r="AFK2" s="352"/>
      <c r="AFL2" s="352"/>
      <c r="AFM2" s="352"/>
      <c r="AFN2" s="352"/>
      <c r="AFO2" s="352"/>
      <c r="AFP2" s="352"/>
      <c r="AFQ2" s="352"/>
      <c r="AFR2" s="352"/>
      <c r="AFS2" s="352"/>
      <c r="AFT2" s="352"/>
      <c r="AFU2" s="352"/>
      <c r="AFV2" s="352"/>
      <c r="AFW2" s="352"/>
      <c r="AFX2" s="352"/>
      <c r="AFY2" s="352"/>
      <c r="AFZ2" s="352"/>
      <c r="AGA2" s="352"/>
      <c r="AGB2" s="352"/>
      <c r="AGC2" s="352"/>
      <c r="AGD2" s="352"/>
      <c r="AGE2" s="352"/>
      <c r="AGF2" s="352"/>
      <c r="AGG2" s="352"/>
      <c r="AGH2" s="352"/>
      <c r="AGI2" s="352"/>
      <c r="AGJ2" s="352"/>
      <c r="AGK2" s="352"/>
      <c r="AGL2" s="352"/>
      <c r="AGM2" s="352"/>
      <c r="AGN2" s="352"/>
      <c r="AGO2" s="352"/>
      <c r="AGP2" s="352"/>
      <c r="AGQ2" s="352"/>
      <c r="AGR2" s="352"/>
      <c r="AGS2" s="352"/>
      <c r="AGT2" s="352"/>
      <c r="AGU2" s="352"/>
      <c r="AGV2" s="352"/>
      <c r="AGW2" s="352"/>
      <c r="AGX2" s="352"/>
      <c r="AGY2" s="352"/>
      <c r="AGZ2" s="352"/>
      <c r="AHA2" s="352"/>
      <c r="AHB2" s="352"/>
      <c r="AHC2" s="352"/>
      <c r="AHD2" s="352"/>
      <c r="AHE2" s="352"/>
      <c r="AHF2" s="352"/>
      <c r="AHG2" s="352"/>
      <c r="AHH2" s="352"/>
      <c r="AHI2" s="352"/>
      <c r="AHJ2" s="352"/>
      <c r="AHK2" s="352"/>
      <c r="AHL2" s="352"/>
      <c r="AHM2" s="352"/>
      <c r="AHN2" s="352"/>
      <c r="AHO2" s="352"/>
      <c r="AHP2" s="352"/>
      <c r="AHQ2" s="352"/>
      <c r="AHR2" s="352"/>
      <c r="AHS2" s="352"/>
      <c r="AHT2" s="352"/>
      <c r="AHU2" s="352"/>
      <c r="AHV2" s="352"/>
      <c r="AHW2" s="352"/>
      <c r="AHX2" s="352"/>
      <c r="AHY2" s="352"/>
      <c r="AHZ2" s="352"/>
      <c r="AIA2" s="352"/>
      <c r="AIB2" s="352"/>
      <c r="AIC2" s="352"/>
      <c r="AID2" s="352"/>
      <c r="AIE2" s="352"/>
      <c r="AIF2" s="352"/>
      <c r="AIG2" s="352"/>
      <c r="AIH2" s="352"/>
      <c r="AII2" s="352"/>
      <c r="AIJ2" s="352"/>
      <c r="AIK2" s="352"/>
      <c r="AIL2" s="352"/>
      <c r="AIM2" s="352"/>
      <c r="AIN2" s="352"/>
      <c r="AIO2" s="352"/>
      <c r="AIP2" s="352"/>
      <c r="AIQ2" s="352"/>
      <c r="AIR2" s="352"/>
      <c r="AIS2" s="352"/>
      <c r="AIT2" s="352"/>
      <c r="AIU2" s="352"/>
      <c r="AIV2" s="352"/>
      <c r="AIW2" s="352"/>
      <c r="AIX2" s="352"/>
      <c r="AIY2" s="352"/>
      <c r="AIZ2" s="352"/>
      <c r="AJA2" s="352"/>
      <c r="AJB2" s="352"/>
      <c r="AJC2" s="352"/>
      <c r="AJD2" s="352"/>
      <c r="AJE2" s="352"/>
      <c r="AJF2" s="352"/>
      <c r="AJG2" s="352"/>
      <c r="AJH2" s="352"/>
      <c r="AJI2" s="352"/>
      <c r="AJJ2" s="352"/>
      <c r="AJK2" s="352"/>
      <c r="AJL2" s="352"/>
      <c r="AJM2" s="352"/>
      <c r="AJN2" s="352"/>
      <c r="AJO2" s="352"/>
      <c r="AJP2" s="352"/>
      <c r="AJQ2" s="352"/>
      <c r="AJR2" s="352"/>
      <c r="AJS2" s="352"/>
      <c r="AJT2" s="352"/>
      <c r="AJU2" s="352"/>
      <c r="AJV2" s="352"/>
      <c r="AJW2" s="352"/>
      <c r="AJX2" s="352"/>
      <c r="AJY2" s="352"/>
      <c r="AJZ2" s="352"/>
      <c r="AKA2" s="352"/>
      <c r="AKB2" s="352"/>
      <c r="AKC2" s="352"/>
      <c r="AKD2" s="352"/>
      <c r="AKE2" s="352"/>
      <c r="AKF2" s="352"/>
      <c r="AKG2" s="352"/>
      <c r="AKH2" s="352"/>
      <c r="AKI2" s="352"/>
      <c r="AKJ2" s="352"/>
      <c r="AKK2" s="352"/>
      <c r="AKL2" s="352"/>
      <c r="AKM2" s="352"/>
      <c r="AKN2" s="352"/>
      <c r="AKO2" s="352"/>
      <c r="AKP2" s="352"/>
      <c r="AKQ2" s="352"/>
      <c r="AKR2" s="352"/>
      <c r="AKS2" s="352"/>
      <c r="AKT2" s="352"/>
      <c r="AKU2" s="352"/>
      <c r="AKV2" s="352"/>
      <c r="AKW2" s="352"/>
      <c r="AKX2" s="352"/>
      <c r="AKY2" s="352"/>
      <c r="AKZ2" s="352"/>
      <c r="ALA2" s="352"/>
      <c r="ALB2" s="352"/>
      <c r="ALC2" s="352"/>
      <c r="ALD2" s="352"/>
      <c r="ALE2" s="352"/>
      <c r="ALF2" s="352"/>
      <c r="ALG2" s="352"/>
      <c r="ALH2" s="352"/>
      <c r="ALI2" s="352"/>
      <c r="ALJ2" s="352"/>
      <c r="ALK2" s="352"/>
      <c r="ALL2" s="352"/>
      <c r="ALM2" s="352"/>
      <c r="ALN2" s="352"/>
      <c r="ALO2" s="352"/>
      <c r="ALP2" s="352"/>
      <c r="ALQ2" s="352"/>
      <c r="ALR2" s="352"/>
      <c r="ALS2" s="352"/>
      <c r="ALT2" s="352"/>
      <c r="ALU2" s="352"/>
      <c r="ALV2" s="352"/>
      <c r="ALW2" s="352"/>
      <c r="ALX2" s="352"/>
      <c r="ALY2" s="352"/>
      <c r="ALZ2" s="352"/>
      <c r="AMA2" s="352"/>
      <c r="AMB2" s="352"/>
      <c r="AMC2" s="352"/>
      <c r="AMD2" s="352"/>
      <c r="AME2" s="352"/>
      <c r="AMF2" s="352"/>
      <c r="AMG2" s="352"/>
      <c r="AMH2" s="352"/>
      <c r="AMI2" s="352"/>
      <c r="AMJ2" s="352"/>
      <c r="AMK2" s="352"/>
      <c r="AML2" s="352"/>
      <c r="AMM2" s="352"/>
      <c r="AMN2" s="352"/>
      <c r="AMO2" s="352"/>
      <c r="AMP2" s="352"/>
      <c r="AMQ2" s="352"/>
      <c r="AMR2" s="352"/>
      <c r="AMS2" s="352"/>
      <c r="AMT2" s="352"/>
      <c r="AMU2" s="352"/>
      <c r="AMV2" s="352"/>
      <c r="AMW2" s="352"/>
      <c r="AMX2" s="352"/>
      <c r="AMY2" s="352"/>
      <c r="AMZ2" s="352"/>
      <c r="ANA2" s="352"/>
      <c r="ANB2" s="352"/>
      <c r="ANC2" s="352"/>
      <c r="AND2" s="352"/>
      <c r="ANE2" s="352"/>
      <c r="ANF2" s="352"/>
      <c r="ANG2" s="352"/>
      <c r="ANH2" s="352"/>
      <c r="ANI2" s="352"/>
      <c r="ANJ2" s="352"/>
      <c r="ANK2" s="352"/>
      <c r="ANL2" s="352"/>
      <c r="ANM2" s="352"/>
      <c r="ANN2" s="352"/>
      <c r="ANO2" s="352"/>
      <c r="ANP2" s="352"/>
      <c r="ANQ2" s="352"/>
      <c r="ANR2" s="352"/>
      <c r="ANS2" s="352"/>
      <c r="ANT2" s="352"/>
      <c r="ANU2" s="352"/>
      <c r="ANV2" s="352"/>
      <c r="ANW2" s="352"/>
      <c r="ANX2" s="352"/>
      <c r="ANY2" s="352"/>
      <c r="ANZ2" s="352"/>
      <c r="AOA2" s="352"/>
      <c r="AOB2" s="352"/>
      <c r="AOC2" s="352"/>
      <c r="AOD2" s="352"/>
      <c r="AOE2" s="352"/>
      <c r="AOF2" s="352"/>
      <c r="AOG2" s="352"/>
      <c r="AOH2" s="352"/>
      <c r="AOI2" s="352"/>
      <c r="AOJ2" s="352"/>
      <c r="AOK2" s="352"/>
      <c r="AOL2" s="352"/>
      <c r="AOM2" s="352"/>
      <c r="AON2" s="352"/>
      <c r="AOO2" s="352"/>
      <c r="AOP2" s="352"/>
      <c r="AOQ2" s="352"/>
      <c r="AOR2" s="352"/>
      <c r="AOS2" s="352"/>
      <c r="AOT2" s="352"/>
      <c r="AOU2" s="352"/>
      <c r="AOV2" s="352"/>
      <c r="AOW2" s="352"/>
      <c r="AOX2" s="352"/>
      <c r="AOY2" s="352"/>
      <c r="AOZ2" s="352"/>
      <c r="APA2" s="352"/>
      <c r="APB2" s="352"/>
      <c r="APC2" s="352"/>
      <c r="APD2" s="352"/>
      <c r="APE2" s="352"/>
      <c r="APF2" s="352"/>
      <c r="APG2" s="352"/>
      <c r="APH2" s="352"/>
      <c r="API2" s="352"/>
      <c r="APJ2" s="352"/>
      <c r="APK2" s="352"/>
      <c r="APL2" s="352"/>
      <c r="APM2" s="352"/>
      <c r="APN2" s="352"/>
      <c r="APO2" s="352"/>
      <c r="APP2" s="352"/>
      <c r="APQ2" s="352"/>
      <c r="APR2" s="352"/>
      <c r="APS2" s="352"/>
      <c r="APT2" s="352"/>
      <c r="APU2" s="352"/>
      <c r="APV2" s="352"/>
      <c r="APW2" s="352"/>
      <c r="APX2" s="352"/>
      <c r="APY2" s="352"/>
      <c r="APZ2" s="352"/>
      <c r="AQA2" s="352"/>
      <c r="AQB2" s="352"/>
      <c r="AQC2" s="352"/>
      <c r="AQD2" s="352"/>
      <c r="AQE2" s="352"/>
      <c r="AQF2" s="352"/>
      <c r="AQG2" s="352"/>
      <c r="AQH2" s="352"/>
      <c r="AQI2" s="352"/>
      <c r="AQJ2" s="352"/>
      <c r="AQK2" s="352"/>
      <c r="AQL2" s="352"/>
      <c r="AQM2" s="352"/>
      <c r="AQN2" s="352"/>
      <c r="AQO2" s="352"/>
      <c r="AQP2" s="352"/>
      <c r="AQQ2" s="352"/>
      <c r="AQR2" s="352"/>
      <c r="AQS2" s="352"/>
      <c r="AQT2" s="352"/>
      <c r="AQU2" s="352"/>
      <c r="AQV2" s="352"/>
      <c r="AQW2" s="352"/>
      <c r="AQX2" s="352"/>
      <c r="AQY2" s="352"/>
      <c r="AQZ2" s="352"/>
      <c r="ARA2" s="352"/>
      <c r="ARB2" s="352"/>
      <c r="ARC2" s="352"/>
      <c r="ARD2" s="352"/>
      <c r="ARE2" s="352"/>
      <c r="ARF2" s="352"/>
      <c r="ARG2" s="352"/>
      <c r="ARH2" s="352"/>
      <c r="ARI2" s="352"/>
      <c r="ARJ2" s="352"/>
      <c r="ARK2" s="352"/>
      <c r="ARL2" s="352"/>
      <c r="ARM2" s="352"/>
      <c r="ARN2" s="352"/>
      <c r="ARO2" s="352"/>
      <c r="ARP2" s="352"/>
      <c r="ARQ2" s="352"/>
      <c r="ARR2" s="352"/>
      <c r="ARS2" s="352"/>
      <c r="ART2" s="352"/>
      <c r="ARU2" s="352"/>
      <c r="ARV2" s="352"/>
      <c r="ARW2" s="352"/>
      <c r="ARX2" s="352"/>
      <c r="ARY2" s="352"/>
      <c r="ARZ2" s="352"/>
      <c r="ASA2" s="352"/>
      <c r="ASB2" s="352"/>
      <c r="ASC2" s="352"/>
      <c r="ASD2" s="352"/>
      <c r="ASE2" s="352"/>
      <c r="ASF2" s="352"/>
      <c r="ASG2" s="352"/>
      <c r="ASH2" s="352"/>
      <c r="ASI2" s="352"/>
      <c r="ASJ2" s="352"/>
      <c r="ASK2" s="352"/>
      <c r="ASL2" s="352"/>
      <c r="ASM2" s="352"/>
      <c r="ASN2" s="352"/>
      <c r="ASO2" s="352"/>
      <c r="ASP2" s="352"/>
      <c r="ASQ2" s="352"/>
      <c r="ASR2" s="352"/>
      <c r="ASS2" s="352"/>
      <c r="AST2" s="352"/>
      <c r="ASU2" s="352"/>
      <c r="ASV2" s="352"/>
      <c r="ASW2" s="352"/>
      <c r="ASX2" s="352"/>
      <c r="ASY2" s="352"/>
      <c r="ASZ2" s="352"/>
      <c r="ATA2" s="352"/>
      <c r="ATB2" s="352"/>
      <c r="ATC2" s="352"/>
      <c r="ATD2" s="352"/>
      <c r="ATE2" s="352"/>
      <c r="ATF2" s="352"/>
      <c r="ATG2" s="352"/>
      <c r="ATH2" s="352"/>
      <c r="ATI2" s="352"/>
      <c r="ATJ2" s="352"/>
      <c r="ATK2" s="352"/>
      <c r="ATL2" s="352"/>
      <c r="ATM2" s="352"/>
      <c r="ATN2" s="352"/>
      <c r="ATO2" s="352"/>
      <c r="ATP2" s="352"/>
      <c r="ATQ2" s="352"/>
      <c r="ATR2" s="352"/>
      <c r="ATS2" s="352"/>
      <c r="ATT2" s="352"/>
      <c r="ATU2" s="352"/>
      <c r="ATV2" s="352"/>
      <c r="ATW2" s="352"/>
      <c r="ATX2" s="352"/>
      <c r="ATY2" s="352"/>
      <c r="ATZ2" s="352"/>
      <c r="AUA2" s="352"/>
      <c r="AUB2" s="352"/>
      <c r="AUC2" s="352"/>
      <c r="AUD2" s="352"/>
      <c r="AUE2" s="352"/>
      <c r="AUF2" s="352"/>
      <c r="AUG2" s="352"/>
      <c r="AUH2" s="352"/>
      <c r="AUI2" s="352"/>
      <c r="AUJ2" s="352"/>
      <c r="AUK2" s="352"/>
      <c r="AUL2" s="352"/>
      <c r="AUM2" s="352"/>
      <c r="AUN2" s="352"/>
      <c r="AUO2" s="352"/>
      <c r="AUP2" s="352"/>
      <c r="AUQ2" s="352"/>
      <c r="AUR2" s="352"/>
      <c r="AUS2" s="352"/>
      <c r="AUT2" s="352"/>
      <c r="AUU2" s="352"/>
      <c r="AUV2" s="352"/>
      <c r="AUW2" s="352"/>
      <c r="AUX2" s="352"/>
      <c r="AUY2" s="352"/>
      <c r="AUZ2" s="352"/>
      <c r="AVA2" s="352"/>
      <c r="AVB2" s="352"/>
      <c r="AVC2" s="352"/>
      <c r="AVD2" s="352"/>
      <c r="AVE2" s="352"/>
      <c r="AVF2" s="352"/>
      <c r="AVG2" s="352"/>
      <c r="AVH2" s="352"/>
      <c r="AVI2" s="352"/>
      <c r="AVJ2" s="352"/>
      <c r="AVK2" s="352"/>
      <c r="AVL2" s="352"/>
      <c r="AVM2" s="352"/>
      <c r="AVN2" s="352"/>
      <c r="AVO2" s="352"/>
      <c r="AVP2" s="352"/>
      <c r="AVQ2" s="352"/>
      <c r="AVR2" s="352"/>
      <c r="AVS2" s="352"/>
      <c r="AVT2" s="352"/>
      <c r="AVU2" s="352"/>
      <c r="AVV2" s="352"/>
      <c r="AVW2" s="352"/>
      <c r="AVX2" s="352"/>
      <c r="AVY2" s="352"/>
      <c r="AVZ2" s="352"/>
      <c r="AWA2" s="352"/>
      <c r="AWB2" s="352"/>
      <c r="AWC2" s="352"/>
      <c r="AWD2" s="352"/>
      <c r="AWE2" s="352"/>
      <c r="AWF2" s="352"/>
      <c r="AWG2" s="352"/>
      <c r="AWH2" s="352"/>
      <c r="AWI2" s="352"/>
      <c r="AWJ2" s="352"/>
      <c r="AWK2" s="352"/>
      <c r="AWL2" s="352"/>
      <c r="AWM2" s="352"/>
      <c r="AWN2" s="352"/>
      <c r="AWO2" s="352"/>
      <c r="AWP2" s="352"/>
      <c r="AWQ2" s="352"/>
      <c r="AWR2" s="352"/>
      <c r="AWS2" s="352"/>
      <c r="AWT2" s="352"/>
      <c r="AWU2" s="352"/>
      <c r="AWV2" s="352"/>
      <c r="AWW2" s="352"/>
      <c r="AWX2" s="352"/>
      <c r="AWY2" s="352"/>
      <c r="AWZ2" s="352"/>
      <c r="AXA2" s="352"/>
      <c r="AXB2" s="352"/>
      <c r="AXC2" s="352"/>
      <c r="AXD2" s="352"/>
      <c r="AXE2" s="352"/>
      <c r="AXF2" s="352"/>
      <c r="AXG2" s="352"/>
      <c r="AXH2" s="352"/>
      <c r="AXI2" s="352"/>
      <c r="AXJ2" s="352"/>
      <c r="AXK2" s="352"/>
      <c r="AXL2" s="352"/>
      <c r="AXM2" s="352"/>
      <c r="AXN2" s="352"/>
      <c r="AXO2" s="352"/>
      <c r="AXP2" s="352"/>
      <c r="AXQ2" s="352"/>
      <c r="AXR2" s="352"/>
      <c r="AXS2" s="352"/>
      <c r="AXT2" s="352"/>
      <c r="AXU2" s="352"/>
      <c r="AXV2" s="352"/>
      <c r="AXW2" s="352"/>
      <c r="AXX2" s="352"/>
      <c r="AXY2" s="352"/>
      <c r="AXZ2" s="352"/>
      <c r="AYA2" s="352"/>
      <c r="AYB2" s="352"/>
      <c r="AYC2" s="352"/>
      <c r="AYD2" s="352"/>
      <c r="AYE2" s="352"/>
      <c r="AYF2" s="352"/>
      <c r="AYG2" s="352"/>
      <c r="AYH2" s="352"/>
      <c r="AYI2" s="352"/>
      <c r="AYJ2" s="352"/>
      <c r="AYK2" s="352"/>
      <c r="AYL2" s="352"/>
      <c r="AYM2" s="352"/>
      <c r="AYN2" s="352"/>
      <c r="AYO2" s="352"/>
      <c r="AYP2" s="352"/>
      <c r="AYQ2" s="352"/>
      <c r="AYR2" s="352"/>
      <c r="AYS2" s="352"/>
      <c r="AYT2" s="352"/>
      <c r="AYU2" s="352"/>
      <c r="AYV2" s="352"/>
      <c r="AYW2" s="352"/>
      <c r="AYX2" s="352"/>
      <c r="AYY2" s="352"/>
      <c r="AYZ2" s="352"/>
      <c r="AZA2" s="352"/>
      <c r="AZB2" s="352"/>
      <c r="AZC2" s="352"/>
      <c r="AZD2" s="352"/>
      <c r="AZE2" s="352"/>
      <c r="AZF2" s="352"/>
      <c r="AZG2" s="352"/>
      <c r="AZH2" s="352"/>
      <c r="AZI2" s="352"/>
      <c r="AZJ2" s="352"/>
      <c r="AZK2" s="352"/>
      <c r="AZL2" s="352"/>
      <c r="AZM2" s="352"/>
      <c r="AZN2" s="352"/>
      <c r="AZO2" s="352"/>
      <c r="AZP2" s="352"/>
      <c r="AZQ2" s="352"/>
      <c r="AZR2" s="352"/>
      <c r="AZS2" s="352"/>
      <c r="AZT2" s="352"/>
      <c r="AZU2" s="352"/>
      <c r="AZV2" s="352"/>
      <c r="AZW2" s="352"/>
      <c r="AZX2" s="352"/>
      <c r="AZY2" s="352"/>
      <c r="AZZ2" s="352"/>
      <c r="BAA2" s="352"/>
      <c r="BAB2" s="352"/>
      <c r="BAC2" s="352"/>
      <c r="BAD2" s="352"/>
      <c r="BAE2" s="352"/>
      <c r="BAF2" s="352"/>
      <c r="BAG2" s="352"/>
      <c r="BAH2" s="352"/>
      <c r="BAI2" s="352"/>
      <c r="BAJ2" s="352"/>
      <c r="BAK2" s="352"/>
      <c r="BAL2" s="352"/>
      <c r="BAM2" s="352"/>
      <c r="BAN2" s="352"/>
      <c r="BAO2" s="352"/>
      <c r="BAP2" s="352"/>
      <c r="BAQ2" s="352"/>
      <c r="BAR2" s="352"/>
      <c r="BAS2" s="352"/>
      <c r="BAT2" s="352"/>
      <c r="BAU2" s="352"/>
      <c r="BAV2" s="352"/>
      <c r="BAW2" s="352"/>
      <c r="BAX2" s="352"/>
      <c r="BAY2" s="352"/>
      <c r="BAZ2" s="352"/>
      <c r="BBA2" s="352"/>
      <c r="BBB2" s="352"/>
      <c r="BBC2" s="352"/>
      <c r="BBD2" s="352"/>
      <c r="BBE2" s="352"/>
      <c r="BBF2" s="352"/>
      <c r="BBG2" s="352"/>
      <c r="BBH2" s="352"/>
      <c r="BBI2" s="352"/>
      <c r="BBJ2" s="352"/>
      <c r="BBK2" s="352"/>
      <c r="BBL2" s="352"/>
      <c r="BBM2" s="352"/>
      <c r="BBN2" s="352"/>
      <c r="BBO2" s="352"/>
      <c r="BBP2" s="352"/>
      <c r="BBQ2" s="352"/>
      <c r="BBR2" s="352"/>
      <c r="BBS2" s="352"/>
      <c r="BBT2" s="352"/>
      <c r="BBU2" s="352"/>
      <c r="BBV2" s="352"/>
      <c r="BBW2" s="352"/>
      <c r="BBX2" s="352"/>
      <c r="BBY2" s="352"/>
      <c r="BBZ2" s="352"/>
      <c r="BCA2" s="352"/>
      <c r="BCB2" s="352"/>
      <c r="BCC2" s="352"/>
      <c r="BCD2" s="352"/>
      <c r="BCE2" s="352"/>
      <c r="BCF2" s="352"/>
      <c r="BCG2" s="352"/>
      <c r="BCH2" s="352"/>
      <c r="BCI2" s="352"/>
      <c r="BCJ2" s="352"/>
      <c r="BCK2" s="352"/>
      <c r="BCL2" s="352"/>
      <c r="BCM2" s="352"/>
      <c r="BCN2" s="352"/>
      <c r="BCO2" s="352"/>
      <c r="BCP2" s="352"/>
      <c r="BCQ2" s="352"/>
      <c r="BCR2" s="352"/>
      <c r="BCS2" s="352"/>
      <c r="BCT2" s="352"/>
      <c r="BCU2" s="352"/>
      <c r="BCV2" s="352"/>
      <c r="BCW2" s="352"/>
      <c r="BCX2" s="352"/>
      <c r="BCY2" s="352"/>
      <c r="BCZ2" s="352"/>
      <c r="BDA2" s="352"/>
      <c r="BDB2" s="352"/>
      <c r="BDC2" s="352"/>
      <c r="BDD2" s="352"/>
      <c r="BDE2" s="352"/>
      <c r="BDF2" s="352"/>
      <c r="BDG2" s="352"/>
      <c r="BDH2" s="352"/>
      <c r="BDI2" s="352"/>
      <c r="BDJ2" s="352"/>
      <c r="BDK2" s="352"/>
      <c r="BDL2" s="352"/>
      <c r="BDM2" s="352"/>
      <c r="BDN2" s="352"/>
      <c r="BDO2" s="352"/>
      <c r="BDP2" s="352"/>
      <c r="BDQ2" s="352"/>
      <c r="BDR2" s="352"/>
      <c r="BDS2" s="352"/>
      <c r="BDT2" s="352"/>
      <c r="BDU2" s="352"/>
      <c r="BDV2" s="352"/>
      <c r="BDW2" s="352"/>
      <c r="BDX2" s="352"/>
      <c r="BDY2" s="352"/>
      <c r="BDZ2" s="352"/>
      <c r="BEA2" s="352"/>
      <c r="BEB2" s="352"/>
      <c r="BEC2" s="352"/>
      <c r="BED2" s="352"/>
      <c r="BEE2" s="352"/>
      <c r="BEF2" s="352"/>
      <c r="BEG2" s="352"/>
      <c r="BEH2" s="352"/>
      <c r="BEI2" s="352"/>
      <c r="BEJ2" s="352"/>
      <c r="BEK2" s="352"/>
      <c r="BEL2" s="352"/>
      <c r="BEM2" s="352"/>
      <c r="BEN2" s="352"/>
      <c r="BEO2" s="352"/>
      <c r="BEP2" s="352"/>
      <c r="BEQ2" s="352"/>
      <c r="BER2" s="352"/>
      <c r="BES2" s="352"/>
      <c r="BET2" s="352"/>
      <c r="BEU2" s="352"/>
      <c r="BEV2" s="352"/>
      <c r="BEW2" s="352"/>
      <c r="BEX2" s="352"/>
      <c r="BEY2" s="352"/>
      <c r="BEZ2" s="352"/>
      <c r="BFA2" s="352"/>
      <c r="BFB2" s="352"/>
      <c r="BFC2" s="352"/>
      <c r="BFD2" s="352"/>
      <c r="BFE2" s="352"/>
      <c r="BFF2" s="352"/>
      <c r="BFG2" s="352"/>
      <c r="BFH2" s="352"/>
      <c r="BFI2" s="352"/>
      <c r="BFJ2" s="352"/>
      <c r="BFK2" s="352"/>
      <c r="BFL2" s="352"/>
      <c r="BFM2" s="352"/>
      <c r="BFN2" s="352"/>
      <c r="BFO2" s="352"/>
      <c r="BFP2" s="352"/>
      <c r="BFQ2" s="352"/>
      <c r="BFR2" s="352"/>
      <c r="BFS2" s="352"/>
      <c r="BFT2" s="352"/>
      <c r="BFU2" s="352"/>
      <c r="BFV2" s="352"/>
      <c r="BFW2" s="352"/>
      <c r="BFX2" s="352"/>
      <c r="BFY2" s="352"/>
      <c r="BFZ2" s="352"/>
      <c r="BGA2" s="352"/>
      <c r="BGB2" s="352"/>
      <c r="BGC2" s="352"/>
      <c r="BGD2" s="352"/>
      <c r="BGE2" s="352"/>
      <c r="BGF2" s="352"/>
      <c r="BGG2" s="352"/>
      <c r="BGH2" s="352"/>
      <c r="BGI2" s="352"/>
      <c r="BGJ2" s="352"/>
      <c r="BGK2" s="352"/>
      <c r="BGL2" s="352"/>
      <c r="BGM2" s="352"/>
      <c r="BGN2" s="352"/>
      <c r="BGO2" s="352"/>
      <c r="BGP2" s="352"/>
      <c r="BGQ2" s="352"/>
      <c r="BGR2" s="352"/>
      <c r="BGS2" s="352"/>
      <c r="BGT2" s="352"/>
      <c r="BGU2" s="352"/>
      <c r="BGV2" s="352"/>
      <c r="BGW2" s="352"/>
      <c r="BGX2" s="352"/>
      <c r="BGY2" s="352"/>
      <c r="BGZ2" s="352"/>
      <c r="BHA2" s="352"/>
      <c r="BHB2" s="352"/>
      <c r="BHC2" s="352"/>
      <c r="BHD2" s="352"/>
      <c r="BHE2" s="352"/>
      <c r="BHF2" s="352"/>
      <c r="BHG2" s="352"/>
      <c r="BHH2" s="352"/>
      <c r="BHI2" s="352"/>
      <c r="BHJ2" s="352"/>
      <c r="BHK2" s="352"/>
      <c r="BHL2" s="352"/>
      <c r="BHM2" s="352"/>
      <c r="BHN2" s="352"/>
      <c r="BHO2" s="352"/>
      <c r="BHP2" s="352"/>
      <c r="BHQ2" s="352"/>
      <c r="BHR2" s="352"/>
      <c r="BHS2" s="352"/>
      <c r="BHT2" s="352"/>
      <c r="BHU2" s="352"/>
      <c r="BHV2" s="352"/>
      <c r="BHW2" s="352"/>
      <c r="BHX2" s="352"/>
      <c r="BHY2" s="352"/>
      <c r="BHZ2" s="352"/>
      <c r="BIA2" s="352"/>
      <c r="BIB2" s="352"/>
      <c r="BIC2" s="352"/>
      <c r="BID2" s="352"/>
      <c r="BIE2" s="352"/>
      <c r="BIF2" s="352"/>
      <c r="BIG2" s="352"/>
      <c r="BIH2" s="352"/>
      <c r="BII2" s="352"/>
      <c r="BIJ2" s="352"/>
      <c r="BIK2" s="352"/>
      <c r="BIL2" s="352"/>
      <c r="BIM2" s="352"/>
      <c r="BIN2" s="352"/>
      <c r="BIO2" s="352"/>
      <c r="BIP2" s="352"/>
      <c r="BIQ2" s="352"/>
      <c r="BIR2" s="352"/>
      <c r="BIS2" s="352"/>
      <c r="BIT2" s="352"/>
      <c r="BIU2" s="352"/>
      <c r="BIV2" s="352"/>
      <c r="BIW2" s="352"/>
      <c r="BIX2" s="352"/>
      <c r="BIY2" s="352"/>
      <c r="BIZ2" s="352"/>
      <c r="BJA2" s="352"/>
      <c r="BJB2" s="352"/>
      <c r="BJC2" s="352"/>
      <c r="BJD2" s="352"/>
      <c r="BJE2" s="352"/>
      <c r="BJF2" s="352"/>
      <c r="BJG2" s="352"/>
      <c r="BJH2" s="352"/>
      <c r="BJI2" s="352"/>
      <c r="BJJ2" s="352"/>
      <c r="BJK2" s="352"/>
      <c r="BJL2" s="352"/>
      <c r="BJM2" s="352"/>
      <c r="BJN2" s="352"/>
      <c r="BJO2" s="352"/>
      <c r="BJP2" s="352"/>
      <c r="BJQ2" s="352"/>
      <c r="BJR2" s="352"/>
      <c r="BJS2" s="352"/>
      <c r="BJT2" s="352"/>
      <c r="BJU2" s="352"/>
      <c r="BJV2" s="352"/>
      <c r="BJW2" s="352"/>
      <c r="BJX2" s="352"/>
      <c r="BJY2" s="352"/>
      <c r="BJZ2" s="352"/>
      <c r="BKA2" s="352"/>
      <c r="BKB2" s="352"/>
      <c r="BKC2" s="352"/>
      <c r="BKD2" s="352"/>
      <c r="BKE2" s="352"/>
      <c r="BKF2" s="352"/>
      <c r="BKG2" s="352"/>
      <c r="BKH2" s="352"/>
      <c r="BKI2" s="352"/>
      <c r="BKJ2" s="352"/>
      <c r="BKK2" s="352"/>
      <c r="BKL2" s="352"/>
      <c r="BKM2" s="352"/>
      <c r="BKN2" s="352"/>
      <c r="BKO2" s="352"/>
      <c r="BKP2" s="352"/>
      <c r="BKQ2" s="352"/>
      <c r="BKR2" s="352"/>
      <c r="BKS2" s="352"/>
      <c r="BKT2" s="352"/>
      <c r="BKU2" s="352"/>
      <c r="BKV2" s="352"/>
      <c r="BKW2" s="352"/>
      <c r="BKX2" s="352"/>
      <c r="BKY2" s="352"/>
      <c r="BKZ2" s="352"/>
      <c r="BLA2" s="352"/>
      <c r="BLB2" s="352"/>
      <c r="BLC2" s="352"/>
      <c r="BLD2" s="352"/>
      <c r="BLE2" s="352"/>
      <c r="BLF2" s="352"/>
      <c r="BLG2" s="352"/>
      <c r="BLH2" s="352"/>
      <c r="BLI2" s="352"/>
      <c r="BLJ2" s="352"/>
      <c r="BLK2" s="352"/>
      <c r="BLL2" s="352"/>
      <c r="BLM2" s="352"/>
      <c r="BLN2" s="352"/>
      <c r="BLO2" s="352"/>
      <c r="BLP2" s="352"/>
      <c r="BLQ2" s="352"/>
      <c r="BLR2" s="352"/>
      <c r="BLS2" s="352"/>
      <c r="BLT2" s="352"/>
      <c r="BLU2" s="352"/>
      <c r="BLV2" s="352"/>
      <c r="BLW2" s="352"/>
      <c r="BLX2" s="352"/>
      <c r="BLY2" s="352"/>
      <c r="BLZ2" s="352"/>
      <c r="BMA2" s="352"/>
      <c r="BMB2" s="352"/>
      <c r="BMC2" s="352"/>
      <c r="BMD2" s="352"/>
      <c r="BME2" s="352"/>
      <c r="BMF2" s="352"/>
      <c r="BMG2" s="352"/>
      <c r="BMH2" s="352"/>
      <c r="BMI2" s="352"/>
      <c r="BMJ2" s="352"/>
      <c r="BMK2" s="352"/>
      <c r="BML2" s="352"/>
      <c r="BMM2" s="352"/>
      <c r="BMN2" s="352"/>
      <c r="BMO2" s="352"/>
      <c r="BMP2" s="352"/>
      <c r="BMQ2" s="352"/>
      <c r="BMR2" s="352"/>
      <c r="BMS2" s="352"/>
      <c r="BMT2" s="352"/>
      <c r="BMU2" s="352"/>
      <c r="BMV2" s="352"/>
      <c r="BMW2" s="352"/>
      <c r="BMX2" s="352"/>
      <c r="BMY2" s="352"/>
      <c r="BMZ2" s="352"/>
      <c r="BNA2" s="352"/>
      <c r="BNB2" s="352"/>
      <c r="BNC2" s="352"/>
      <c r="BND2" s="352"/>
      <c r="BNE2" s="352"/>
      <c r="BNF2" s="352"/>
      <c r="BNG2" s="352"/>
      <c r="BNH2" s="352"/>
      <c r="BNI2" s="352"/>
      <c r="BNJ2" s="352"/>
      <c r="BNK2" s="352"/>
      <c r="BNL2" s="352"/>
      <c r="BNM2" s="352"/>
      <c r="BNN2" s="352"/>
      <c r="BNO2" s="352"/>
      <c r="BNP2" s="352"/>
      <c r="BNQ2" s="352"/>
      <c r="BNR2" s="352"/>
      <c r="BNS2" s="352"/>
      <c r="BNT2" s="352"/>
      <c r="BNU2" s="352"/>
      <c r="BNV2" s="352"/>
      <c r="BNW2" s="352"/>
      <c r="BNX2" s="352"/>
      <c r="BNY2" s="352"/>
      <c r="BNZ2" s="352"/>
      <c r="BOA2" s="352"/>
      <c r="BOB2" s="352"/>
      <c r="BOC2" s="352"/>
      <c r="BOD2" s="352"/>
      <c r="BOE2" s="352"/>
      <c r="BOF2" s="352"/>
      <c r="BOG2" s="352"/>
      <c r="BOH2" s="352"/>
      <c r="BOI2" s="352"/>
      <c r="BOJ2" s="352"/>
      <c r="BOK2" s="352"/>
      <c r="BOL2" s="352"/>
      <c r="BOM2" s="352"/>
      <c r="BON2" s="352"/>
      <c r="BOO2" s="352"/>
      <c r="BOP2" s="352"/>
      <c r="BOQ2" s="352"/>
      <c r="BOR2" s="352"/>
      <c r="BOS2" s="352"/>
      <c r="BOT2" s="352"/>
      <c r="BOU2" s="352"/>
      <c r="BOV2" s="352"/>
      <c r="BOW2" s="352"/>
      <c r="BOX2" s="352"/>
      <c r="BOY2" s="352"/>
      <c r="BOZ2" s="352"/>
      <c r="BPA2" s="352"/>
      <c r="BPB2" s="352"/>
      <c r="BPC2" s="352"/>
      <c r="BPD2" s="352"/>
      <c r="BPE2" s="352"/>
      <c r="BPF2" s="352"/>
      <c r="BPG2" s="352"/>
      <c r="BPH2" s="352"/>
      <c r="BPI2" s="352"/>
      <c r="BPJ2" s="352"/>
      <c r="BPK2" s="352"/>
      <c r="BPL2" s="352"/>
      <c r="BPM2" s="352"/>
      <c r="BPN2" s="352"/>
      <c r="BPO2" s="352"/>
      <c r="BPP2" s="352"/>
      <c r="BPQ2" s="352"/>
      <c r="BPR2" s="352"/>
      <c r="BPS2" s="352"/>
      <c r="BPT2" s="352"/>
      <c r="BPU2" s="352"/>
      <c r="BPV2" s="352"/>
      <c r="BPW2" s="352"/>
      <c r="BPX2" s="352"/>
      <c r="BPY2" s="352"/>
      <c r="BPZ2" s="352"/>
      <c r="BQA2" s="352"/>
      <c r="BQB2" s="352"/>
      <c r="BQC2" s="352"/>
      <c r="BQD2" s="352"/>
      <c r="BQE2" s="352"/>
      <c r="BQF2" s="352"/>
      <c r="BQG2" s="352"/>
      <c r="BQH2" s="352"/>
      <c r="BQI2" s="352"/>
      <c r="BQJ2" s="352"/>
      <c r="BQK2" s="352"/>
      <c r="BQL2" s="352"/>
      <c r="BQM2" s="352"/>
      <c r="BQN2" s="352"/>
      <c r="BQO2" s="352"/>
      <c r="BQP2" s="352"/>
      <c r="BQQ2" s="352"/>
      <c r="BQR2" s="352"/>
      <c r="BQS2" s="352"/>
      <c r="BQT2" s="352"/>
      <c r="BQU2" s="352"/>
      <c r="BQV2" s="352"/>
      <c r="BQW2" s="352"/>
      <c r="BQX2" s="352"/>
      <c r="BQY2" s="352"/>
      <c r="BQZ2" s="352"/>
      <c r="BRA2" s="352"/>
      <c r="BRB2" s="352"/>
      <c r="BRC2" s="352"/>
      <c r="BRD2" s="352"/>
      <c r="BRE2" s="352"/>
      <c r="BRF2" s="352"/>
      <c r="BRG2" s="352"/>
      <c r="BRH2" s="352"/>
      <c r="BRI2" s="352"/>
      <c r="BRJ2" s="352"/>
      <c r="BRK2" s="352"/>
      <c r="BRL2" s="352"/>
      <c r="BRM2" s="352"/>
      <c r="BRN2" s="352"/>
      <c r="BRO2" s="352"/>
      <c r="BRP2" s="352"/>
      <c r="BRQ2" s="352"/>
      <c r="BRR2" s="352"/>
      <c r="BRS2" s="352"/>
      <c r="BRT2" s="352"/>
      <c r="BRU2" s="352"/>
      <c r="BRV2" s="352"/>
      <c r="BRW2" s="352"/>
      <c r="BRX2" s="352"/>
      <c r="BRY2" s="352"/>
      <c r="BRZ2" s="352"/>
      <c r="BSA2" s="352"/>
      <c r="BSB2" s="352"/>
      <c r="BSC2" s="352"/>
      <c r="BSD2" s="352"/>
      <c r="BSE2" s="352"/>
      <c r="BSF2" s="352"/>
      <c r="BSG2" s="352"/>
      <c r="BSH2" s="352"/>
      <c r="BSI2" s="352"/>
      <c r="BSJ2" s="352"/>
      <c r="BSK2" s="352"/>
      <c r="BSL2" s="352"/>
      <c r="BSM2" s="352"/>
      <c r="BSN2" s="352"/>
      <c r="BSO2" s="352"/>
      <c r="BSP2" s="352"/>
      <c r="BSQ2" s="352"/>
      <c r="BSR2" s="352"/>
      <c r="BSS2" s="352"/>
      <c r="BST2" s="352"/>
      <c r="BSU2" s="352"/>
      <c r="BSV2" s="352"/>
      <c r="BSW2" s="352"/>
      <c r="BSX2" s="352"/>
      <c r="BSY2" s="352"/>
      <c r="BSZ2" s="352"/>
      <c r="BTA2" s="352"/>
      <c r="BTB2" s="352"/>
      <c r="BTC2" s="352"/>
      <c r="BTD2" s="352"/>
      <c r="BTE2" s="352"/>
      <c r="BTF2" s="352"/>
      <c r="BTG2" s="352"/>
      <c r="BTH2" s="352"/>
      <c r="BTI2" s="352"/>
      <c r="BTJ2" s="352"/>
      <c r="BTK2" s="352"/>
      <c r="BTL2" s="352"/>
      <c r="BTM2" s="352"/>
      <c r="BTN2" s="352"/>
      <c r="BTO2" s="352"/>
      <c r="BTP2" s="352"/>
      <c r="BTQ2" s="352"/>
      <c r="BTR2" s="352"/>
      <c r="BTS2" s="352"/>
      <c r="BTT2" s="352"/>
      <c r="BTU2" s="352"/>
      <c r="BTV2" s="352"/>
      <c r="BTW2" s="352"/>
      <c r="BTX2" s="352"/>
      <c r="BTY2" s="352"/>
      <c r="BTZ2" s="352"/>
      <c r="BUA2" s="352"/>
      <c r="BUB2" s="352"/>
      <c r="BUC2" s="352"/>
      <c r="BUD2" s="352"/>
      <c r="BUE2" s="352"/>
      <c r="BUF2" s="352"/>
      <c r="BUG2" s="352"/>
      <c r="BUH2" s="352"/>
      <c r="BUI2" s="352"/>
      <c r="BUJ2" s="352"/>
      <c r="BUK2" s="352"/>
      <c r="BUL2" s="352"/>
      <c r="BUM2" s="352"/>
      <c r="BUN2" s="352"/>
      <c r="BUO2" s="352"/>
      <c r="BUP2" s="352"/>
      <c r="BUQ2" s="352"/>
      <c r="BUR2" s="352"/>
      <c r="BUS2" s="352"/>
      <c r="BUT2" s="352"/>
      <c r="BUU2" s="352"/>
      <c r="BUV2" s="352"/>
      <c r="BUW2" s="352"/>
      <c r="BUX2" s="352"/>
      <c r="BUY2" s="352"/>
      <c r="BUZ2" s="352"/>
      <c r="BVA2" s="352"/>
      <c r="BVB2" s="352"/>
      <c r="BVC2" s="352"/>
      <c r="BVD2" s="352"/>
      <c r="BVE2" s="352"/>
      <c r="BVF2" s="352"/>
      <c r="BVG2" s="352"/>
      <c r="BVH2" s="352"/>
      <c r="BVI2" s="352"/>
      <c r="BVJ2" s="352"/>
      <c r="BVK2" s="352"/>
      <c r="BVL2" s="352"/>
      <c r="BVM2" s="352"/>
      <c r="BVN2" s="352"/>
      <c r="BVO2" s="352"/>
      <c r="BVP2" s="352"/>
      <c r="BVQ2" s="352"/>
      <c r="BVR2" s="352"/>
      <c r="BVS2" s="352"/>
      <c r="BVT2" s="352"/>
      <c r="BVU2" s="352"/>
      <c r="BVV2" s="352"/>
      <c r="BVW2" s="352"/>
      <c r="BVX2" s="352"/>
      <c r="BVY2" s="352"/>
      <c r="BVZ2" s="352"/>
      <c r="BWA2" s="352"/>
      <c r="BWB2" s="352"/>
      <c r="BWC2" s="352"/>
      <c r="BWD2" s="352"/>
      <c r="BWE2" s="352"/>
      <c r="BWF2" s="352"/>
      <c r="BWG2" s="352"/>
      <c r="BWH2" s="352"/>
      <c r="BWI2" s="352"/>
      <c r="BWJ2" s="352"/>
      <c r="BWK2" s="352"/>
      <c r="BWL2" s="352"/>
      <c r="BWM2" s="352"/>
      <c r="BWN2" s="352"/>
      <c r="BWO2" s="352"/>
      <c r="BWP2" s="352"/>
      <c r="BWQ2" s="352"/>
      <c r="BWR2" s="352"/>
      <c r="BWS2" s="352"/>
      <c r="BWT2" s="352"/>
      <c r="BWU2" s="352"/>
      <c r="BWV2" s="352"/>
      <c r="BWW2" s="352"/>
      <c r="BWX2" s="352"/>
      <c r="BWY2" s="352"/>
      <c r="BWZ2" s="352"/>
      <c r="BXA2" s="352"/>
      <c r="BXB2" s="352"/>
      <c r="BXC2" s="352"/>
      <c r="BXD2" s="352"/>
      <c r="BXE2" s="352"/>
      <c r="BXF2" s="352"/>
      <c r="BXG2" s="352"/>
      <c r="BXH2" s="352"/>
      <c r="BXI2" s="352"/>
      <c r="BXJ2" s="352"/>
      <c r="BXK2" s="352"/>
      <c r="BXL2" s="352"/>
      <c r="BXM2" s="352"/>
      <c r="BXN2" s="352"/>
      <c r="BXO2" s="352"/>
      <c r="BXP2" s="352"/>
      <c r="BXQ2" s="352"/>
      <c r="BXR2" s="352"/>
      <c r="BXS2" s="352"/>
      <c r="BXT2" s="352"/>
      <c r="BXU2" s="352"/>
      <c r="BXV2" s="352"/>
      <c r="BXW2" s="352"/>
      <c r="BXX2" s="352"/>
      <c r="BXY2" s="352"/>
      <c r="BXZ2" s="352"/>
      <c r="BYA2" s="352"/>
      <c r="BYB2" s="352"/>
      <c r="BYC2" s="352"/>
      <c r="BYD2" s="352"/>
      <c r="BYE2" s="352"/>
      <c r="BYF2" s="352"/>
      <c r="BYG2" s="352"/>
      <c r="BYH2" s="352"/>
      <c r="BYI2" s="352"/>
      <c r="BYJ2" s="352"/>
      <c r="BYK2" s="352"/>
      <c r="BYL2" s="352"/>
      <c r="BYM2" s="352"/>
      <c r="BYN2" s="352"/>
      <c r="BYO2" s="352"/>
      <c r="BYP2" s="352"/>
      <c r="BYQ2" s="352"/>
      <c r="BYR2" s="352"/>
      <c r="BYS2" s="352"/>
      <c r="BYT2" s="352"/>
      <c r="BYU2" s="352"/>
      <c r="BYV2" s="352"/>
      <c r="BYW2" s="352"/>
      <c r="BYX2" s="352"/>
      <c r="BYY2" s="352"/>
      <c r="BYZ2" s="352"/>
      <c r="BZA2" s="352"/>
      <c r="BZB2" s="352"/>
      <c r="BZC2" s="352"/>
      <c r="BZD2" s="352"/>
      <c r="BZE2" s="352"/>
      <c r="BZF2" s="352"/>
      <c r="BZG2" s="352"/>
      <c r="BZH2" s="352"/>
      <c r="BZI2" s="352"/>
      <c r="BZJ2" s="352"/>
      <c r="BZK2" s="352"/>
      <c r="BZL2" s="352"/>
      <c r="BZM2" s="352"/>
      <c r="BZN2" s="352"/>
      <c r="BZO2" s="352"/>
      <c r="BZP2" s="352"/>
      <c r="BZQ2" s="352"/>
      <c r="BZR2" s="352"/>
      <c r="BZS2" s="352"/>
      <c r="BZT2" s="352"/>
      <c r="BZU2" s="352"/>
      <c r="BZV2" s="352"/>
      <c r="BZW2" s="352"/>
      <c r="BZX2" s="352"/>
      <c r="BZY2" s="352"/>
      <c r="BZZ2" s="352"/>
      <c r="CAA2" s="352"/>
      <c r="CAB2" s="352"/>
      <c r="CAC2" s="352"/>
      <c r="CAD2" s="352"/>
      <c r="CAE2" s="352"/>
      <c r="CAF2" s="352"/>
      <c r="CAG2" s="352"/>
      <c r="CAH2" s="352"/>
      <c r="CAI2" s="352"/>
      <c r="CAJ2" s="352"/>
      <c r="CAK2" s="352"/>
      <c r="CAL2" s="352"/>
      <c r="CAM2" s="352"/>
      <c r="CAN2" s="352"/>
      <c r="CAO2" s="352"/>
      <c r="CAP2" s="352"/>
      <c r="CAQ2" s="352"/>
      <c r="CAR2" s="352"/>
      <c r="CAS2" s="352"/>
      <c r="CAT2" s="352"/>
      <c r="CAU2" s="352"/>
      <c r="CAV2" s="352"/>
      <c r="CAW2" s="352"/>
      <c r="CAX2" s="352"/>
      <c r="CAY2" s="352"/>
      <c r="CAZ2" s="352"/>
      <c r="CBA2" s="352"/>
      <c r="CBB2" s="352"/>
      <c r="CBC2" s="352"/>
      <c r="CBD2" s="352"/>
      <c r="CBE2" s="352"/>
      <c r="CBF2" s="352"/>
      <c r="CBG2" s="352"/>
      <c r="CBH2" s="352"/>
      <c r="CBI2" s="352"/>
      <c r="CBJ2" s="352"/>
      <c r="CBK2" s="352"/>
      <c r="CBL2" s="352"/>
      <c r="CBM2" s="352"/>
      <c r="CBN2" s="352"/>
      <c r="CBO2" s="352"/>
      <c r="CBP2" s="352"/>
      <c r="CBQ2" s="352"/>
      <c r="CBR2" s="352"/>
      <c r="CBS2" s="352"/>
      <c r="CBT2" s="352"/>
      <c r="CBU2" s="352"/>
      <c r="CBV2" s="352"/>
      <c r="CBW2" s="352"/>
      <c r="CBX2" s="352"/>
      <c r="CBY2" s="352"/>
      <c r="CBZ2" s="352"/>
      <c r="CCA2" s="352"/>
      <c r="CCB2" s="352"/>
      <c r="CCC2" s="352"/>
      <c r="CCD2" s="352"/>
      <c r="CCE2" s="352"/>
      <c r="CCF2" s="352"/>
      <c r="CCG2" s="352"/>
      <c r="CCH2" s="352"/>
      <c r="CCI2" s="352"/>
      <c r="CCJ2" s="352"/>
      <c r="CCK2" s="352"/>
      <c r="CCL2" s="352"/>
      <c r="CCM2" s="352"/>
      <c r="CCN2" s="352"/>
      <c r="CCO2" s="352"/>
      <c r="CCP2" s="352"/>
      <c r="CCQ2" s="352"/>
      <c r="CCR2" s="352"/>
      <c r="CCS2" s="352"/>
      <c r="CCT2" s="352"/>
      <c r="CCU2" s="352"/>
      <c r="CCV2" s="352"/>
      <c r="CCW2" s="352"/>
      <c r="CCX2" s="352"/>
      <c r="CCY2" s="352"/>
      <c r="CCZ2" s="352"/>
      <c r="CDA2" s="352"/>
      <c r="CDB2" s="352"/>
      <c r="CDC2" s="352"/>
      <c r="CDD2" s="352"/>
      <c r="CDE2" s="352"/>
      <c r="CDF2" s="352"/>
      <c r="CDG2" s="352"/>
      <c r="CDH2" s="352"/>
      <c r="CDI2" s="352"/>
      <c r="CDJ2" s="352"/>
      <c r="CDK2" s="352"/>
      <c r="CDL2" s="352"/>
      <c r="CDM2" s="352"/>
      <c r="CDN2" s="352"/>
      <c r="CDO2" s="352"/>
      <c r="CDP2" s="352"/>
      <c r="CDQ2" s="352"/>
      <c r="CDR2" s="352"/>
      <c r="CDS2" s="352"/>
      <c r="CDT2" s="352"/>
      <c r="CDU2" s="352"/>
      <c r="CDV2" s="352"/>
      <c r="CDW2" s="352"/>
      <c r="CDX2" s="352"/>
      <c r="CDY2" s="352"/>
      <c r="CDZ2" s="352"/>
      <c r="CEA2" s="352"/>
      <c r="CEB2" s="352"/>
      <c r="CEC2" s="352"/>
      <c r="CED2" s="352"/>
      <c r="CEE2" s="352"/>
      <c r="CEF2" s="352"/>
      <c r="CEG2" s="352"/>
      <c r="CEH2" s="352"/>
      <c r="CEI2" s="352"/>
      <c r="CEJ2" s="352"/>
      <c r="CEK2" s="352"/>
      <c r="CEL2" s="352"/>
      <c r="CEM2" s="352"/>
      <c r="CEN2" s="352"/>
      <c r="CEO2" s="352"/>
      <c r="CEP2" s="352"/>
      <c r="CEQ2" s="352"/>
      <c r="CER2" s="352"/>
      <c r="CES2" s="352"/>
      <c r="CET2" s="352"/>
      <c r="CEU2" s="352"/>
      <c r="CEV2" s="352"/>
      <c r="CEW2" s="352"/>
      <c r="CEX2" s="352"/>
      <c r="CEY2" s="352"/>
      <c r="CEZ2" s="352"/>
      <c r="CFA2" s="352"/>
      <c r="CFB2" s="352"/>
      <c r="CFC2" s="352"/>
      <c r="CFD2" s="352"/>
      <c r="CFE2" s="352"/>
      <c r="CFF2" s="352"/>
      <c r="CFG2" s="352"/>
      <c r="CFH2" s="352"/>
      <c r="CFI2" s="352"/>
      <c r="CFJ2" s="352"/>
      <c r="CFK2" s="352"/>
      <c r="CFL2" s="352"/>
      <c r="CFM2" s="352"/>
      <c r="CFN2" s="352"/>
      <c r="CFO2" s="352"/>
      <c r="CFP2" s="352"/>
      <c r="CFQ2" s="352"/>
      <c r="CFR2" s="352"/>
      <c r="CFS2" s="352"/>
      <c r="CFT2" s="352"/>
      <c r="CFU2" s="352"/>
      <c r="CFV2" s="352"/>
      <c r="CFW2" s="352"/>
      <c r="CFX2" s="352"/>
      <c r="CFY2" s="352"/>
      <c r="CFZ2" s="352"/>
      <c r="CGA2" s="352"/>
      <c r="CGB2" s="352"/>
      <c r="CGC2" s="352"/>
      <c r="CGD2" s="352"/>
      <c r="CGE2" s="352"/>
      <c r="CGF2" s="352"/>
      <c r="CGG2" s="352"/>
      <c r="CGH2" s="352"/>
      <c r="CGI2" s="352"/>
      <c r="CGJ2" s="352"/>
      <c r="CGK2" s="352"/>
      <c r="CGL2" s="352"/>
      <c r="CGM2" s="352"/>
      <c r="CGN2" s="352"/>
      <c r="CGO2" s="352"/>
      <c r="CGP2" s="352"/>
      <c r="CGQ2" s="352"/>
      <c r="CGR2" s="352"/>
      <c r="CGS2" s="352"/>
      <c r="CGT2" s="352"/>
      <c r="CGU2" s="352"/>
      <c r="CGV2" s="352"/>
      <c r="CGW2" s="352"/>
      <c r="CGX2" s="352"/>
      <c r="CGY2" s="352"/>
      <c r="CGZ2" s="352"/>
      <c r="CHA2" s="352"/>
      <c r="CHB2" s="352"/>
      <c r="CHC2" s="352"/>
      <c r="CHD2" s="352"/>
      <c r="CHE2" s="352"/>
      <c r="CHF2" s="352"/>
      <c r="CHG2" s="352"/>
      <c r="CHH2" s="352"/>
      <c r="CHI2" s="352"/>
      <c r="CHJ2" s="352"/>
      <c r="CHK2" s="352"/>
      <c r="CHL2" s="352"/>
      <c r="CHM2" s="352"/>
      <c r="CHN2" s="352"/>
      <c r="CHO2" s="352"/>
      <c r="CHP2" s="352"/>
      <c r="CHQ2" s="352"/>
      <c r="CHR2" s="352"/>
      <c r="CHS2" s="352"/>
      <c r="CHT2" s="352"/>
      <c r="CHU2" s="352"/>
      <c r="CHV2" s="352"/>
      <c r="CHW2" s="352"/>
      <c r="CHX2" s="352"/>
      <c r="CHY2" s="352"/>
      <c r="CHZ2" s="352"/>
      <c r="CIA2" s="352"/>
      <c r="CIB2" s="352"/>
      <c r="CIC2" s="352"/>
      <c r="CID2" s="352"/>
      <c r="CIE2" s="352"/>
      <c r="CIF2" s="352"/>
      <c r="CIG2" s="352"/>
      <c r="CIH2" s="352"/>
      <c r="CII2" s="352"/>
      <c r="CIJ2" s="352"/>
      <c r="CIK2" s="352"/>
      <c r="CIL2" s="352"/>
      <c r="CIM2" s="352"/>
      <c r="CIN2" s="352"/>
      <c r="CIO2" s="352"/>
      <c r="CIP2" s="352"/>
      <c r="CIQ2" s="352"/>
      <c r="CIR2" s="352"/>
      <c r="CIS2" s="352"/>
      <c r="CIT2" s="352"/>
      <c r="CIU2" s="352"/>
      <c r="CIV2" s="352"/>
      <c r="CIW2" s="352"/>
      <c r="CIX2" s="352"/>
      <c r="CIY2" s="352"/>
      <c r="CIZ2" s="352"/>
      <c r="CJA2" s="352"/>
      <c r="CJB2" s="352"/>
      <c r="CJC2" s="352"/>
      <c r="CJD2" s="352"/>
      <c r="CJE2" s="352"/>
      <c r="CJF2" s="352"/>
      <c r="CJG2" s="352"/>
      <c r="CJH2" s="352"/>
      <c r="CJI2" s="352"/>
      <c r="CJJ2" s="352"/>
      <c r="CJK2" s="352"/>
      <c r="CJL2" s="352"/>
      <c r="CJM2" s="352"/>
      <c r="CJN2" s="352"/>
      <c r="CJO2" s="352"/>
      <c r="CJP2" s="352"/>
      <c r="CJQ2" s="352"/>
      <c r="CJR2" s="352"/>
      <c r="CJS2" s="352"/>
      <c r="CJT2" s="352"/>
      <c r="CJU2" s="352"/>
      <c r="CJV2" s="352"/>
      <c r="CJW2" s="352"/>
      <c r="CJX2" s="352"/>
      <c r="CJY2" s="352"/>
      <c r="CJZ2" s="352"/>
      <c r="CKA2" s="352"/>
      <c r="CKB2" s="352"/>
      <c r="CKC2" s="352"/>
      <c r="CKD2" s="352"/>
      <c r="CKE2" s="352"/>
      <c r="CKF2" s="352"/>
      <c r="CKG2" s="352"/>
      <c r="CKH2" s="352"/>
      <c r="CKI2" s="352"/>
      <c r="CKJ2" s="352"/>
      <c r="CKK2" s="352"/>
      <c r="CKL2" s="352"/>
      <c r="CKM2" s="352"/>
      <c r="CKN2" s="352"/>
      <c r="CKO2" s="352"/>
      <c r="CKP2" s="352"/>
      <c r="CKQ2" s="352"/>
      <c r="CKR2" s="352"/>
      <c r="CKS2" s="352"/>
      <c r="CKT2" s="352"/>
      <c r="CKU2" s="352"/>
      <c r="CKV2" s="352"/>
      <c r="CKW2" s="352"/>
      <c r="CKX2" s="352"/>
      <c r="CKY2" s="352"/>
      <c r="CKZ2" s="352"/>
      <c r="CLA2" s="352"/>
      <c r="CLB2" s="352"/>
      <c r="CLC2" s="352"/>
      <c r="CLD2" s="352"/>
      <c r="CLE2" s="352"/>
      <c r="CLF2" s="352"/>
      <c r="CLG2" s="352"/>
      <c r="CLH2" s="352"/>
      <c r="CLI2" s="352"/>
      <c r="CLJ2" s="352"/>
      <c r="CLK2" s="352"/>
      <c r="CLL2" s="352"/>
      <c r="CLM2" s="352"/>
      <c r="CLN2" s="352"/>
      <c r="CLO2" s="352"/>
      <c r="CLP2" s="352"/>
      <c r="CLQ2" s="352"/>
      <c r="CLR2" s="352"/>
      <c r="CLS2" s="352"/>
      <c r="CLT2" s="352"/>
      <c r="CLU2" s="352"/>
      <c r="CLV2" s="352"/>
      <c r="CLW2" s="352"/>
      <c r="CLX2" s="352"/>
      <c r="CLY2" s="352"/>
      <c r="CLZ2" s="352"/>
      <c r="CMA2" s="352"/>
      <c r="CMB2" s="352"/>
      <c r="CMC2" s="352"/>
      <c r="CMD2" s="352"/>
      <c r="CME2" s="352"/>
      <c r="CMF2" s="352"/>
      <c r="CMG2" s="352"/>
      <c r="CMH2" s="352"/>
      <c r="CMI2" s="352"/>
      <c r="CMJ2" s="352"/>
      <c r="CMK2" s="352"/>
      <c r="CML2" s="352"/>
      <c r="CMM2" s="352"/>
      <c r="CMN2" s="352"/>
      <c r="CMO2" s="352"/>
      <c r="CMP2" s="352"/>
      <c r="CMQ2" s="352"/>
      <c r="CMR2" s="352"/>
      <c r="CMS2" s="352"/>
      <c r="CMT2" s="352"/>
      <c r="CMU2" s="352"/>
      <c r="CMV2" s="352"/>
      <c r="CMW2" s="352"/>
      <c r="CMX2" s="352"/>
      <c r="CMY2" s="352"/>
      <c r="CMZ2" s="352"/>
      <c r="CNA2" s="352"/>
      <c r="CNB2" s="352"/>
      <c r="CNC2" s="352"/>
      <c r="CND2" s="352"/>
      <c r="CNE2" s="352"/>
      <c r="CNF2" s="352"/>
      <c r="CNG2" s="352"/>
      <c r="CNH2" s="352"/>
      <c r="CNI2" s="352"/>
      <c r="CNJ2" s="352"/>
      <c r="CNK2" s="352"/>
      <c r="CNL2" s="352"/>
      <c r="CNM2" s="352"/>
      <c r="CNN2" s="352"/>
      <c r="CNO2" s="352"/>
      <c r="CNP2" s="352"/>
      <c r="CNQ2" s="352"/>
      <c r="CNR2" s="352"/>
      <c r="CNS2" s="352"/>
      <c r="CNT2" s="352"/>
      <c r="CNU2" s="352"/>
      <c r="CNV2" s="352"/>
      <c r="CNW2" s="352"/>
      <c r="CNX2" s="352"/>
      <c r="CNY2" s="352"/>
      <c r="CNZ2" s="352"/>
      <c r="COA2" s="352"/>
      <c r="COB2" s="352"/>
      <c r="COC2" s="352"/>
      <c r="COD2" s="352"/>
      <c r="COE2" s="352"/>
      <c r="COF2" s="352"/>
      <c r="COG2" s="352"/>
      <c r="COH2" s="352"/>
      <c r="COI2" s="352"/>
      <c r="COJ2" s="352"/>
      <c r="COK2" s="352"/>
      <c r="COL2" s="352"/>
      <c r="COM2" s="352"/>
      <c r="CON2" s="352"/>
      <c r="COO2" s="352"/>
      <c r="COP2" s="352"/>
      <c r="COQ2" s="352"/>
      <c r="COR2" s="352"/>
      <c r="COS2" s="352"/>
      <c r="COT2" s="352"/>
      <c r="COU2" s="352"/>
      <c r="COV2" s="352"/>
      <c r="COW2" s="352"/>
      <c r="COX2" s="352"/>
      <c r="COY2" s="352"/>
      <c r="COZ2" s="352"/>
      <c r="CPA2" s="352"/>
      <c r="CPB2" s="352"/>
      <c r="CPC2" s="352"/>
      <c r="CPD2" s="352"/>
      <c r="CPE2" s="352"/>
      <c r="CPF2" s="352"/>
      <c r="CPG2" s="352"/>
      <c r="CPH2" s="352"/>
      <c r="CPI2" s="352"/>
      <c r="CPJ2" s="352"/>
      <c r="CPK2" s="352"/>
      <c r="CPL2" s="352"/>
      <c r="CPM2" s="352"/>
      <c r="CPN2" s="352"/>
      <c r="CPO2" s="352"/>
      <c r="CPP2" s="352"/>
      <c r="CPQ2" s="352"/>
      <c r="CPR2" s="352"/>
      <c r="CPS2" s="352"/>
      <c r="CPT2" s="352"/>
      <c r="CPU2" s="352"/>
      <c r="CPV2" s="352"/>
      <c r="CPW2" s="352"/>
      <c r="CPX2" s="352"/>
      <c r="CPY2" s="352"/>
      <c r="CPZ2" s="352"/>
      <c r="CQA2" s="352"/>
      <c r="CQB2" s="352"/>
      <c r="CQC2" s="352"/>
      <c r="CQD2" s="352"/>
      <c r="CQE2" s="352"/>
      <c r="CQF2" s="352"/>
      <c r="CQG2" s="352"/>
      <c r="CQH2" s="352"/>
      <c r="CQI2" s="352"/>
      <c r="CQJ2" s="352"/>
      <c r="CQK2" s="352"/>
      <c r="CQL2" s="352"/>
      <c r="CQM2" s="352"/>
      <c r="CQN2" s="352"/>
      <c r="CQO2" s="352"/>
      <c r="CQP2" s="352"/>
      <c r="CQQ2" s="352"/>
      <c r="CQR2" s="352"/>
      <c r="CQS2" s="352"/>
      <c r="CQT2" s="352"/>
      <c r="CQU2" s="352"/>
      <c r="CQV2" s="352"/>
      <c r="CQW2" s="352"/>
      <c r="CQX2" s="352"/>
      <c r="CQY2" s="352"/>
      <c r="CQZ2" s="352"/>
      <c r="CRA2" s="352"/>
      <c r="CRB2" s="352"/>
      <c r="CRC2" s="352"/>
      <c r="CRD2" s="352"/>
      <c r="CRE2" s="352"/>
      <c r="CRF2" s="352"/>
      <c r="CRG2" s="352"/>
      <c r="CRH2" s="352"/>
      <c r="CRI2" s="352"/>
      <c r="CRJ2" s="352"/>
      <c r="CRK2" s="352"/>
      <c r="CRL2" s="352"/>
      <c r="CRM2" s="352"/>
      <c r="CRN2" s="352"/>
      <c r="CRO2" s="352"/>
      <c r="CRP2" s="352"/>
      <c r="CRQ2" s="352"/>
      <c r="CRR2" s="352"/>
      <c r="CRS2" s="352"/>
      <c r="CRT2" s="352"/>
      <c r="CRU2" s="352"/>
      <c r="CRV2" s="352"/>
      <c r="CRW2" s="352"/>
      <c r="CRX2" s="352"/>
      <c r="CRY2" s="352"/>
      <c r="CRZ2" s="352"/>
      <c r="CSA2" s="352"/>
      <c r="CSB2" s="352"/>
      <c r="CSC2" s="352"/>
      <c r="CSD2" s="352"/>
      <c r="CSE2" s="352"/>
      <c r="CSF2" s="352"/>
      <c r="CSG2" s="352"/>
      <c r="CSH2" s="352"/>
      <c r="CSI2" s="352"/>
      <c r="CSJ2" s="352"/>
      <c r="CSK2" s="352"/>
      <c r="CSL2" s="352"/>
      <c r="CSM2" s="352"/>
      <c r="CSN2" s="352"/>
      <c r="CSO2" s="352"/>
      <c r="CSP2" s="352"/>
      <c r="CSQ2" s="352"/>
      <c r="CSR2" s="352"/>
      <c r="CSS2" s="352"/>
      <c r="CST2" s="352"/>
      <c r="CSU2" s="352"/>
      <c r="CSV2" s="352"/>
      <c r="CSW2" s="352"/>
      <c r="CSX2" s="352"/>
      <c r="CSY2" s="352"/>
      <c r="CSZ2" s="352"/>
      <c r="CTA2" s="352"/>
      <c r="CTB2" s="352"/>
      <c r="CTC2" s="352"/>
      <c r="CTD2" s="352"/>
      <c r="CTE2" s="352"/>
      <c r="CTF2" s="352"/>
      <c r="CTG2" s="352"/>
      <c r="CTH2" s="352"/>
      <c r="CTI2" s="352"/>
      <c r="CTJ2" s="352"/>
      <c r="CTK2" s="352"/>
      <c r="CTL2" s="352"/>
      <c r="CTM2" s="352"/>
      <c r="CTN2" s="352"/>
      <c r="CTO2" s="352"/>
      <c r="CTP2" s="352"/>
      <c r="CTQ2" s="352"/>
      <c r="CTR2" s="352"/>
      <c r="CTS2" s="352"/>
      <c r="CTT2" s="352"/>
      <c r="CTU2" s="352"/>
      <c r="CTV2" s="352"/>
      <c r="CTW2" s="352"/>
      <c r="CTX2" s="352"/>
      <c r="CTY2" s="352"/>
      <c r="CTZ2" s="352"/>
      <c r="CUA2" s="352"/>
      <c r="CUB2" s="352"/>
      <c r="CUC2" s="352"/>
      <c r="CUD2" s="352"/>
      <c r="CUE2" s="352"/>
      <c r="CUF2" s="352"/>
      <c r="CUG2" s="352"/>
      <c r="CUH2" s="352"/>
      <c r="CUI2" s="352"/>
      <c r="CUJ2" s="352"/>
      <c r="CUK2" s="352"/>
      <c r="CUL2" s="352"/>
      <c r="CUM2" s="352"/>
      <c r="CUN2" s="352"/>
      <c r="CUO2" s="352"/>
      <c r="CUP2" s="352"/>
      <c r="CUQ2" s="352"/>
      <c r="CUR2" s="352"/>
      <c r="CUS2" s="352"/>
      <c r="CUT2" s="352"/>
      <c r="CUU2" s="352"/>
      <c r="CUV2" s="352"/>
      <c r="CUW2" s="352"/>
      <c r="CUX2" s="352"/>
      <c r="CUY2" s="352"/>
      <c r="CUZ2" s="352"/>
      <c r="CVA2" s="352"/>
      <c r="CVB2" s="352"/>
      <c r="CVC2" s="352"/>
      <c r="CVD2" s="352"/>
      <c r="CVE2" s="352"/>
      <c r="CVF2" s="352"/>
      <c r="CVG2" s="352"/>
      <c r="CVH2" s="352"/>
      <c r="CVI2" s="352"/>
      <c r="CVJ2" s="352"/>
      <c r="CVK2" s="352"/>
      <c r="CVL2" s="352"/>
      <c r="CVM2" s="352"/>
      <c r="CVN2" s="352"/>
      <c r="CVO2" s="352"/>
      <c r="CVP2" s="352"/>
      <c r="CVQ2" s="352"/>
      <c r="CVR2" s="352"/>
      <c r="CVS2" s="352"/>
      <c r="CVT2" s="352"/>
      <c r="CVU2" s="352"/>
      <c r="CVV2" s="352"/>
      <c r="CVW2" s="352"/>
      <c r="CVX2" s="352"/>
      <c r="CVY2" s="352"/>
      <c r="CVZ2" s="352"/>
      <c r="CWA2" s="352"/>
      <c r="CWB2" s="352"/>
      <c r="CWC2" s="352"/>
      <c r="CWD2" s="352"/>
      <c r="CWE2" s="352"/>
      <c r="CWF2" s="352"/>
      <c r="CWG2" s="352"/>
      <c r="CWH2" s="352"/>
      <c r="CWI2" s="352"/>
      <c r="CWJ2" s="352"/>
      <c r="CWK2" s="352"/>
      <c r="CWL2" s="352"/>
      <c r="CWM2" s="352"/>
      <c r="CWN2" s="352"/>
      <c r="CWO2" s="352"/>
      <c r="CWP2" s="352"/>
      <c r="CWQ2" s="352"/>
      <c r="CWR2" s="352"/>
      <c r="CWS2" s="352"/>
      <c r="CWT2" s="352"/>
      <c r="CWU2" s="352"/>
      <c r="CWV2" s="352"/>
      <c r="CWW2" s="352"/>
      <c r="CWX2" s="352"/>
      <c r="CWY2" s="352"/>
      <c r="CWZ2" s="352"/>
      <c r="CXA2" s="352"/>
      <c r="CXB2" s="352"/>
      <c r="CXC2" s="352"/>
      <c r="CXD2" s="352"/>
      <c r="CXE2" s="352"/>
      <c r="CXF2" s="352"/>
      <c r="CXG2" s="352"/>
      <c r="CXH2" s="352"/>
      <c r="CXI2" s="352"/>
      <c r="CXJ2" s="352"/>
      <c r="CXK2" s="352"/>
      <c r="CXL2" s="352"/>
      <c r="CXM2" s="352"/>
      <c r="CXN2" s="352"/>
      <c r="CXO2" s="352"/>
      <c r="CXP2" s="352"/>
      <c r="CXQ2" s="352"/>
      <c r="CXR2" s="352"/>
      <c r="CXS2" s="352"/>
      <c r="CXT2" s="352"/>
      <c r="CXU2" s="352"/>
      <c r="CXV2" s="352"/>
      <c r="CXW2" s="352"/>
      <c r="CXX2" s="352"/>
      <c r="CXY2" s="352"/>
      <c r="CXZ2" s="352"/>
      <c r="CYA2" s="352"/>
      <c r="CYB2" s="352"/>
      <c r="CYC2" s="352"/>
      <c r="CYD2" s="352"/>
      <c r="CYE2" s="352"/>
      <c r="CYF2" s="352"/>
      <c r="CYG2" s="352"/>
      <c r="CYH2" s="352"/>
      <c r="CYI2" s="352"/>
      <c r="CYJ2" s="352"/>
      <c r="CYK2" s="352"/>
      <c r="CYL2" s="352"/>
      <c r="CYM2" s="352"/>
      <c r="CYN2" s="352"/>
      <c r="CYO2" s="352"/>
      <c r="CYP2" s="352"/>
      <c r="CYQ2" s="352"/>
      <c r="CYR2" s="352"/>
      <c r="CYS2" s="352"/>
      <c r="CYT2" s="352"/>
      <c r="CYU2" s="352"/>
      <c r="CYV2" s="352"/>
      <c r="CYW2" s="352"/>
      <c r="CYX2" s="352"/>
      <c r="CYY2" s="352"/>
      <c r="CYZ2" s="352"/>
      <c r="CZA2" s="352"/>
      <c r="CZB2" s="352"/>
      <c r="CZC2" s="352"/>
      <c r="CZD2" s="352"/>
      <c r="CZE2" s="352"/>
      <c r="CZF2" s="352"/>
      <c r="CZG2" s="352"/>
      <c r="CZH2" s="352"/>
      <c r="CZI2" s="352"/>
      <c r="CZJ2" s="352"/>
      <c r="CZK2" s="352"/>
      <c r="CZL2" s="352"/>
      <c r="CZM2" s="352"/>
      <c r="CZN2" s="352"/>
      <c r="CZO2" s="352"/>
      <c r="CZP2" s="352"/>
      <c r="CZQ2" s="352"/>
      <c r="CZR2" s="352"/>
      <c r="CZS2" s="352"/>
      <c r="CZT2" s="352"/>
      <c r="CZU2" s="352"/>
      <c r="CZV2" s="352"/>
      <c r="CZW2" s="352"/>
      <c r="CZX2" s="352"/>
      <c r="CZY2" s="352"/>
      <c r="CZZ2" s="352"/>
      <c r="DAA2" s="352"/>
      <c r="DAB2" s="352"/>
      <c r="DAC2" s="352"/>
      <c r="DAD2" s="352"/>
      <c r="DAE2" s="352"/>
      <c r="DAF2" s="352"/>
      <c r="DAG2" s="352"/>
      <c r="DAH2" s="352"/>
      <c r="DAI2" s="352"/>
      <c r="DAJ2" s="352"/>
      <c r="DAK2" s="352"/>
      <c r="DAL2" s="352"/>
      <c r="DAM2" s="352"/>
      <c r="DAN2" s="352"/>
      <c r="DAO2" s="352"/>
      <c r="DAP2" s="352"/>
      <c r="DAQ2" s="352"/>
      <c r="DAR2" s="352"/>
      <c r="DAS2" s="352"/>
      <c r="DAT2" s="352"/>
      <c r="DAU2" s="352"/>
      <c r="DAV2" s="352"/>
      <c r="DAW2" s="352"/>
      <c r="DAX2" s="352"/>
      <c r="DAY2" s="352"/>
      <c r="DAZ2" s="352"/>
      <c r="DBA2" s="352"/>
      <c r="DBB2" s="352"/>
      <c r="DBC2" s="352"/>
      <c r="DBD2" s="352"/>
      <c r="DBE2" s="352"/>
      <c r="DBF2" s="352"/>
      <c r="DBG2" s="352"/>
      <c r="DBH2" s="352"/>
      <c r="DBI2" s="352"/>
      <c r="DBJ2" s="352"/>
      <c r="DBK2" s="352"/>
      <c r="DBL2" s="352"/>
      <c r="DBM2" s="352"/>
      <c r="DBN2" s="352"/>
      <c r="DBO2" s="352"/>
      <c r="DBP2" s="352"/>
      <c r="DBQ2" s="352"/>
      <c r="DBR2" s="352"/>
      <c r="DBS2" s="352"/>
      <c r="DBT2" s="352"/>
      <c r="DBU2" s="352"/>
      <c r="DBV2" s="352"/>
      <c r="DBW2" s="352"/>
      <c r="DBX2" s="352"/>
      <c r="DBY2" s="352"/>
      <c r="DBZ2" s="352"/>
      <c r="DCA2" s="352"/>
      <c r="DCB2" s="352"/>
      <c r="DCC2" s="352"/>
      <c r="DCD2" s="352"/>
      <c r="DCE2" s="352"/>
      <c r="DCF2" s="352"/>
      <c r="DCG2" s="352"/>
      <c r="DCH2" s="352"/>
      <c r="DCI2" s="352"/>
      <c r="DCJ2" s="352"/>
      <c r="DCK2" s="352"/>
      <c r="DCL2" s="352"/>
      <c r="DCM2" s="352"/>
      <c r="DCN2" s="352"/>
      <c r="DCO2" s="352"/>
      <c r="DCP2" s="352"/>
      <c r="DCQ2" s="352"/>
      <c r="DCR2" s="352"/>
      <c r="DCS2" s="352"/>
      <c r="DCT2" s="352"/>
      <c r="DCU2" s="352"/>
      <c r="DCV2" s="352"/>
      <c r="DCW2" s="352"/>
      <c r="DCX2" s="352"/>
      <c r="DCY2" s="352"/>
      <c r="DCZ2" s="352"/>
      <c r="DDA2" s="352"/>
      <c r="DDB2" s="352"/>
      <c r="DDC2" s="352"/>
      <c r="DDD2" s="352"/>
      <c r="DDE2" s="352"/>
      <c r="DDF2" s="352"/>
      <c r="DDG2" s="352"/>
      <c r="DDH2" s="352"/>
      <c r="DDI2" s="352"/>
      <c r="DDJ2" s="352"/>
      <c r="DDK2" s="352"/>
      <c r="DDL2" s="352"/>
      <c r="DDM2" s="352"/>
      <c r="DDN2" s="352"/>
      <c r="DDO2" s="352"/>
      <c r="DDP2" s="352"/>
      <c r="DDQ2" s="352"/>
      <c r="DDR2" s="352"/>
      <c r="DDS2" s="352"/>
      <c r="DDT2" s="352"/>
      <c r="DDU2" s="352"/>
      <c r="DDV2" s="352"/>
      <c r="DDW2" s="352"/>
      <c r="DDX2" s="352"/>
      <c r="DDY2" s="352"/>
      <c r="DDZ2" s="352"/>
      <c r="DEA2" s="352"/>
      <c r="DEB2" s="352"/>
      <c r="DEC2" s="352"/>
      <c r="DED2" s="352"/>
      <c r="DEE2" s="352"/>
      <c r="DEF2" s="352"/>
      <c r="DEG2" s="352"/>
      <c r="DEH2" s="352"/>
      <c r="DEI2" s="352"/>
      <c r="DEJ2" s="352"/>
      <c r="DEK2" s="352"/>
      <c r="DEL2" s="352"/>
      <c r="DEM2" s="352"/>
      <c r="DEN2" s="352"/>
      <c r="DEO2" s="352"/>
      <c r="DEP2" s="352"/>
      <c r="DEQ2" s="352"/>
      <c r="DER2" s="352"/>
      <c r="DES2" s="352"/>
      <c r="DET2" s="352"/>
      <c r="DEU2" s="352"/>
      <c r="DEV2" s="352"/>
      <c r="DEW2" s="352"/>
      <c r="DEX2" s="352"/>
      <c r="DEY2" s="352"/>
      <c r="DEZ2" s="352"/>
      <c r="DFA2" s="352"/>
      <c r="DFB2" s="352"/>
      <c r="DFC2" s="352"/>
      <c r="DFD2" s="352"/>
      <c r="DFE2" s="352"/>
      <c r="DFF2" s="352"/>
      <c r="DFG2" s="352"/>
      <c r="DFH2" s="352"/>
      <c r="DFI2" s="352"/>
      <c r="DFJ2" s="352"/>
      <c r="DFK2" s="352"/>
      <c r="DFL2" s="352"/>
      <c r="DFM2" s="352"/>
      <c r="DFN2" s="352"/>
      <c r="DFO2" s="352"/>
      <c r="DFP2" s="352"/>
      <c r="DFQ2" s="352"/>
      <c r="DFR2" s="352"/>
      <c r="DFS2" s="352"/>
      <c r="DFT2" s="352"/>
      <c r="DFU2" s="352"/>
      <c r="DFV2" s="352"/>
      <c r="DFW2" s="352"/>
      <c r="DFX2" s="352"/>
      <c r="DFY2" s="352"/>
      <c r="DFZ2" s="352"/>
      <c r="DGA2" s="352"/>
      <c r="DGB2" s="352"/>
      <c r="DGC2" s="352"/>
      <c r="DGD2" s="352"/>
      <c r="DGE2" s="352"/>
      <c r="DGF2" s="352"/>
      <c r="DGG2" s="352"/>
      <c r="DGH2" s="352"/>
      <c r="DGI2" s="352"/>
      <c r="DGJ2" s="352"/>
      <c r="DGK2" s="352"/>
      <c r="DGL2" s="352"/>
      <c r="DGM2" s="352"/>
      <c r="DGN2" s="352"/>
      <c r="DGO2" s="352"/>
      <c r="DGP2" s="352"/>
      <c r="DGQ2" s="352"/>
      <c r="DGR2" s="352"/>
      <c r="DGS2" s="352"/>
      <c r="DGT2" s="352"/>
      <c r="DGU2" s="352"/>
      <c r="DGV2" s="352"/>
      <c r="DGW2" s="352"/>
      <c r="DGX2" s="352"/>
      <c r="DGY2" s="352"/>
      <c r="DGZ2" s="352"/>
      <c r="DHA2" s="352"/>
      <c r="DHB2" s="352"/>
      <c r="DHC2" s="352"/>
      <c r="DHD2" s="352"/>
      <c r="DHE2" s="352"/>
      <c r="DHF2" s="352"/>
      <c r="DHG2" s="352"/>
      <c r="DHH2" s="352"/>
      <c r="DHI2" s="352"/>
      <c r="DHJ2" s="352"/>
      <c r="DHK2" s="352"/>
      <c r="DHL2" s="352"/>
      <c r="DHM2" s="352"/>
      <c r="DHN2" s="352"/>
      <c r="DHO2" s="352"/>
      <c r="DHP2" s="352"/>
      <c r="DHQ2" s="352"/>
      <c r="DHR2" s="352"/>
      <c r="DHS2" s="352"/>
      <c r="DHT2" s="352"/>
      <c r="DHU2" s="352"/>
      <c r="DHV2" s="352"/>
      <c r="DHW2" s="352"/>
      <c r="DHX2" s="352"/>
      <c r="DHY2" s="352"/>
      <c r="DHZ2" s="352"/>
      <c r="DIA2" s="352"/>
      <c r="DIB2" s="352"/>
      <c r="DIC2" s="352"/>
      <c r="DID2" s="352"/>
      <c r="DIE2" s="352"/>
      <c r="DIF2" s="352"/>
      <c r="DIG2" s="352"/>
      <c r="DIH2" s="352"/>
      <c r="DII2" s="352"/>
      <c r="DIJ2" s="352"/>
      <c r="DIK2" s="352"/>
      <c r="DIL2" s="352"/>
      <c r="DIM2" s="352"/>
      <c r="DIN2" s="352"/>
      <c r="DIO2" s="352"/>
      <c r="DIP2" s="352"/>
      <c r="DIQ2" s="352"/>
      <c r="DIR2" s="352"/>
      <c r="DIS2" s="352"/>
      <c r="DIT2" s="352"/>
      <c r="DIU2" s="352"/>
      <c r="DIV2" s="352"/>
      <c r="DIW2" s="352"/>
      <c r="DIX2" s="352"/>
      <c r="DIY2" s="352"/>
      <c r="DIZ2" s="352"/>
      <c r="DJA2" s="352"/>
      <c r="DJB2" s="352"/>
      <c r="DJC2" s="352"/>
      <c r="DJD2" s="352"/>
      <c r="DJE2" s="352"/>
      <c r="DJF2" s="352"/>
      <c r="DJG2" s="352"/>
      <c r="DJH2" s="352"/>
      <c r="DJI2" s="352"/>
      <c r="DJJ2" s="352"/>
      <c r="DJK2" s="352"/>
      <c r="DJL2" s="352"/>
      <c r="DJM2" s="352"/>
      <c r="DJN2" s="352"/>
      <c r="DJO2" s="352"/>
      <c r="DJP2" s="352"/>
      <c r="DJQ2" s="352"/>
      <c r="DJR2" s="352"/>
      <c r="DJS2" s="352"/>
      <c r="DJT2" s="352"/>
      <c r="DJU2" s="352"/>
      <c r="DJV2" s="352"/>
      <c r="DJW2" s="352"/>
      <c r="DJX2" s="352"/>
      <c r="DJY2" s="352"/>
      <c r="DJZ2" s="352"/>
      <c r="DKA2" s="352"/>
      <c r="DKB2" s="352"/>
      <c r="DKC2" s="352"/>
      <c r="DKD2" s="352"/>
      <c r="DKE2" s="352"/>
      <c r="DKF2" s="352"/>
      <c r="DKG2" s="352"/>
      <c r="DKH2" s="352"/>
      <c r="DKI2" s="352"/>
      <c r="DKJ2" s="352"/>
      <c r="DKK2" s="352"/>
      <c r="DKL2" s="352"/>
      <c r="DKM2" s="352"/>
      <c r="DKN2" s="352"/>
      <c r="DKO2" s="352"/>
      <c r="DKP2" s="352"/>
      <c r="DKQ2" s="352"/>
      <c r="DKR2" s="352"/>
      <c r="DKS2" s="352"/>
      <c r="DKT2" s="352"/>
      <c r="DKU2" s="352"/>
      <c r="DKV2" s="352"/>
      <c r="DKW2" s="352"/>
      <c r="DKX2" s="352"/>
      <c r="DKY2" s="352"/>
      <c r="DKZ2" s="352"/>
      <c r="DLA2" s="352"/>
      <c r="DLB2" s="352"/>
      <c r="DLC2" s="352"/>
      <c r="DLD2" s="352"/>
      <c r="DLE2" s="352"/>
      <c r="DLF2" s="352"/>
      <c r="DLG2" s="352"/>
      <c r="DLH2" s="352"/>
      <c r="DLI2" s="352"/>
      <c r="DLJ2" s="352"/>
      <c r="DLK2" s="352"/>
      <c r="DLL2" s="352"/>
      <c r="DLM2" s="352"/>
      <c r="DLN2" s="352"/>
      <c r="DLO2" s="352"/>
      <c r="DLP2" s="352"/>
      <c r="DLQ2" s="352"/>
      <c r="DLR2" s="352"/>
      <c r="DLS2" s="352"/>
      <c r="DLT2" s="352"/>
      <c r="DLU2" s="352"/>
      <c r="DLV2" s="352"/>
      <c r="DLW2" s="352"/>
      <c r="DLX2" s="352"/>
      <c r="DLY2" s="352"/>
      <c r="DLZ2" s="352"/>
      <c r="DMA2" s="352"/>
      <c r="DMB2" s="352"/>
      <c r="DMC2" s="352"/>
      <c r="DMD2" s="352"/>
      <c r="DME2" s="352"/>
      <c r="DMF2" s="352"/>
      <c r="DMG2" s="352"/>
      <c r="DMH2" s="352"/>
      <c r="DMI2" s="352"/>
      <c r="DMJ2" s="352"/>
      <c r="DMK2" s="352"/>
      <c r="DML2" s="352"/>
      <c r="DMM2" s="352"/>
      <c r="DMN2" s="352"/>
      <c r="DMO2" s="352"/>
      <c r="DMP2" s="352"/>
      <c r="DMQ2" s="352"/>
      <c r="DMR2" s="352"/>
      <c r="DMS2" s="352"/>
      <c r="DMT2" s="352"/>
      <c r="DMU2" s="352"/>
      <c r="DMV2" s="352"/>
      <c r="DMW2" s="352"/>
      <c r="DMX2" s="352"/>
      <c r="DMY2" s="352"/>
      <c r="DMZ2" s="352"/>
      <c r="DNA2" s="352"/>
      <c r="DNB2" s="352"/>
      <c r="DNC2" s="352"/>
      <c r="DND2" s="352"/>
      <c r="DNE2" s="352"/>
      <c r="DNF2" s="352"/>
      <c r="DNG2" s="352"/>
      <c r="DNH2" s="352"/>
      <c r="DNI2" s="352"/>
      <c r="DNJ2" s="352"/>
      <c r="DNK2" s="352"/>
      <c r="DNL2" s="352"/>
      <c r="DNM2" s="352"/>
      <c r="DNN2" s="352"/>
      <c r="DNO2" s="352"/>
      <c r="DNP2" s="352"/>
      <c r="DNQ2" s="352"/>
      <c r="DNR2" s="352"/>
      <c r="DNS2" s="352"/>
      <c r="DNT2" s="352"/>
      <c r="DNU2" s="352"/>
      <c r="DNV2" s="352"/>
      <c r="DNW2" s="352"/>
      <c r="DNX2" s="352"/>
      <c r="DNY2" s="352"/>
      <c r="DNZ2" s="352"/>
      <c r="DOA2" s="352"/>
      <c r="DOB2" s="352"/>
      <c r="DOC2" s="352"/>
      <c r="DOD2" s="352"/>
      <c r="DOE2" s="352"/>
      <c r="DOF2" s="352"/>
      <c r="DOG2" s="352"/>
      <c r="DOH2" s="352"/>
      <c r="DOI2" s="352"/>
      <c r="DOJ2" s="352"/>
      <c r="DOK2" s="352"/>
      <c r="DOL2" s="352"/>
      <c r="DOM2" s="352"/>
      <c r="DON2" s="352"/>
      <c r="DOO2" s="352"/>
      <c r="DOP2" s="352"/>
      <c r="DOQ2" s="352"/>
      <c r="DOR2" s="352"/>
      <c r="DOS2" s="352"/>
      <c r="DOT2" s="352"/>
      <c r="DOU2" s="352"/>
      <c r="DOV2" s="352"/>
      <c r="DOW2" s="352"/>
      <c r="DOX2" s="352"/>
      <c r="DOY2" s="352"/>
      <c r="DOZ2" s="352"/>
      <c r="DPA2" s="352"/>
      <c r="DPB2" s="352"/>
      <c r="DPC2" s="352"/>
      <c r="DPD2" s="352"/>
      <c r="DPE2" s="352"/>
      <c r="DPF2" s="352"/>
      <c r="DPG2" s="352"/>
      <c r="DPH2" s="352"/>
      <c r="DPI2" s="352"/>
      <c r="DPJ2" s="352"/>
      <c r="DPK2" s="352"/>
      <c r="DPL2" s="352"/>
      <c r="DPM2" s="352"/>
      <c r="DPN2" s="352"/>
      <c r="DPO2" s="352"/>
      <c r="DPP2" s="352"/>
      <c r="DPQ2" s="352"/>
      <c r="DPR2" s="352"/>
      <c r="DPS2" s="352"/>
      <c r="DPT2" s="352"/>
      <c r="DPU2" s="352"/>
      <c r="DPV2" s="352"/>
      <c r="DPW2" s="352"/>
      <c r="DPX2" s="352"/>
      <c r="DPY2" s="352"/>
      <c r="DPZ2" s="352"/>
      <c r="DQA2" s="352"/>
      <c r="DQB2" s="352"/>
      <c r="DQC2" s="352"/>
      <c r="DQD2" s="352"/>
      <c r="DQE2" s="352"/>
      <c r="DQF2" s="352"/>
      <c r="DQG2" s="352"/>
      <c r="DQH2" s="352"/>
      <c r="DQI2" s="352"/>
      <c r="DQJ2" s="352"/>
      <c r="DQK2" s="352"/>
      <c r="DQL2" s="352"/>
      <c r="DQM2" s="352"/>
      <c r="DQN2" s="352"/>
      <c r="DQO2" s="352"/>
      <c r="DQP2" s="352"/>
      <c r="DQQ2" s="352"/>
      <c r="DQR2" s="352"/>
      <c r="DQS2" s="352"/>
      <c r="DQT2" s="352"/>
      <c r="DQU2" s="352"/>
      <c r="DQV2" s="352"/>
      <c r="DQW2" s="352"/>
      <c r="DQX2" s="352"/>
      <c r="DQY2" s="352"/>
      <c r="DQZ2" s="352"/>
      <c r="DRA2" s="352"/>
      <c r="DRB2" s="352"/>
      <c r="DRC2" s="352"/>
      <c r="DRD2" s="352"/>
      <c r="DRE2" s="352"/>
      <c r="DRF2" s="352"/>
      <c r="DRG2" s="352"/>
      <c r="DRH2" s="352"/>
      <c r="DRI2" s="352"/>
      <c r="DRJ2" s="352"/>
      <c r="DRK2" s="352"/>
      <c r="DRL2" s="352"/>
      <c r="DRM2" s="352"/>
      <c r="DRN2" s="352"/>
      <c r="DRO2" s="352"/>
      <c r="DRP2" s="352"/>
      <c r="DRQ2" s="352"/>
      <c r="DRR2" s="352"/>
      <c r="DRS2" s="352"/>
      <c r="DRT2" s="352"/>
      <c r="DRU2" s="352"/>
      <c r="DRV2" s="352"/>
      <c r="DRW2" s="352"/>
      <c r="DRX2" s="352"/>
      <c r="DRY2" s="352"/>
      <c r="DRZ2" s="352"/>
      <c r="DSA2" s="352"/>
      <c r="DSB2" s="352"/>
      <c r="DSC2" s="352"/>
      <c r="DSD2" s="352"/>
      <c r="DSE2" s="352"/>
      <c r="DSF2" s="352"/>
      <c r="DSG2" s="352"/>
      <c r="DSH2" s="352"/>
      <c r="DSI2" s="352"/>
      <c r="DSJ2" s="352"/>
      <c r="DSK2" s="352"/>
      <c r="DSL2" s="352"/>
      <c r="DSM2" s="352"/>
      <c r="DSN2" s="352"/>
      <c r="DSO2" s="352"/>
      <c r="DSP2" s="352"/>
      <c r="DSQ2" s="352"/>
      <c r="DSR2" s="352"/>
      <c r="DSS2" s="352"/>
      <c r="DST2" s="352"/>
      <c r="DSU2" s="352"/>
      <c r="DSV2" s="352"/>
      <c r="DSW2" s="352"/>
      <c r="DSX2" s="352"/>
      <c r="DSY2" s="352"/>
      <c r="DSZ2" s="352"/>
      <c r="DTA2" s="352"/>
      <c r="DTB2" s="352"/>
      <c r="DTC2" s="352"/>
      <c r="DTD2" s="352"/>
      <c r="DTE2" s="352"/>
      <c r="DTF2" s="352"/>
      <c r="DTG2" s="352"/>
      <c r="DTH2" s="352"/>
      <c r="DTI2" s="352"/>
      <c r="DTJ2" s="352"/>
      <c r="DTK2" s="352"/>
      <c r="DTL2" s="352"/>
      <c r="DTM2" s="352"/>
      <c r="DTN2" s="352"/>
      <c r="DTO2" s="352"/>
      <c r="DTP2" s="352"/>
      <c r="DTQ2" s="352"/>
      <c r="DTR2" s="352"/>
      <c r="DTS2" s="352"/>
      <c r="DTT2" s="352"/>
      <c r="DTU2" s="352"/>
      <c r="DTV2" s="352"/>
      <c r="DTW2" s="352"/>
      <c r="DTX2" s="352"/>
      <c r="DTY2" s="352"/>
      <c r="DTZ2" s="352"/>
      <c r="DUA2" s="352"/>
      <c r="DUB2" s="352"/>
      <c r="DUC2" s="352"/>
      <c r="DUD2" s="352"/>
      <c r="DUE2" s="352"/>
      <c r="DUF2" s="352"/>
      <c r="DUG2" s="352"/>
      <c r="DUH2" s="352"/>
      <c r="DUI2" s="352"/>
      <c r="DUJ2" s="352"/>
      <c r="DUK2" s="352"/>
      <c r="DUL2" s="352"/>
      <c r="DUM2" s="352"/>
      <c r="DUN2" s="352"/>
      <c r="DUO2" s="352"/>
      <c r="DUP2" s="352"/>
      <c r="DUQ2" s="352"/>
      <c r="DUR2" s="352"/>
      <c r="DUS2" s="352"/>
      <c r="DUT2" s="352"/>
      <c r="DUU2" s="352"/>
      <c r="DUV2" s="352"/>
      <c r="DUW2" s="352"/>
      <c r="DUX2" s="352"/>
      <c r="DUY2" s="352"/>
      <c r="DUZ2" s="352"/>
      <c r="DVA2" s="352"/>
      <c r="DVB2" s="352"/>
      <c r="DVC2" s="352"/>
      <c r="DVD2" s="352"/>
      <c r="DVE2" s="352"/>
      <c r="DVF2" s="352"/>
      <c r="DVG2" s="352"/>
      <c r="DVH2" s="352"/>
      <c r="DVI2" s="352"/>
      <c r="DVJ2" s="352"/>
      <c r="DVK2" s="352"/>
      <c r="DVL2" s="352"/>
      <c r="DVM2" s="352"/>
      <c r="DVN2" s="352"/>
      <c r="DVO2" s="352"/>
      <c r="DVP2" s="352"/>
      <c r="DVQ2" s="352"/>
      <c r="DVR2" s="352"/>
      <c r="DVS2" s="352"/>
      <c r="DVT2" s="352"/>
      <c r="DVU2" s="352"/>
      <c r="DVV2" s="352"/>
      <c r="DVW2" s="352"/>
      <c r="DVX2" s="352"/>
      <c r="DVY2" s="352"/>
      <c r="DVZ2" s="352"/>
      <c r="DWA2" s="352"/>
      <c r="DWB2" s="352"/>
      <c r="DWC2" s="352"/>
      <c r="DWD2" s="352"/>
      <c r="DWE2" s="352"/>
      <c r="DWF2" s="352"/>
      <c r="DWG2" s="352"/>
      <c r="DWH2" s="352"/>
      <c r="DWI2" s="352"/>
      <c r="DWJ2" s="352"/>
      <c r="DWK2" s="352"/>
      <c r="DWL2" s="352"/>
      <c r="DWM2" s="352"/>
      <c r="DWN2" s="352"/>
      <c r="DWO2" s="352"/>
      <c r="DWP2" s="352"/>
      <c r="DWQ2" s="352"/>
      <c r="DWR2" s="352"/>
      <c r="DWS2" s="352"/>
      <c r="DWT2" s="352"/>
      <c r="DWU2" s="352"/>
      <c r="DWV2" s="352"/>
      <c r="DWW2" s="352"/>
      <c r="DWX2" s="352"/>
      <c r="DWY2" s="352"/>
      <c r="DWZ2" s="352"/>
      <c r="DXA2" s="352"/>
      <c r="DXB2" s="352"/>
      <c r="DXC2" s="352"/>
      <c r="DXD2" s="352"/>
      <c r="DXE2" s="352"/>
      <c r="DXF2" s="352"/>
      <c r="DXG2" s="352"/>
      <c r="DXH2" s="352"/>
      <c r="DXI2" s="352"/>
      <c r="DXJ2" s="352"/>
      <c r="DXK2" s="352"/>
      <c r="DXL2" s="352"/>
      <c r="DXM2" s="352"/>
      <c r="DXN2" s="352"/>
      <c r="DXO2" s="352"/>
      <c r="DXP2" s="352"/>
      <c r="DXQ2" s="352"/>
      <c r="DXR2" s="352"/>
      <c r="DXS2" s="352"/>
      <c r="DXT2" s="352"/>
      <c r="DXU2" s="352"/>
      <c r="DXV2" s="352"/>
      <c r="DXW2" s="352"/>
      <c r="DXX2" s="352"/>
      <c r="DXY2" s="352"/>
      <c r="DXZ2" s="352"/>
      <c r="DYA2" s="352"/>
      <c r="DYB2" s="352"/>
      <c r="DYC2" s="352"/>
      <c r="DYD2" s="352"/>
      <c r="DYE2" s="352"/>
      <c r="DYF2" s="352"/>
      <c r="DYG2" s="352"/>
      <c r="DYH2" s="352"/>
      <c r="DYI2" s="352"/>
      <c r="DYJ2" s="352"/>
      <c r="DYK2" s="352"/>
      <c r="DYL2" s="352"/>
      <c r="DYM2" s="352"/>
      <c r="DYN2" s="352"/>
      <c r="DYO2" s="352"/>
      <c r="DYP2" s="352"/>
      <c r="DYQ2" s="352"/>
      <c r="DYR2" s="352"/>
      <c r="DYS2" s="352"/>
      <c r="DYT2" s="352"/>
      <c r="DYU2" s="352"/>
      <c r="DYV2" s="352"/>
      <c r="DYW2" s="352"/>
      <c r="DYX2" s="352"/>
      <c r="DYY2" s="352"/>
      <c r="DYZ2" s="352"/>
      <c r="DZA2" s="352"/>
      <c r="DZB2" s="352"/>
      <c r="DZC2" s="352"/>
      <c r="DZD2" s="352"/>
      <c r="DZE2" s="352"/>
      <c r="DZF2" s="352"/>
      <c r="DZG2" s="352"/>
      <c r="DZH2" s="352"/>
      <c r="DZI2" s="352"/>
      <c r="DZJ2" s="352"/>
      <c r="DZK2" s="352"/>
      <c r="DZL2" s="352"/>
      <c r="DZM2" s="352"/>
      <c r="DZN2" s="352"/>
      <c r="DZO2" s="352"/>
      <c r="DZP2" s="352"/>
      <c r="DZQ2" s="352"/>
      <c r="DZR2" s="352"/>
      <c r="DZS2" s="352"/>
      <c r="DZT2" s="352"/>
      <c r="DZU2" s="352"/>
      <c r="DZV2" s="352"/>
      <c r="DZW2" s="352"/>
      <c r="DZX2" s="352"/>
      <c r="DZY2" s="352"/>
      <c r="DZZ2" s="352"/>
      <c r="EAA2" s="352"/>
      <c r="EAB2" s="352"/>
      <c r="EAC2" s="352"/>
      <c r="EAD2" s="352"/>
      <c r="EAE2" s="352"/>
      <c r="EAF2" s="352"/>
      <c r="EAG2" s="352"/>
      <c r="EAH2" s="352"/>
      <c r="EAI2" s="352"/>
      <c r="EAJ2" s="352"/>
      <c r="EAK2" s="352"/>
      <c r="EAL2" s="352"/>
      <c r="EAM2" s="352"/>
      <c r="EAN2" s="352"/>
      <c r="EAO2" s="352"/>
      <c r="EAP2" s="352"/>
      <c r="EAQ2" s="352"/>
      <c r="EAR2" s="352"/>
      <c r="EAS2" s="352"/>
      <c r="EAT2" s="352"/>
      <c r="EAU2" s="352"/>
      <c r="EAV2" s="352"/>
      <c r="EAW2" s="352"/>
      <c r="EAX2" s="352"/>
      <c r="EAY2" s="352"/>
      <c r="EAZ2" s="352"/>
      <c r="EBA2" s="352"/>
      <c r="EBB2" s="352"/>
      <c r="EBC2" s="352"/>
      <c r="EBD2" s="352"/>
      <c r="EBE2" s="352"/>
      <c r="EBF2" s="352"/>
      <c r="EBG2" s="352"/>
      <c r="EBH2" s="352"/>
      <c r="EBI2" s="352"/>
      <c r="EBJ2" s="352"/>
      <c r="EBK2" s="352"/>
      <c r="EBL2" s="352"/>
      <c r="EBM2" s="352"/>
      <c r="EBN2" s="352"/>
      <c r="EBO2" s="352"/>
      <c r="EBP2" s="352"/>
      <c r="EBQ2" s="352"/>
      <c r="EBR2" s="352"/>
      <c r="EBS2" s="352"/>
      <c r="EBT2" s="352"/>
      <c r="EBU2" s="352"/>
      <c r="EBV2" s="352"/>
      <c r="EBW2" s="352"/>
      <c r="EBX2" s="352"/>
      <c r="EBY2" s="352"/>
      <c r="EBZ2" s="352"/>
      <c r="ECA2" s="352"/>
      <c r="ECB2" s="352"/>
      <c r="ECC2" s="352"/>
      <c r="ECD2" s="352"/>
      <c r="ECE2" s="352"/>
      <c r="ECF2" s="352"/>
      <c r="ECG2" s="352"/>
      <c r="ECH2" s="352"/>
      <c r="ECI2" s="352"/>
      <c r="ECJ2" s="352"/>
      <c r="ECK2" s="352"/>
      <c r="ECL2" s="352"/>
      <c r="ECM2" s="352"/>
      <c r="ECN2" s="352"/>
      <c r="ECO2" s="352"/>
      <c r="ECP2" s="352"/>
      <c r="ECQ2" s="352"/>
      <c r="ECR2" s="352"/>
      <c r="ECS2" s="352"/>
      <c r="ECT2" s="352"/>
      <c r="ECU2" s="352"/>
      <c r="ECV2" s="352"/>
      <c r="ECW2" s="352"/>
      <c r="ECX2" s="352"/>
      <c r="ECY2" s="352"/>
      <c r="ECZ2" s="352"/>
      <c r="EDA2" s="352"/>
      <c r="EDB2" s="352"/>
      <c r="EDC2" s="352"/>
      <c r="EDD2" s="352"/>
      <c r="EDE2" s="352"/>
      <c r="EDF2" s="352"/>
      <c r="EDG2" s="352"/>
      <c r="EDH2" s="352"/>
      <c r="EDI2" s="352"/>
      <c r="EDJ2" s="352"/>
      <c r="EDK2" s="352"/>
      <c r="EDL2" s="352"/>
      <c r="EDM2" s="352"/>
      <c r="EDN2" s="352"/>
      <c r="EDO2" s="352"/>
      <c r="EDP2" s="352"/>
      <c r="EDQ2" s="352"/>
      <c r="EDR2" s="352"/>
      <c r="EDS2" s="352"/>
      <c r="EDT2" s="352"/>
      <c r="EDU2" s="352"/>
      <c r="EDV2" s="352"/>
      <c r="EDW2" s="352"/>
      <c r="EDX2" s="352"/>
      <c r="EDY2" s="352"/>
      <c r="EDZ2" s="352"/>
      <c r="EEA2" s="352"/>
      <c r="EEB2" s="352"/>
      <c r="EEC2" s="352"/>
      <c r="EED2" s="352"/>
      <c r="EEE2" s="352"/>
      <c r="EEF2" s="352"/>
      <c r="EEG2" s="352"/>
      <c r="EEH2" s="352"/>
      <c r="EEI2" s="352"/>
      <c r="EEJ2" s="352"/>
      <c r="EEK2" s="352"/>
      <c r="EEL2" s="352"/>
      <c r="EEM2" s="352"/>
      <c r="EEN2" s="352"/>
      <c r="EEO2" s="352"/>
      <c r="EEP2" s="352"/>
      <c r="EEQ2" s="352"/>
      <c r="EER2" s="352"/>
      <c r="EES2" s="352"/>
      <c r="EET2" s="352"/>
      <c r="EEU2" s="352"/>
      <c r="EEV2" s="352"/>
      <c r="EEW2" s="352"/>
      <c r="EEX2" s="352"/>
      <c r="EEY2" s="352"/>
      <c r="EEZ2" s="352"/>
      <c r="EFA2" s="352"/>
      <c r="EFB2" s="352"/>
      <c r="EFC2" s="352"/>
      <c r="EFD2" s="352"/>
      <c r="EFE2" s="352"/>
      <c r="EFF2" s="352"/>
      <c r="EFG2" s="352"/>
      <c r="EFH2" s="352"/>
      <c r="EFI2" s="352"/>
      <c r="EFJ2" s="352"/>
      <c r="EFK2" s="352"/>
      <c r="EFL2" s="352"/>
      <c r="EFM2" s="352"/>
      <c r="EFN2" s="352"/>
      <c r="EFO2" s="352"/>
      <c r="EFP2" s="352"/>
      <c r="EFQ2" s="352"/>
      <c r="EFR2" s="352"/>
      <c r="EFS2" s="352"/>
      <c r="EFT2" s="352"/>
      <c r="EFU2" s="352"/>
      <c r="EFV2" s="352"/>
      <c r="EFW2" s="352"/>
      <c r="EFX2" s="352"/>
      <c r="EFY2" s="352"/>
      <c r="EFZ2" s="352"/>
      <c r="EGA2" s="352"/>
      <c r="EGB2" s="352"/>
      <c r="EGC2" s="352"/>
      <c r="EGD2" s="352"/>
      <c r="EGE2" s="352"/>
      <c r="EGF2" s="352"/>
      <c r="EGG2" s="352"/>
      <c r="EGH2" s="352"/>
      <c r="EGI2" s="352"/>
      <c r="EGJ2" s="352"/>
      <c r="EGK2" s="352"/>
      <c r="EGL2" s="352"/>
      <c r="EGM2" s="352"/>
      <c r="EGN2" s="352"/>
      <c r="EGO2" s="352"/>
      <c r="EGP2" s="352"/>
      <c r="EGQ2" s="352"/>
      <c r="EGR2" s="352"/>
      <c r="EGS2" s="352"/>
      <c r="EGT2" s="352"/>
      <c r="EGU2" s="352"/>
      <c r="EGV2" s="352"/>
      <c r="EGW2" s="352"/>
      <c r="EGX2" s="352"/>
      <c r="EGY2" s="352"/>
      <c r="EGZ2" s="352"/>
      <c r="EHA2" s="352"/>
      <c r="EHB2" s="352"/>
      <c r="EHC2" s="352"/>
      <c r="EHD2" s="352"/>
      <c r="EHE2" s="352"/>
      <c r="EHF2" s="352"/>
      <c r="EHG2" s="352"/>
      <c r="EHH2" s="352"/>
      <c r="EHI2" s="352"/>
      <c r="EHJ2" s="352"/>
      <c r="EHK2" s="352"/>
      <c r="EHL2" s="352"/>
      <c r="EHM2" s="352"/>
      <c r="EHN2" s="352"/>
      <c r="EHO2" s="352"/>
      <c r="EHP2" s="352"/>
      <c r="EHQ2" s="352"/>
      <c r="EHR2" s="352"/>
      <c r="EHS2" s="352"/>
      <c r="EHT2" s="352"/>
      <c r="EHU2" s="352"/>
      <c r="EHV2" s="352"/>
      <c r="EHW2" s="352"/>
      <c r="EHX2" s="352"/>
      <c r="EHY2" s="352"/>
      <c r="EHZ2" s="352"/>
      <c r="EIA2" s="352"/>
      <c r="EIB2" s="352"/>
      <c r="EIC2" s="352"/>
      <c r="EID2" s="352"/>
      <c r="EIE2" s="352"/>
      <c r="EIF2" s="352"/>
      <c r="EIG2" s="352"/>
      <c r="EIH2" s="352"/>
      <c r="EII2" s="352"/>
      <c r="EIJ2" s="352"/>
      <c r="EIK2" s="352"/>
      <c r="EIL2" s="352"/>
      <c r="EIM2" s="352"/>
      <c r="EIN2" s="352"/>
      <c r="EIO2" s="352"/>
      <c r="EIP2" s="352"/>
      <c r="EIQ2" s="352"/>
      <c r="EIR2" s="352"/>
      <c r="EIS2" s="352"/>
      <c r="EIT2" s="352"/>
      <c r="EIU2" s="352"/>
      <c r="EIV2" s="352"/>
      <c r="EIW2" s="352"/>
      <c r="EIX2" s="352"/>
      <c r="EIY2" s="352"/>
      <c r="EIZ2" s="352"/>
      <c r="EJA2" s="352"/>
      <c r="EJB2" s="352"/>
      <c r="EJC2" s="352"/>
      <c r="EJD2" s="352"/>
      <c r="EJE2" s="352"/>
      <c r="EJF2" s="352"/>
      <c r="EJG2" s="352"/>
      <c r="EJH2" s="352"/>
      <c r="EJI2" s="352"/>
      <c r="EJJ2" s="352"/>
      <c r="EJK2" s="352"/>
      <c r="EJL2" s="352"/>
      <c r="EJM2" s="352"/>
      <c r="EJN2" s="352"/>
      <c r="EJO2" s="352"/>
      <c r="EJP2" s="352"/>
      <c r="EJQ2" s="352"/>
      <c r="EJR2" s="352"/>
      <c r="EJS2" s="352"/>
      <c r="EJT2" s="352"/>
      <c r="EJU2" s="352"/>
      <c r="EJV2" s="352"/>
      <c r="EJW2" s="352"/>
      <c r="EJX2" s="352"/>
      <c r="EJY2" s="352"/>
      <c r="EJZ2" s="352"/>
      <c r="EKA2" s="352"/>
      <c r="EKB2" s="352"/>
      <c r="EKC2" s="352"/>
      <c r="EKD2" s="352"/>
      <c r="EKE2" s="352"/>
      <c r="EKF2" s="352"/>
      <c r="EKG2" s="352"/>
      <c r="EKH2" s="352"/>
      <c r="EKI2" s="352"/>
      <c r="EKJ2" s="352"/>
      <c r="EKK2" s="352"/>
      <c r="EKL2" s="352"/>
      <c r="EKM2" s="352"/>
      <c r="EKN2" s="352"/>
      <c r="EKO2" s="352"/>
      <c r="EKP2" s="352"/>
      <c r="EKQ2" s="352"/>
      <c r="EKR2" s="352"/>
      <c r="EKS2" s="352"/>
      <c r="EKT2" s="352"/>
      <c r="EKU2" s="352"/>
      <c r="EKV2" s="352"/>
      <c r="EKW2" s="352"/>
      <c r="EKX2" s="352"/>
      <c r="EKY2" s="352"/>
      <c r="EKZ2" s="352"/>
      <c r="ELA2" s="352"/>
      <c r="ELB2" s="352"/>
      <c r="ELC2" s="352"/>
      <c r="ELD2" s="352"/>
      <c r="ELE2" s="352"/>
      <c r="ELF2" s="352"/>
      <c r="ELG2" s="352"/>
      <c r="ELH2" s="352"/>
      <c r="ELI2" s="352"/>
      <c r="ELJ2" s="352"/>
      <c r="ELK2" s="352"/>
      <c r="ELL2" s="352"/>
      <c r="ELM2" s="352"/>
      <c r="ELN2" s="352"/>
      <c r="ELO2" s="352"/>
      <c r="ELP2" s="352"/>
      <c r="ELQ2" s="352"/>
      <c r="ELR2" s="352"/>
      <c r="ELS2" s="352"/>
      <c r="ELT2" s="352"/>
      <c r="ELU2" s="352"/>
      <c r="ELV2" s="352"/>
      <c r="ELW2" s="352"/>
      <c r="ELX2" s="352"/>
      <c r="ELY2" s="352"/>
      <c r="ELZ2" s="352"/>
      <c r="EMA2" s="352"/>
      <c r="EMB2" s="352"/>
      <c r="EMC2" s="352"/>
      <c r="EMD2" s="352"/>
      <c r="EME2" s="352"/>
      <c r="EMF2" s="352"/>
      <c r="EMG2" s="352"/>
      <c r="EMH2" s="352"/>
      <c r="EMI2" s="352"/>
      <c r="EMJ2" s="352"/>
      <c r="EMK2" s="352"/>
      <c r="EML2" s="352"/>
      <c r="EMM2" s="352"/>
      <c r="EMN2" s="352"/>
      <c r="EMO2" s="352"/>
      <c r="EMP2" s="352"/>
      <c r="EMQ2" s="352"/>
      <c r="EMR2" s="352"/>
      <c r="EMS2" s="352"/>
      <c r="EMT2" s="352"/>
      <c r="EMU2" s="352"/>
      <c r="EMV2" s="352"/>
      <c r="EMW2" s="352"/>
      <c r="EMX2" s="352"/>
      <c r="EMY2" s="352"/>
      <c r="EMZ2" s="352"/>
      <c r="ENA2" s="352"/>
      <c r="ENB2" s="352"/>
      <c r="ENC2" s="352"/>
      <c r="END2" s="352"/>
      <c r="ENE2" s="352"/>
      <c r="ENF2" s="352"/>
      <c r="ENG2" s="352"/>
      <c r="ENH2" s="352"/>
      <c r="ENI2" s="352"/>
      <c r="ENJ2" s="352"/>
      <c r="ENK2" s="352"/>
      <c r="ENL2" s="352"/>
      <c r="ENM2" s="352"/>
      <c r="ENN2" s="352"/>
      <c r="ENO2" s="352"/>
      <c r="ENP2" s="352"/>
      <c r="ENQ2" s="352"/>
      <c r="ENR2" s="352"/>
      <c r="ENS2" s="352"/>
      <c r="ENT2" s="352"/>
      <c r="ENU2" s="352"/>
      <c r="ENV2" s="352"/>
      <c r="ENW2" s="352"/>
      <c r="ENX2" s="352"/>
      <c r="ENY2" s="352"/>
      <c r="ENZ2" s="352"/>
      <c r="EOA2" s="352"/>
      <c r="EOB2" s="352"/>
      <c r="EOC2" s="352"/>
      <c r="EOD2" s="352"/>
      <c r="EOE2" s="352"/>
      <c r="EOF2" s="352"/>
      <c r="EOG2" s="352"/>
      <c r="EOH2" s="352"/>
      <c r="EOI2" s="352"/>
      <c r="EOJ2" s="352"/>
      <c r="EOK2" s="352"/>
      <c r="EOL2" s="352"/>
      <c r="EOM2" s="352"/>
      <c r="EON2" s="352"/>
      <c r="EOO2" s="352"/>
      <c r="EOP2" s="352"/>
      <c r="EOQ2" s="352"/>
      <c r="EOR2" s="352"/>
      <c r="EOS2" s="352"/>
      <c r="EOT2" s="352"/>
      <c r="EOU2" s="352"/>
      <c r="EOV2" s="352"/>
      <c r="EOW2" s="352"/>
      <c r="EOX2" s="352"/>
      <c r="EOY2" s="352"/>
      <c r="EOZ2" s="352"/>
      <c r="EPA2" s="352"/>
      <c r="EPB2" s="352"/>
      <c r="EPC2" s="352"/>
      <c r="EPD2" s="352"/>
      <c r="EPE2" s="352"/>
      <c r="EPF2" s="352"/>
      <c r="EPG2" s="352"/>
      <c r="EPH2" s="352"/>
      <c r="EPI2" s="352"/>
      <c r="EPJ2" s="352"/>
      <c r="EPK2" s="352"/>
      <c r="EPL2" s="352"/>
      <c r="EPM2" s="352"/>
      <c r="EPN2" s="352"/>
      <c r="EPO2" s="352"/>
      <c r="EPP2" s="352"/>
      <c r="EPQ2" s="352"/>
      <c r="EPR2" s="352"/>
      <c r="EPS2" s="352"/>
      <c r="EPT2" s="352"/>
      <c r="EPU2" s="352"/>
      <c r="EPV2" s="352"/>
      <c r="EPW2" s="352"/>
      <c r="EPX2" s="352"/>
      <c r="EPY2" s="352"/>
      <c r="EPZ2" s="352"/>
      <c r="EQA2" s="352"/>
      <c r="EQB2" s="352"/>
      <c r="EQC2" s="352"/>
      <c r="EQD2" s="352"/>
      <c r="EQE2" s="352"/>
      <c r="EQF2" s="352"/>
      <c r="EQG2" s="352"/>
      <c r="EQH2" s="352"/>
      <c r="EQI2" s="352"/>
      <c r="EQJ2" s="352"/>
      <c r="EQK2" s="352"/>
      <c r="EQL2" s="352"/>
      <c r="EQM2" s="352"/>
      <c r="EQN2" s="352"/>
      <c r="EQO2" s="352"/>
      <c r="EQP2" s="352"/>
      <c r="EQQ2" s="352"/>
      <c r="EQR2" s="352"/>
      <c r="EQS2" s="352"/>
      <c r="EQT2" s="352"/>
      <c r="EQU2" s="352"/>
      <c r="EQV2" s="352"/>
      <c r="EQW2" s="352"/>
      <c r="EQX2" s="352"/>
      <c r="EQY2" s="352"/>
      <c r="EQZ2" s="352"/>
      <c r="ERA2" s="352"/>
      <c r="ERB2" s="352"/>
      <c r="ERC2" s="352"/>
      <c r="ERD2" s="352"/>
      <c r="ERE2" s="352"/>
      <c r="ERF2" s="352"/>
      <c r="ERG2" s="352"/>
      <c r="ERH2" s="352"/>
      <c r="ERI2" s="352"/>
      <c r="ERJ2" s="352"/>
      <c r="ERK2" s="352"/>
      <c r="ERL2" s="352"/>
      <c r="ERM2" s="352"/>
      <c r="ERN2" s="352"/>
      <c r="ERO2" s="352"/>
      <c r="ERP2" s="352"/>
      <c r="ERQ2" s="352"/>
      <c r="ERR2" s="352"/>
      <c r="ERS2" s="352"/>
      <c r="ERT2" s="352"/>
      <c r="ERU2" s="352"/>
      <c r="ERV2" s="352"/>
      <c r="ERW2" s="352"/>
      <c r="ERX2" s="352"/>
      <c r="ERY2" s="352"/>
      <c r="ERZ2" s="352"/>
      <c r="ESA2" s="352"/>
      <c r="ESB2" s="352"/>
      <c r="ESC2" s="352"/>
      <c r="ESD2" s="352"/>
      <c r="ESE2" s="352"/>
      <c r="ESF2" s="352"/>
      <c r="ESG2" s="352"/>
      <c r="ESH2" s="352"/>
      <c r="ESI2" s="352"/>
      <c r="ESJ2" s="352"/>
      <c r="ESK2" s="352"/>
      <c r="ESL2" s="352"/>
      <c r="ESM2" s="352"/>
      <c r="ESN2" s="352"/>
      <c r="ESO2" s="352"/>
      <c r="ESP2" s="352"/>
      <c r="ESQ2" s="352"/>
      <c r="ESR2" s="352"/>
      <c r="ESS2" s="352"/>
      <c r="EST2" s="352"/>
      <c r="ESU2" s="352"/>
      <c r="ESV2" s="352"/>
      <c r="ESW2" s="352"/>
      <c r="ESX2" s="352"/>
      <c r="ESY2" s="352"/>
      <c r="ESZ2" s="352"/>
      <c r="ETA2" s="352"/>
      <c r="ETB2" s="352"/>
      <c r="ETC2" s="352"/>
      <c r="ETD2" s="352"/>
      <c r="ETE2" s="352"/>
      <c r="ETF2" s="352"/>
      <c r="ETG2" s="352"/>
      <c r="ETH2" s="352"/>
      <c r="ETI2" s="352"/>
      <c r="ETJ2" s="352"/>
      <c r="ETK2" s="352"/>
      <c r="ETL2" s="352"/>
      <c r="ETM2" s="352"/>
      <c r="ETN2" s="352"/>
      <c r="ETO2" s="352"/>
      <c r="ETP2" s="352"/>
      <c r="ETQ2" s="352"/>
      <c r="ETR2" s="352"/>
      <c r="ETS2" s="352"/>
      <c r="ETT2" s="352"/>
      <c r="ETU2" s="352"/>
      <c r="ETV2" s="352"/>
      <c r="ETW2" s="352"/>
      <c r="ETX2" s="352"/>
      <c r="ETY2" s="352"/>
      <c r="ETZ2" s="352"/>
      <c r="EUA2" s="352"/>
      <c r="EUB2" s="352"/>
      <c r="EUC2" s="352"/>
      <c r="EUD2" s="352"/>
      <c r="EUE2" s="352"/>
      <c r="EUF2" s="352"/>
      <c r="EUG2" s="352"/>
      <c r="EUH2" s="352"/>
      <c r="EUI2" s="352"/>
      <c r="EUJ2" s="352"/>
      <c r="EUK2" s="352"/>
      <c r="EUL2" s="352"/>
      <c r="EUM2" s="352"/>
      <c r="EUN2" s="352"/>
      <c r="EUO2" s="352"/>
      <c r="EUP2" s="352"/>
      <c r="EUQ2" s="352"/>
      <c r="EUR2" s="352"/>
      <c r="EUS2" s="352"/>
      <c r="EUT2" s="352"/>
      <c r="EUU2" s="352"/>
      <c r="EUV2" s="352"/>
      <c r="EUW2" s="352"/>
      <c r="EUX2" s="352"/>
      <c r="EUY2" s="352"/>
      <c r="EUZ2" s="352"/>
      <c r="EVA2" s="352"/>
      <c r="EVB2" s="352"/>
      <c r="EVC2" s="352"/>
      <c r="EVD2" s="352"/>
      <c r="EVE2" s="352"/>
      <c r="EVF2" s="352"/>
      <c r="EVG2" s="352"/>
      <c r="EVH2" s="352"/>
      <c r="EVI2" s="352"/>
      <c r="EVJ2" s="352"/>
      <c r="EVK2" s="352"/>
      <c r="EVL2" s="352"/>
      <c r="EVM2" s="352"/>
      <c r="EVN2" s="352"/>
      <c r="EVO2" s="352"/>
      <c r="EVP2" s="352"/>
      <c r="EVQ2" s="352"/>
      <c r="EVR2" s="352"/>
      <c r="EVS2" s="352"/>
      <c r="EVT2" s="352"/>
      <c r="EVU2" s="352"/>
      <c r="EVV2" s="352"/>
      <c r="EVW2" s="352"/>
      <c r="EVX2" s="352"/>
      <c r="EVY2" s="352"/>
      <c r="EVZ2" s="352"/>
      <c r="EWA2" s="352"/>
      <c r="EWB2" s="352"/>
      <c r="EWC2" s="352"/>
      <c r="EWD2" s="352"/>
      <c r="EWE2" s="352"/>
      <c r="EWF2" s="352"/>
      <c r="EWG2" s="352"/>
      <c r="EWH2" s="352"/>
      <c r="EWI2" s="352"/>
      <c r="EWJ2" s="352"/>
      <c r="EWK2" s="352"/>
      <c r="EWL2" s="352"/>
      <c r="EWM2" s="352"/>
      <c r="EWN2" s="352"/>
      <c r="EWO2" s="352"/>
      <c r="EWP2" s="352"/>
      <c r="EWQ2" s="352"/>
      <c r="EWR2" s="352"/>
      <c r="EWS2" s="352"/>
      <c r="EWT2" s="352"/>
      <c r="EWU2" s="352"/>
      <c r="EWV2" s="352"/>
      <c r="EWW2" s="352"/>
      <c r="EWX2" s="352"/>
      <c r="EWY2" s="352"/>
      <c r="EWZ2" s="352"/>
      <c r="EXA2" s="352"/>
      <c r="EXB2" s="352"/>
      <c r="EXC2" s="352"/>
      <c r="EXD2" s="352"/>
      <c r="EXE2" s="352"/>
      <c r="EXF2" s="352"/>
      <c r="EXG2" s="352"/>
      <c r="EXH2" s="352"/>
      <c r="EXI2" s="352"/>
      <c r="EXJ2" s="352"/>
      <c r="EXK2" s="352"/>
      <c r="EXL2" s="352"/>
      <c r="EXM2" s="352"/>
      <c r="EXN2" s="352"/>
      <c r="EXO2" s="352"/>
      <c r="EXP2" s="352"/>
      <c r="EXQ2" s="352"/>
      <c r="EXR2" s="352"/>
      <c r="EXS2" s="352"/>
      <c r="EXT2" s="352"/>
      <c r="EXU2" s="352"/>
      <c r="EXV2" s="352"/>
      <c r="EXW2" s="352"/>
      <c r="EXX2" s="352"/>
      <c r="EXY2" s="352"/>
      <c r="EXZ2" s="352"/>
      <c r="EYA2" s="352"/>
      <c r="EYB2" s="352"/>
      <c r="EYC2" s="352"/>
      <c r="EYD2" s="352"/>
      <c r="EYE2" s="352"/>
      <c r="EYF2" s="352"/>
      <c r="EYG2" s="352"/>
      <c r="EYH2" s="352"/>
      <c r="EYI2" s="352"/>
      <c r="EYJ2" s="352"/>
      <c r="EYK2" s="352"/>
      <c r="EYL2" s="352"/>
      <c r="EYM2" s="352"/>
      <c r="EYN2" s="352"/>
      <c r="EYO2" s="352"/>
      <c r="EYP2" s="352"/>
      <c r="EYQ2" s="352"/>
      <c r="EYR2" s="352"/>
      <c r="EYS2" s="352"/>
      <c r="EYT2" s="352"/>
      <c r="EYU2" s="352"/>
      <c r="EYV2" s="352"/>
      <c r="EYW2" s="352"/>
      <c r="EYX2" s="352"/>
      <c r="EYY2" s="352"/>
      <c r="EYZ2" s="352"/>
      <c r="EZA2" s="352"/>
      <c r="EZB2" s="352"/>
      <c r="EZC2" s="352"/>
      <c r="EZD2" s="352"/>
      <c r="EZE2" s="352"/>
      <c r="EZF2" s="352"/>
      <c r="EZG2" s="352"/>
      <c r="EZH2" s="352"/>
      <c r="EZI2" s="352"/>
      <c r="EZJ2" s="352"/>
      <c r="EZK2" s="352"/>
      <c r="EZL2" s="352"/>
      <c r="EZM2" s="352"/>
      <c r="EZN2" s="352"/>
      <c r="EZO2" s="352"/>
      <c r="EZP2" s="352"/>
      <c r="EZQ2" s="352"/>
      <c r="EZR2" s="352"/>
      <c r="EZS2" s="352"/>
      <c r="EZT2" s="352"/>
      <c r="EZU2" s="352"/>
      <c r="EZV2" s="352"/>
      <c r="EZW2" s="352"/>
      <c r="EZX2" s="352"/>
      <c r="EZY2" s="352"/>
      <c r="EZZ2" s="352"/>
      <c r="FAA2" s="352"/>
      <c r="FAB2" s="352"/>
      <c r="FAC2" s="352"/>
      <c r="FAD2" s="352"/>
      <c r="FAE2" s="352"/>
      <c r="FAF2" s="352"/>
      <c r="FAG2" s="352"/>
      <c r="FAH2" s="352"/>
      <c r="FAI2" s="352"/>
      <c r="FAJ2" s="352"/>
      <c r="FAK2" s="352"/>
      <c r="FAL2" s="352"/>
      <c r="FAM2" s="352"/>
      <c r="FAN2" s="352"/>
      <c r="FAO2" s="352"/>
      <c r="FAP2" s="352"/>
      <c r="FAQ2" s="352"/>
      <c r="FAR2" s="352"/>
      <c r="FAS2" s="352"/>
      <c r="FAT2" s="352"/>
      <c r="FAU2" s="352"/>
      <c r="FAV2" s="352"/>
      <c r="FAW2" s="352"/>
      <c r="FAX2" s="352"/>
      <c r="FAY2" s="352"/>
      <c r="FAZ2" s="352"/>
      <c r="FBA2" s="352"/>
      <c r="FBB2" s="352"/>
      <c r="FBC2" s="352"/>
      <c r="FBD2" s="352"/>
      <c r="FBE2" s="352"/>
      <c r="FBF2" s="352"/>
      <c r="FBG2" s="352"/>
      <c r="FBH2" s="352"/>
      <c r="FBI2" s="352"/>
      <c r="FBJ2" s="352"/>
      <c r="FBK2" s="352"/>
      <c r="FBL2" s="352"/>
      <c r="FBM2" s="352"/>
      <c r="FBN2" s="352"/>
      <c r="FBO2" s="352"/>
      <c r="FBP2" s="352"/>
      <c r="FBQ2" s="352"/>
      <c r="FBR2" s="352"/>
      <c r="FBS2" s="352"/>
      <c r="FBT2" s="352"/>
      <c r="FBU2" s="352"/>
      <c r="FBV2" s="352"/>
      <c r="FBW2" s="352"/>
      <c r="FBX2" s="352"/>
      <c r="FBY2" s="352"/>
      <c r="FBZ2" s="352"/>
      <c r="FCA2" s="352"/>
      <c r="FCB2" s="352"/>
      <c r="FCC2" s="352"/>
      <c r="FCD2" s="352"/>
      <c r="FCE2" s="352"/>
      <c r="FCF2" s="352"/>
      <c r="FCG2" s="352"/>
      <c r="FCH2" s="352"/>
      <c r="FCI2" s="352"/>
      <c r="FCJ2" s="352"/>
      <c r="FCK2" s="352"/>
      <c r="FCL2" s="352"/>
      <c r="FCM2" s="352"/>
      <c r="FCN2" s="352"/>
      <c r="FCO2" s="352"/>
      <c r="FCP2" s="352"/>
      <c r="FCQ2" s="352"/>
      <c r="FCR2" s="352"/>
      <c r="FCS2" s="352"/>
      <c r="FCT2" s="352"/>
      <c r="FCU2" s="352"/>
      <c r="FCV2" s="352"/>
      <c r="FCW2" s="352"/>
      <c r="FCX2" s="352"/>
      <c r="FCY2" s="352"/>
      <c r="FCZ2" s="352"/>
      <c r="FDA2" s="352"/>
      <c r="FDB2" s="352"/>
      <c r="FDC2" s="352"/>
      <c r="FDD2" s="352"/>
      <c r="FDE2" s="352"/>
      <c r="FDF2" s="352"/>
      <c r="FDG2" s="352"/>
      <c r="FDH2" s="352"/>
      <c r="FDI2" s="352"/>
      <c r="FDJ2" s="352"/>
      <c r="FDK2" s="352"/>
      <c r="FDL2" s="352"/>
      <c r="FDM2" s="352"/>
      <c r="FDN2" s="352"/>
      <c r="FDO2" s="352"/>
      <c r="FDP2" s="352"/>
      <c r="FDQ2" s="352"/>
      <c r="FDR2" s="352"/>
      <c r="FDS2" s="352"/>
      <c r="FDT2" s="352"/>
      <c r="FDU2" s="352"/>
      <c r="FDV2" s="352"/>
      <c r="FDW2" s="352"/>
      <c r="FDX2" s="352"/>
      <c r="FDY2" s="352"/>
      <c r="FDZ2" s="352"/>
      <c r="FEA2" s="352"/>
      <c r="FEB2" s="352"/>
      <c r="FEC2" s="352"/>
      <c r="FED2" s="352"/>
      <c r="FEE2" s="352"/>
      <c r="FEF2" s="352"/>
      <c r="FEG2" s="352"/>
      <c r="FEH2" s="352"/>
      <c r="FEI2" s="352"/>
      <c r="FEJ2" s="352"/>
      <c r="FEK2" s="352"/>
      <c r="FEL2" s="352"/>
      <c r="FEM2" s="352"/>
      <c r="FEN2" s="352"/>
      <c r="FEO2" s="352"/>
      <c r="FEP2" s="352"/>
      <c r="FEQ2" s="352"/>
      <c r="FER2" s="352"/>
      <c r="FES2" s="352"/>
      <c r="FET2" s="352"/>
      <c r="FEU2" s="352"/>
      <c r="FEV2" s="352"/>
      <c r="FEW2" s="352"/>
      <c r="FEX2" s="352"/>
      <c r="FEY2" s="352"/>
      <c r="FEZ2" s="352"/>
      <c r="FFA2" s="352"/>
      <c r="FFB2" s="352"/>
      <c r="FFC2" s="352"/>
      <c r="FFD2" s="352"/>
      <c r="FFE2" s="352"/>
      <c r="FFF2" s="352"/>
      <c r="FFG2" s="352"/>
      <c r="FFH2" s="352"/>
      <c r="FFI2" s="352"/>
      <c r="FFJ2" s="352"/>
      <c r="FFK2" s="352"/>
      <c r="FFL2" s="352"/>
      <c r="FFM2" s="352"/>
      <c r="FFN2" s="352"/>
      <c r="FFO2" s="352"/>
      <c r="FFP2" s="352"/>
      <c r="FFQ2" s="352"/>
      <c r="FFR2" s="352"/>
      <c r="FFS2" s="352"/>
      <c r="FFT2" s="352"/>
      <c r="FFU2" s="352"/>
      <c r="FFV2" s="352"/>
      <c r="FFW2" s="352"/>
      <c r="FFX2" s="352"/>
      <c r="FFY2" s="352"/>
      <c r="FFZ2" s="352"/>
      <c r="FGA2" s="352"/>
      <c r="FGB2" s="352"/>
      <c r="FGC2" s="352"/>
      <c r="FGD2" s="352"/>
      <c r="FGE2" s="352"/>
      <c r="FGF2" s="352"/>
      <c r="FGG2" s="352"/>
      <c r="FGH2" s="352"/>
      <c r="FGI2" s="352"/>
      <c r="FGJ2" s="352"/>
      <c r="FGK2" s="352"/>
      <c r="FGL2" s="352"/>
      <c r="FGM2" s="352"/>
      <c r="FGN2" s="352"/>
      <c r="FGO2" s="352"/>
      <c r="FGP2" s="352"/>
      <c r="FGQ2" s="352"/>
      <c r="FGR2" s="352"/>
      <c r="FGS2" s="352"/>
      <c r="FGT2" s="352"/>
      <c r="FGU2" s="352"/>
      <c r="FGV2" s="352"/>
      <c r="FGW2" s="352"/>
      <c r="FGX2" s="352"/>
      <c r="FGY2" s="352"/>
      <c r="FGZ2" s="352"/>
      <c r="FHA2" s="352"/>
      <c r="FHB2" s="352"/>
      <c r="FHC2" s="352"/>
      <c r="FHD2" s="352"/>
      <c r="FHE2" s="352"/>
      <c r="FHF2" s="352"/>
      <c r="FHG2" s="352"/>
      <c r="FHH2" s="352"/>
      <c r="FHI2" s="352"/>
      <c r="FHJ2" s="352"/>
      <c r="FHK2" s="352"/>
      <c r="FHL2" s="352"/>
      <c r="FHM2" s="352"/>
      <c r="FHN2" s="352"/>
      <c r="FHO2" s="352"/>
      <c r="FHP2" s="352"/>
      <c r="FHQ2" s="352"/>
      <c r="FHR2" s="352"/>
      <c r="FHS2" s="352"/>
      <c r="FHT2" s="352"/>
      <c r="FHU2" s="352"/>
      <c r="FHV2" s="352"/>
      <c r="FHW2" s="352"/>
      <c r="FHX2" s="352"/>
      <c r="FHY2" s="352"/>
      <c r="FHZ2" s="352"/>
      <c r="FIA2" s="352"/>
      <c r="FIB2" s="352"/>
      <c r="FIC2" s="352"/>
      <c r="FID2" s="352"/>
      <c r="FIE2" s="352"/>
      <c r="FIF2" s="352"/>
      <c r="FIG2" s="352"/>
      <c r="FIH2" s="352"/>
      <c r="FII2" s="352"/>
      <c r="FIJ2" s="352"/>
      <c r="FIK2" s="352"/>
      <c r="FIL2" s="352"/>
      <c r="FIM2" s="352"/>
      <c r="FIN2" s="352"/>
      <c r="FIO2" s="352"/>
      <c r="FIP2" s="352"/>
      <c r="FIQ2" s="352"/>
      <c r="FIR2" s="352"/>
      <c r="FIS2" s="352"/>
      <c r="FIT2" s="352"/>
      <c r="FIU2" s="352"/>
      <c r="FIV2" s="352"/>
      <c r="FIW2" s="352"/>
      <c r="FIX2" s="352"/>
      <c r="FIY2" s="352"/>
      <c r="FIZ2" s="352"/>
      <c r="FJA2" s="352"/>
      <c r="FJB2" s="352"/>
      <c r="FJC2" s="352"/>
      <c r="FJD2" s="352"/>
      <c r="FJE2" s="352"/>
      <c r="FJF2" s="352"/>
      <c r="FJG2" s="352"/>
      <c r="FJH2" s="352"/>
      <c r="FJI2" s="352"/>
      <c r="FJJ2" s="352"/>
      <c r="FJK2" s="352"/>
      <c r="FJL2" s="352"/>
      <c r="FJM2" s="352"/>
      <c r="FJN2" s="352"/>
      <c r="FJO2" s="352"/>
      <c r="FJP2" s="352"/>
      <c r="FJQ2" s="352"/>
      <c r="FJR2" s="352"/>
      <c r="FJS2" s="352"/>
      <c r="FJT2" s="352"/>
      <c r="FJU2" s="352"/>
      <c r="FJV2" s="352"/>
      <c r="FJW2" s="352"/>
      <c r="FJX2" s="352"/>
      <c r="FJY2" s="352"/>
      <c r="FJZ2" s="352"/>
      <c r="FKA2" s="352"/>
      <c r="FKB2" s="352"/>
      <c r="FKC2" s="352"/>
      <c r="FKD2" s="352"/>
      <c r="FKE2" s="352"/>
      <c r="FKF2" s="352"/>
      <c r="FKG2" s="352"/>
      <c r="FKH2" s="352"/>
      <c r="FKI2" s="352"/>
      <c r="FKJ2" s="352"/>
      <c r="FKK2" s="352"/>
      <c r="FKL2" s="352"/>
      <c r="FKM2" s="352"/>
      <c r="FKN2" s="352"/>
      <c r="FKO2" s="352"/>
      <c r="FKP2" s="352"/>
      <c r="FKQ2" s="352"/>
      <c r="FKR2" s="352"/>
      <c r="FKS2" s="352"/>
      <c r="FKT2" s="352"/>
      <c r="FKU2" s="352"/>
      <c r="FKV2" s="352"/>
      <c r="FKW2" s="352"/>
      <c r="FKX2" s="352"/>
      <c r="FKY2" s="352"/>
      <c r="FKZ2" s="352"/>
      <c r="FLA2" s="352"/>
      <c r="FLB2" s="352"/>
      <c r="FLC2" s="352"/>
      <c r="FLD2" s="352"/>
      <c r="FLE2" s="352"/>
      <c r="FLF2" s="352"/>
      <c r="FLG2" s="352"/>
      <c r="FLH2" s="352"/>
      <c r="FLI2" s="352"/>
      <c r="FLJ2" s="352"/>
      <c r="FLK2" s="352"/>
      <c r="FLL2" s="352"/>
      <c r="FLM2" s="352"/>
      <c r="FLN2" s="352"/>
      <c r="FLO2" s="352"/>
      <c r="FLP2" s="352"/>
      <c r="FLQ2" s="352"/>
      <c r="FLR2" s="352"/>
      <c r="FLS2" s="352"/>
      <c r="FLT2" s="352"/>
      <c r="FLU2" s="352"/>
      <c r="FLV2" s="352"/>
      <c r="FLW2" s="352"/>
      <c r="FLX2" s="352"/>
      <c r="FLY2" s="352"/>
      <c r="FLZ2" s="352"/>
      <c r="FMA2" s="352"/>
      <c r="FMB2" s="352"/>
      <c r="FMC2" s="352"/>
      <c r="FMD2" s="352"/>
      <c r="FME2" s="352"/>
      <c r="FMF2" s="352"/>
      <c r="FMG2" s="352"/>
      <c r="FMH2" s="352"/>
      <c r="FMI2" s="352"/>
      <c r="FMJ2" s="352"/>
      <c r="FMK2" s="352"/>
      <c r="FML2" s="352"/>
      <c r="FMM2" s="352"/>
      <c r="FMN2" s="352"/>
      <c r="FMO2" s="352"/>
      <c r="FMP2" s="352"/>
      <c r="FMQ2" s="352"/>
      <c r="FMR2" s="352"/>
      <c r="FMS2" s="352"/>
      <c r="FMT2" s="352"/>
      <c r="FMU2" s="352"/>
      <c r="FMV2" s="352"/>
      <c r="FMW2" s="352"/>
      <c r="FMX2" s="352"/>
      <c r="FMY2" s="352"/>
      <c r="FMZ2" s="352"/>
      <c r="FNA2" s="352"/>
      <c r="FNB2" s="352"/>
      <c r="FNC2" s="352"/>
      <c r="FND2" s="352"/>
      <c r="FNE2" s="352"/>
      <c r="FNF2" s="352"/>
      <c r="FNG2" s="352"/>
      <c r="FNH2" s="352"/>
      <c r="FNI2" s="352"/>
      <c r="FNJ2" s="352"/>
      <c r="FNK2" s="352"/>
      <c r="FNL2" s="352"/>
      <c r="FNM2" s="352"/>
      <c r="FNN2" s="352"/>
      <c r="FNO2" s="352"/>
      <c r="FNP2" s="352"/>
      <c r="FNQ2" s="352"/>
      <c r="FNR2" s="352"/>
      <c r="FNS2" s="352"/>
      <c r="FNT2" s="352"/>
      <c r="FNU2" s="352"/>
      <c r="FNV2" s="352"/>
      <c r="FNW2" s="352"/>
      <c r="FNX2" s="352"/>
      <c r="FNY2" s="352"/>
      <c r="FNZ2" s="352"/>
      <c r="FOA2" s="352"/>
      <c r="FOB2" s="352"/>
      <c r="FOC2" s="352"/>
      <c r="FOD2" s="352"/>
      <c r="FOE2" s="352"/>
      <c r="FOF2" s="352"/>
      <c r="FOG2" s="352"/>
      <c r="FOH2" s="352"/>
      <c r="FOI2" s="352"/>
      <c r="FOJ2" s="352"/>
      <c r="FOK2" s="352"/>
      <c r="FOL2" s="352"/>
      <c r="FOM2" s="352"/>
      <c r="FON2" s="352"/>
      <c r="FOO2" s="352"/>
      <c r="FOP2" s="352"/>
      <c r="FOQ2" s="352"/>
      <c r="FOR2" s="352"/>
      <c r="FOS2" s="352"/>
      <c r="FOT2" s="352"/>
      <c r="FOU2" s="352"/>
      <c r="FOV2" s="352"/>
      <c r="FOW2" s="352"/>
      <c r="FOX2" s="352"/>
      <c r="FOY2" s="352"/>
      <c r="FOZ2" s="352"/>
      <c r="FPA2" s="352"/>
      <c r="FPB2" s="352"/>
      <c r="FPC2" s="352"/>
      <c r="FPD2" s="352"/>
      <c r="FPE2" s="352"/>
      <c r="FPF2" s="352"/>
      <c r="FPG2" s="352"/>
      <c r="FPH2" s="352"/>
      <c r="FPI2" s="352"/>
      <c r="FPJ2" s="352"/>
      <c r="FPK2" s="352"/>
      <c r="FPL2" s="352"/>
      <c r="FPM2" s="352"/>
      <c r="FPN2" s="352"/>
      <c r="FPO2" s="352"/>
      <c r="FPP2" s="352"/>
      <c r="FPQ2" s="352"/>
      <c r="FPR2" s="352"/>
      <c r="FPS2" s="352"/>
      <c r="FPT2" s="352"/>
      <c r="FPU2" s="352"/>
      <c r="FPV2" s="352"/>
      <c r="FPW2" s="352"/>
      <c r="FPX2" s="352"/>
      <c r="FPY2" s="352"/>
      <c r="FPZ2" s="352"/>
      <c r="FQA2" s="352"/>
      <c r="FQB2" s="352"/>
      <c r="FQC2" s="352"/>
      <c r="FQD2" s="352"/>
      <c r="FQE2" s="352"/>
      <c r="FQF2" s="352"/>
      <c r="FQG2" s="352"/>
      <c r="FQH2" s="352"/>
      <c r="FQI2" s="352"/>
      <c r="FQJ2" s="352"/>
      <c r="FQK2" s="352"/>
      <c r="FQL2" s="352"/>
      <c r="FQM2" s="352"/>
      <c r="FQN2" s="352"/>
      <c r="FQO2" s="352"/>
      <c r="FQP2" s="352"/>
      <c r="FQQ2" s="352"/>
      <c r="FQR2" s="352"/>
      <c r="FQS2" s="352"/>
      <c r="FQT2" s="352"/>
      <c r="FQU2" s="352"/>
      <c r="FQV2" s="352"/>
      <c r="FQW2" s="352"/>
      <c r="FQX2" s="352"/>
      <c r="FQY2" s="352"/>
      <c r="FQZ2" s="352"/>
      <c r="FRA2" s="352"/>
      <c r="FRB2" s="352"/>
      <c r="FRC2" s="352"/>
      <c r="FRD2" s="352"/>
      <c r="FRE2" s="352"/>
      <c r="FRF2" s="352"/>
      <c r="FRG2" s="352"/>
      <c r="FRH2" s="352"/>
      <c r="FRI2" s="352"/>
      <c r="FRJ2" s="352"/>
      <c r="FRK2" s="352"/>
      <c r="FRL2" s="352"/>
      <c r="FRM2" s="352"/>
      <c r="FRN2" s="352"/>
      <c r="FRO2" s="352"/>
      <c r="FRP2" s="352"/>
      <c r="FRQ2" s="352"/>
      <c r="FRR2" s="352"/>
      <c r="FRS2" s="352"/>
      <c r="FRT2" s="352"/>
      <c r="FRU2" s="352"/>
      <c r="FRV2" s="352"/>
      <c r="FRW2" s="352"/>
      <c r="FRX2" s="352"/>
      <c r="FRY2" s="352"/>
      <c r="FRZ2" s="352"/>
      <c r="FSA2" s="352"/>
      <c r="FSB2" s="352"/>
      <c r="FSC2" s="352"/>
      <c r="FSD2" s="352"/>
      <c r="FSE2" s="352"/>
      <c r="FSF2" s="352"/>
      <c r="FSG2" s="352"/>
      <c r="FSH2" s="352"/>
      <c r="FSI2" s="352"/>
      <c r="FSJ2" s="352"/>
      <c r="FSK2" s="352"/>
      <c r="FSL2" s="352"/>
      <c r="FSM2" s="352"/>
      <c r="FSN2" s="352"/>
      <c r="FSO2" s="352"/>
      <c r="FSP2" s="352"/>
      <c r="FSQ2" s="352"/>
      <c r="FSR2" s="352"/>
      <c r="FSS2" s="352"/>
      <c r="FST2" s="352"/>
      <c r="FSU2" s="352"/>
      <c r="FSV2" s="352"/>
      <c r="FSW2" s="352"/>
      <c r="FSX2" s="352"/>
      <c r="FSY2" s="352"/>
      <c r="FSZ2" s="352"/>
      <c r="FTA2" s="352"/>
      <c r="FTB2" s="352"/>
      <c r="FTC2" s="352"/>
      <c r="FTD2" s="352"/>
      <c r="FTE2" s="352"/>
      <c r="FTF2" s="352"/>
      <c r="FTG2" s="352"/>
      <c r="FTH2" s="352"/>
      <c r="FTI2" s="352"/>
      <c r="FTJ2" s="352"/>
      <c r="FTK2" s="352"/>
      <c r="FTL2" s="352"/>
      <c r="FTM2" s="352"/>
      <c r="FTN2" s="352"/>
      <c r="FTO2" s="352"/>
      <c r="FTP2" s="352"/>
      <c r="FTQ2" s="352"/>
      <c r="FTR2" s="352"/>
      <c r="FTS2" s="352"/>
      <c r="FTT2" s="352"/>
      <c r="FTU2" s="352"/>
      <c r="FTV2" s="352"/>
      <c r="FTW2" s="352"/>
      <c r="FTX2" s="352"/>
      <c r="FTY2" s="352"/>
      <c r="FTZ2" s="352"/>
      <c r="FUA2" s="352"/>
      <c r="FUB2" s="352"/>
      <c r="FUC2" s="352"/>
      <c r="FUD2" s="352"/>
      <c r="FUE2" s="352"/>
      <c r="FUF2" s="352"/>
      <c r="FUG2" s="352"/>
      <c r="FUH2" s="352"/>
      <c r="FUI2" s="352"/>
      <c r="FUJ2" s="352"/>
      <c r="FUK2" s="352"/>
      <c r="FUL2" s="352"/>
      <c r="FUM2" s="352"/>
      <c r="FUN2" s="352"/>
      <c r="FUO2" s="352"/>
      <c r="FUP2" s="352"/>
      <c r="FUQ2" s="352"/>
      <c r="FUR2" s="352"/>
      <c r="FUS2" s="352"/>
      <c r="FUT2" s="352"/>
      <c r="FUU2" s="352"/>
      <c r="FUV2" s="352"/>
      <c r="FUW2" s="352"/>
      <c r="FUX2" s="352"/>
      <c r="FUY2" s="352"/>
      <c r="FUZ2" s="352"/>
      <c r="FVA2" s="352"/>
      <c r="FVB2" s="352"/>
      <c r="FVC2" s="352"/>
      <c r="FVD2" s="352"/>
      <c r="FVE2" s="352"/>
      <c r="FVF2" s="352"/>
      <c r="FVG2" s="352"/>
      <c r="FVH2" s="352"/>
      <c r="FVI2" s="352"/>
      <c r="FVJ2" s="352"/>
      <c r="FVK2" s="352"/>
      <c r="FVL2" s="352"/>
      <c r="FVM2" s="352"/>
      <c r="FVN2" s="352"/>
      <c r="FVO2" s="352"/>
      <c r="FVP2" s="352"/>
      <c r="FVQ2" s="352"/>
      <c r="FVR2" s="352"/>
      <c r="FVS2" s="352"/>
      <c r="FVT2" s="352"/>
      <c r="FVU2" s="352"/>
      <c r="FVV2" s="352"/>
      <c r="FVW2" s="352"/>
      <c r="FVX2" s="352"/>
      <c r="FVY2" s="352"/>
      <c r="FVZ2" s="352"/>
      <c r="FWA2" s="352"/>
      <c r="FWB2" s="352"/>
      <c r="FWC2" s="352"/>
      <c r="FWD2" s="352"/>
      <c r="FWE2" s="352"/>
      <c r="FWF2" s="352"/>
      <c r="FWG2" s="352"/>
      <c r="FWH2" s="352"/>
      <c r="FWI2" s="352"/>
      <c r="FWJ2" s="352"/>
      <c r="FWK2" s="352"/>
      <c r="FWL2" s="352"/>
      <c r="FWM2" s="352"/>
      <c r="FWN2" s="352"/>
      <c r="FWO2" s="352"/>
      <c r="FWP2" s="352"/>
      <c r="FWQ2" s="352"/>
      <c r="FWR2" s="352"/>
      <c r="FWS2" s="352"/>
      <c r="FWT2" s="352"/>
      <c r="FWU2" s="352"/>
      <c r="FWV2" s="352"/>
      <c r="FWW2" s="352"/>
      <c r="FWX2" s="352"/>
      <c r="FWY2" s="352"/>
      <c r="FWZ2" s="352"/>
      <c r="FXA2" s="352"/>
      <c r="FXB2" s="352"/>
      <c r="FXC2" s="352"/>
      <c r="FXD2" s="352"/>
      <c r="FXE2" s="352"/>
      <c r="FXF2" s="352"/>
      <c r="FXG2" s="352"/>
      <c r="FXH2" s="352"/>
      <c r="FXI2" s="352"/>
      <c r="FXJ2" s="352"/>
      <c r="FXK2" s="352"/>
      <c r="FXL2" s="352"/>
      <c r="FXM2" s="352"/>
      <c r="FXN2" s="352"/>
      <c r="FXO2" s="352"/>
      <c r="FXP2" s="352"/>
      <c r="FXQ2" s="352"/>
      <c r="FXR2" s="352"/>
      <c r="FXS2" s="352"/>
      <c r="FXT2" s="352"/>
      <c r="FXU2" s="352"/>
      <c r="FXV2" s="352"/>
      <c r="FXW2" s="352"/>
      <c r="FXX2" s="352"/>
      <c r="FXY2" s="352"/>
      <c r="FXZ2" s="352"/>
      <c r="FYA2" s="352"/>
      <c r="FYB2" s="352"/>
      <c r="FYC2" s="352"/>
      <c r="FYD2" s="352"/>
      <c r="FYE2" s="352"/>
      <c r="FYF2" s="352"/>
      <c r="FYG2" s="352"/>
      <c r="FYH2" s="352"/>
      <c r="FYI2" s="352"/>
      <c r="FYJ2" s="352"/>
      <c r="FYK2" s="352"/>
      <c r="FYL2" s="352"/>
      <c r="FYM2" s="352"/>
      <c r="FYN2" s="352"/>
      <c r="FYO2" s="352"/>
      <c r="FYP2" s="352"/>
      <c r="FYQ2" s="352"/>
      <c r="FYR2" s="352"/>
      <c r="FYS2" s="352"/>
      <c r="FYT2" s="352"/>
      <c r="FYU2" s="352"/>
      <c r="FYV2" s="352"/>
      <c r="FYW2" s="352"/>
      <c r="FYX2" s="352"/>
      <c r="FYY2" s="352"/>
      <c r="FYZ2" s="352"/>
      <c r="FZA2" s="352"/>
      <c r="FZB2" s="352"/>
      <c r="FZC2" s="352"/>
      <c r="FZD2" s="352"/>
      <c r="FZE2" s="352"/>
      <c r="FZF2" s="352"/>
      <c r="FZG2" s="352"/>
      <c r="FZH2" s="352"/>
      <c r="FZI2" s="352"/>
      <c r="FZJ2" s="352"/>
      <c r="FZK2" s="352"/>
      <c r="FZL2" s="352"/>
      <c r="FZM2" s="352"/>
      <c r="FZN2" s="352"/>
      <c r="FZO2" s="352"/>
      <c r="FZP2" s="352"/>
      <c r="FZQ2" s="352"/>
      <c r="FZR2" s="352"/>
      <c r="FZS2" s="352"/>
      <c r="FZT2" s="352"/>
      <c r="FZU2" s="352"/>
      <c r="FZV2" s="352"/>
      <c r="FZW2" s="352"/>
      <c r="FZX2" s="352"/>
      <c r="FZY2" s="352"/>
      <c r="FZZ2" s="352"/>
      <c r="GAA2" s="352"/>
      <c r="GAB2" s="352"/>
      <c r="GAC2" s="352"/>
      <c r="GAD2" s="352"/>
      <c r="GAE2" s="352"/>
      <c r="GAF2" s="352"/>
      <c r="GAG2" s="352"/>
      <c r="GAH2" s="352"/>
      <c r="GAI2" s="352"/>
      <c r="GAJ2" s="352"/>
      <c r="GAK2" s="352"/>
      <c r="GAL2" s="352"/>
      <c r="GAM2" s="352"/>
      <c r="GAN2" s="352"/>
      <c r="GAO2" s="352"/>
      <c r="GAP2" s="352"/>
      <c r="GAQ2" s="352"/>
      <c r="GAR2" s="352"/>
      <c r="GAS2" s="352"/>
      <c r="GAT2" s="352"/>
      <c r="GAU2" s="352"/>
      <c r="GAV2" s="352"/>
      <c r="GAW2" s="352"/>
      <c r="GAX2" s="352"/>
      <c r="GAY2" s="352"/>
      <c r="GAZ2" s="352"/>
      <c r="GBA2" s="352"/>
      <c r="GBB2" s="352"/>
      <c r="GBC2" s="352"/>
      <c r="GBD2" s="352"/>
      <c r="GBE2" s="352"/>
      <c r="GBF2" s="352"/>
      <c r="GBG2" s="352"/>
      <c r="GBH2" s="352"/>
      <c r="GBI2" s="352"/>
      <c r="GBJ2" s="352"/>
      <c r="GBK2" s="352"/>
      <c r="GBL2" s="352"/>
      <c r="GBM2" s="352"/>
      <c r="GBN2" s="352"/>
      <c r="GBO2" s="352"/>
      <c r="GBP2" s="352"/>
      <c r="GBQ2" s="352"/>
      <c r="GBR2" s="352"/>
      <c r="GBS2" s="352"/>
      <c r="GBT2" s="352"/>
      <c r="GBU2" s="352"/>
      <c r="GBV2" s="352"/>
      <c r="GBW2" s="352"/>
      <c r="GBX2" s="352"/>
      <c r="GBY2" s="352"/>
      <c r="GBZ2" s="352"/>
      <c r="GCA2" s="352"/>
      <c r="GCB2" s="352"/>
      <c r="GCC2" s="352"/>
      <c r="GCD2" s="352"/>
      <c r="GCE2" s="352"/>
      <c r="GCF2" s="352"/>
      <c r="GCG2" s="352"/>
      <c r="GCH2" s="352"/>
      <c r="GCI2" s="352"/>
      <c r="GCJ2" s="352"/>
      <c r="GCK2" s="352"/>
      <c r="GCL2" s="352"/>
      <c r="GCM2" s="352"/>
      <c r="GCN2" s="352"/>
      <c r="GCO2" s="352"/>
      <c r="GCP2" s="352"/>
      <c r="GCQ2" s="352"/>
      <c r="GCR2" s="352"/>
      <c r="GCS2" s="352"/>
      <c r="GCT2" s="352"/>
      <c r="GCU2" s="352"/>
      <c r="GCV2" s="352"/>
      <c r="GCW2" s="352"/>
      <c r="GCX2" s="352"/>
      <c r="GCY2" s="352"/>
      <c r="GCZ2" s="352"/>
      <c r="GDA2" s="352"/>
      <c r="GDB2" s="352"/>
      <c r="GDC2" s="352"/>
      <c r="GDD2" s="352"/>
      <c r="GDE2" s="352"/>
      <c r="GDF2" s="352"/>
      <c r="GDG2" s="352"/>
      <c r="GDH2" s="352"/>
      <c r="GDI2" s="352"/>
      <c r="GDJ2" s="352"/>
      <c r="GDK2" s="352"/>
      <c r="GDL2" s="352"/>
      <c r="GDM2" s="352"/>
      <c r="GDN2" s="352"/>
      <c r="GDO2" s="352"/>
      <c r="GDP2" s="352"/>
      <c r="GDQ2" s="352"/>
      <c r="GDR2" s="352"/>
      <c r="GDS2" s="352"/>
      <c r="GDT2" s="352"/>
      <c r="GDU2" s="352"/>
      <c r="GDV2" s="352"/>
      <c r="GDW2" s="352"/>
      <c r="GDX2" s="352"/>
      <c r="GDY2" s="352"/>
      <c r="GDZ2" s="352"/>
      <c r="GEA2" s="352"/>
      <c r="GEB2" s="352"/>
      <c r="GEC2" s="352"/>
      <c r="GED2" s="352"/>
      <c r="GEE2" s="352"/>
      <c r="GEF2" s="352"/>
      <c r="GEG2" s="352"/>
      <c r="GEH2" s="352"/>
      <c r="GEI2" s="352"/>
      <c r="GEJ2" s="352"/>
      <c r="GEK2" s="352"/>
      <c r="GEL2" s="352"/>
      <c r="GEM2" s="352"/>
      <c r="GEN2" s="352"/>
      <c r="GEO2" s="352"/>
      <c r="GEP2" s="352"/>
      <c r="GEQ2" s="352"/>
      <c r="GER2" s="352"/>
      <c r="GES2" s="352"/>
      <c r="GET2" s="352"/>
      <c r="GEU2" s="352"/>
      <c r="GEV2" s="352"/>
      <c r="GEW2" s="352"/>
      <c r="GEX2" s="352"/>
      <c r="GEY2" s="352"/>
      <c r="GEZ2" s="352"/>
      <c r="GFA2" s="352"/>
      <c r="GFB2" s="352"/>
      <c r="GFC2" s="352"/>
      <c r="GFD2" s="352"/>
      <c r="GFE2" s="352"/>
      <c r="GFF2" s="352"/>
      <c r="GFG2" s="352"/>
      <c r="GFH2" s="352"/>
      <c r="GFI2" s="352"/>
      <c r="GFJ2" s="352"/>
      <c r="GFK2" s="352"/>
      <c r="GFL2" s="352"/>
      <c r="GFM2" s="352"/>
      <c r="GFN2" s="352"/>
      <c r="GFO2" s="352"/>
      <c r="GFP2" s="352"/>
      <c r="GFQ2" s="352"/>
      <c r="GFR2" s="352"/>
      <c r="GFS2" s="352"/>
      <c r="GFT2" s="352"/>
      <c r="GFU2" s="352"/>
      <c r="GFV2" s="352"/>
      <c r="GFW2" s="352"/>
      <c r="GFX2" s="352"/>
      <c r="GFY2" s="352"/>
      <c r="GFZ2" s="352"/>
      <c r="GGA2" s="352"/>
      <c r="GGB2" s="352"/>
      <c r="GGC2" s="352"/>
      <c r="GGD2" s="352"/>
      <c r="GGE2" s="352"/>
      <c r="GGF2" s="352"/>
      <c r="GGG2" s="352"/>
      <c r="GGH2" s="352"/>
      <c r="GGI2" s="352"/>
      <c r="GGJ2" s="352"/>
      <c r="GGK2" s="352"/>
      <c r="GGL2" s="352"/>
      <c r="GGM2" s="352"/>
      <c r="GGN2" s="352"/>
      <c r="GGO2" s="352"/>
      <c r="GGP2" s="352"/>
      <c r="GGQ2" s="352"/>
      <c r="GGR2" s="352"/>
      <c r="GGS2" s="352"/>
      <c r="GGT2" s="352"/>
      <c r="GGU2" s="352"/>
      <c r="GGV2" s="352"/>
      <c r="GGW2" s="352"/>
      <c r="GGX2" s="352"/>
      <c r="GGY2" s="352"/>
      <c r="GGZ2" s="352"/>
      <c r="GHA2" s="352"/>
      <c r="GHB2" s="352"/>
      <c r="GHC2" s="352"/>
      <c r="GHD2" s="352"/>
      <c r="GHE2" s="352"/>
      <c r="GHF2" s="352"/>
      <c r="GHG2" s="352"/>
      <c r="GHH2" s="352"/>
      <c r="GHI2" s="352"/>
      <c r="GHJ2" s="352"/>
      <c r="GHK2" s="352"/>
      <c r="GHL2" s="352"/>
      <c r="GHM2" s="352"/>
      <c r="GHN2" s="352"/>
      <c r="GHO2" s="352"/>
      <c r="GHP2" s="352"/>
      <c r="GHQ2" s="352"/>
      <c r="GHR2" s="352"/>
      <c r="GHS2" s="352"/>
      <c r="GHT2" s="352"/>
      <c r="GHU2" s="352"/>
      <c r="GHV2" s="352"/>
      <c r="GHW2" s="352"/>
      <c r="GHX2" s="352"/>
      <c r="GHY2" s="352"/>
      <c r="GHZ2" s="352"/>
      <c r="GIA2" s="352"/>
      <c r="GIB2" s="352"/>
      <c r="GIC2" s="352"/>
      <c r="GID2" s="352"/>
      <c r="GIE2" s="352"/>
      <c r="GIF2" s="352"/>
      <c r="GIG2" s="352"/>
      <c r="GIH2" s="352"/>
      <c r="GII2" s="352"/>
      <c r="GIJ2" s="352"/>
      <c r="GIK2" s="352"/>
      <c r="GIL2" s="352"/>
      <c r="GIM2" s="352"/>
      <c r="GIN2" s="352"/>
      <c r="GIO2" s="352"/>
      <c r="GIP2" s="352"/>
      <c r="GIQ2" s="352"/>
      <c r="GIR2" s="352"/>
      <c r="GIS2" s="352"/>
      <c r="GIT2" s="352"/>
      <c r="GIU2" s="352"/>
      <c r="GIV2" s="352"/>
      <c r="GIW2" s="352"/>
      <c r="GIX2" s="352"/>
      <c r="GIY2" s="352"/>
      <c r="GIZ2" s="352"/>
      <c r="GJA2" s="352"/>
      <c r="GJB2" s="352"/>
      <c r="GJC2" s="352"/>
      <c r="GJD2" s="352"/>
      <c r="GJE2" s="352"/>
      <c r="GJF2" s="352"/>
      <c r="GJG2" s="352"/>
      <c r="GJH2" s="352"/>
      <c r="GJI2" s="352"/>
      <c r="GJJ2" s="352"/>
      <c r="GJK2" s="352"/>
      <c r="GJL2" s="352"/>
      <c r="GJM2" s="352"/>
      <c r="GJN2" s="352"/>
      <c r="GJO2" s="352"/>
      <c r="GJP2" s="352"/>
      <c r="GJQ2" s="352"/>
      <c r="GJR2" s="352"/>
      <c r="GJS2" s="352"/>
      <c r="GJT2" s="352"/>
      <c r="GJU2" s="352"/>
      <c r="GJV2" s="352"/>
      <c r="GJW2" s="352"/>
      <c r="GJX2" s="352"/>
      <c r="GJY2" s="352"/>
      <c r="GJZ2" s="352"/>
      <c r="GKA2" s="352"/>
      <c r="GKB2" s="352"/>
      <c r="GKC2" s="352"/>
      <c r="GKD2" s="352"/>
      <c r="GKE2" s="352"/>
      <c r="GKF2" s="352"/>
      <c r="GKG2" s="352"/>
      <c r="GKH2" s="352"/>
      <c r="GKI2" s="352"/>
      <c r="GKJ2" s="352"/>
      <c r="GKK2" s="352"/>
      <c r="GKL2" s="352"/>
      <c r="GKM2" s="352"/>
      <c r="GKN2" s="352"/>
      <c r="GKO2" s="352"/>
      <c r="GKP2" s="352"/>
      <c r="GKQ2" s="352"/>
      <c r="GKR2" s="352"/>
      <c r="GKS2" s="352"/>
      <c r="GKT2" s="352"/>
      <c r="GKU2" s="352"/>
      <c r="GKV2" s="352"/>
      <c r="GKW2" s="352"/>
      <c r="GKX2" s="352"/>
      <c r="GKY2" s="352"/>
      <c r="GKZ2" s="352"/>
      <c r="GLA2" s="352"/>
      <c r="GLB2" s="352"/>
      <c r="GLC2" s="352"/>
      <c r="GLD2" s="352"/>
      <c r="GLE2" s="352"/>
      <c r="GLF2" s="352"/>
      <c r="GLG2" s="352"/>
      <c r="GLH2" s="352"/>
      <c r="GLI2" s="352"/>
      <c r="GLJ2" s="352"/>
      <c r="GLK2" s="352"/>
      <c r="GLL2" s="352"/>
      <c r="GLM2" s="352"/>
      <c r="GLN2" s="352"/>
      <c r="GLO2" s="352"/>
      <c r="GLP2" s="352"/>
      <c r="GLQ2" s="352"/>
      <c r="GLR2" s="352"/>
      <c r="GLS2" s="352"/>
      <c r="GLT2" s="352"/>
      <c r="GLU2" s="352"/>
      <c r="GLV2" s="352"/>
      <c r="GLW2" s="352"/>
      <c r="GLX2" s="352"/>
      <c r="GLY2" s="352"/>
      <c r="GLZ2" s="352"/>
      <c r="GMA2" s="352"/>
      <c r="GMB2" s="352"/>
      <c r="GMC2" s="352"/>
      <c r="GMD2" s="352"/>
      <c r="GME2" s="352"/>
      <c r="GMF2" s="352"/>
      <c r="GMG2" s="352"/>
      <c r="GMH2" s="352"/>
      <c r="GMI2" s="352"/>
      <c r="GMJ2" s="352"/>
      <c r="GMK2" s="352"/>
      <c r="GML2" s="352"/>
      <c r="GMM2" s="352"/>
      <c r="GMN2" s="352"/>
      <c r="GMO2" s="352"/>
      <c r="GMP2" s="352"/>
      <c r="GMQ2" s="352"/>
      <c r="GMR2" s="352"/>
      <c r="GMS2" s="352"/>
      <c r="GMT2" s="352"/>
      <c r="GMU2" s="352"/>
      <c r="GMV2" s="352"/>
      <c r="GMW2" s="352"/>
      <c r="GMX2" s="352"/>
      <c r="GMY2" s="352"/>
      <c r="GMZ2" s="352"/>
      <c r="GNA2" s="352"/>
      <c r="GNB2" s="352"/>
      <c r="GNC2" s="352"/>
      <c r="GND2" s="352"/>
      <c r="GNE2" s="352"/>
      <c r="GNF2" s="352"/>
      <c r="GNG2" s="352"/>
      <c r="GNH2" s="352"/>
      <c r="GNI2" s="352"/>
      <c r="GNJ2" s="352"/>
      <c r="GNK2" s="352"/>
      <c r="GNL2" s="352"/>
      <c r="GNM2" s="352"/>
      <c r="GNN2" s="352"/>
      <c r="GNO2" s="352"/>
      <c r="GNP2" s="352"/>
      <c r="GNQ2" s="352"/>
      <c r="GNR2" s="352"/>
      <c r="GNS2" s="352"/>
      <c r="GNT2" s="352"/>
      <c r="GNU2" s="352"/>
      <c r="GNV2" s="352"/>
      <c r="GNW2" s="352"/>
      <c r="GNX2" s="352"/>
      <c r="GNY2" s="352"/>
      <c r="GNZ2" s="352"/>
      <c r="GOA2" s="352"/>
      <c r="GOB2" s="352"/>
      <c r="GOC2" s="352"/>
      <c r="GOD2" s="352"/>
      <c r="GOE2" s="352"/>
      <c r="GOF2" s="352"/>
      <c r="GOG2" s="352"/>
      <c r="GOH2" s="352"/>
      <c r="GOI2" s="352"/>
      <c r="GOJ2" s="352"/>
      <c r="GOK2" s="352"/>
      <c r="GOL2" s="352"/>
      <c r="GOM2" s="352"/>
      <c r="GON2" s="352"/>
      <c r="GOO2" s="352"/>
      <c r="GOP2" s="352"/>
      <c r="GOQ2" s="352"/>
      <c r="GOR2" s="352"/>
      <c r="GOS2" s="352"/>
      <c r="GOT2" s="352"/>
      <c r="GOU2" s="352"/>
      <c r="GOV2" s="352"/>
      <c r="GOW2" s="352"/>
      <c r="GOX2" s="352"/>
      <c r="GOY2" s="352"/>
      <c r="GOZ2" s="352"/>
      <c r="GPA2" s="352"/>
      <c r="GPB2" s="352"/>
      <c r="GPC2" s="352"/>
      <c r="GPD2" s="352"/>
      <c r="GPE2" s="352"/>
      <c r="GPF2" s="352"/>
      <c r="GPG2" s="352"/>
      <c r="GPH2" s="352"/>
      <c r="GPI2" s="352"/>
      <c r="GPJ2" s="352"/>
      <c r="GPK2" s="352"/>
      <c r="GPL2" s="352"/>
      <c r="GPM2" s="352"/>
      <c r="GPN2" s="352"/>
      <c r="GPO2" s="352"/>
      <c r="GPP2" s="352"/>
      <c r="GPQ2" s="352"/>
      <c r="GPR2" s="352"/>
      <c r="GPS2" s="352"/>
      <c r="GPT2" s="352"/>
      <c r="GPU2" s="352"/>
      <c r="GPV2" s="352"/>
      <c r="GPW2" s="352"/>
      <c r="GPX2" s="352"/>
      <c r="GPY2" s="352"/>
      <c r="GPZ2" s="352"/>
      <c r="GQA2" s="352"/>
      <c r="GQB2" s="352"/>
      <c r="GQC2" s="352"/>
      <c r="GQD2" s="352"/>
      <c r="GQE2" s="352"/>
      <c r="GQF2" s="352"/>
      <c r="GQG2" s="352"/>
      <c r="GQH2" s="352"/>
      <c r="GQI2" s="352"/>
      <c r="GQJ2" s="352"/>
      <c r="GQK2" s="352"/>
      <c r="GQL2" s="352"/>
      <c r="GQM2" s="352"/>
      <c r="GQN2" s="352"/>
      <c r="GQO2" s="352"/>
      <c r="GQP2" s="352"/>
      <c r="GQQ2" s="352"/>
      <c r="GQR2" s="352"/>
      <c r="GQS2" s="352"/>
      <c r="GQT2" s="352"/>
      <c r="GQU2" s="352"/>
      <c r="GQV2" s="352"/>
      <c r="GQW2" s="352"/>
      <c r="GQX2" s="352"/>
      <c r="GQY2" s="352"/>
      <c r="GQZ2" s="352"/>
      <c r="GRA2" s="352"/>
      <c r="GRB2" s="352"/>
      <c r="GRC2" s="352"/>
      <c r="GRD2" s="352"/>
      <c r="GRE2" s="352"/>
      <c r="GRF2" s="352"/>
      <c r="GRG2" s="352"/>
      <c r="GRH2" s="352"/>
      <c r="GRI2" s="352"/>
      <c r="GRJ2" s="352"/>
      <c r="GRK2" s="352"/>
      <c r="GRL2" s="352"/>
      <c r="GRM2" s="352"/>
      <c r="GRN2" s="352"/>
      <c r="GRO2" s="352"/>
      <c r="GRP2" s="352"/>
      <c r="GRQ2" s="352"/>
      <c r="GRR2" s="352"/>
      <c r="GRS2" s="352"/>
      <c r="GRT2" s="352"/>
      <c r="GRU2" s="352"/>
      <c r="GRV2" s="352"/>
      <c r="GRW2" s="352"/>
      <c r="GRX2" s="352"/>
      <c r="GRY2" s="352"/>
      <c r="GRZ2" s="352"/>
      <c r="GSA2" s="352"/>
      <c r="GSB2" s="352"/>
      <c r="GSC2" s="352"/>
      <c r="GSD2" s="352"/>
      <c r="GSE2" s="352"/>
      <c r="GSF2" s="352"/>
      <c r="GSG2" s="352"/>
      <c r="GSH2" s="352"/>
      <c r="GSI2" s="352"/>
      <c r="GSJ2" s="352"/>
      <c r="GSK2" s="352"/>
      <c r="GSL2" s="352"/>
      <c r="GSM2" s="352"/>
      <c r="GSN2" s="352"/>
      <c r="GSO2" s="352"/>
      <c r="GSP2" s="352"/>
      <c r="GSQ2" s="352"/>
      <c r="GSR2" s="352"/>
      <c r="GSS2" s="352"/>
      <c r="GST2" s="352"/>
      <c r="GSU2" s="352"/>
      <c r="GSV2" s="352"/>
      <c r="GSW2" s="352"/>
      <c r="GSX2" s="352"/>
      <c r="GSY2" s="352"/>
      <c r="GSZ2" s="352"/>
      <c r="GTA2" s="352"/>
      <c r="GTB2" s="352"/>
      <c r="GTC2" s="352"/>
      <c r="GTD2" s="352"/>
      <c r="GTE2" s="352"/>
      <c r="GTF2" s="352"/>
      <c r="GTG2" s="352"/>
      <c r="GTH2" s="352"/>
      <c r="GTI2" s="352"/>
      <c r="GTJ2" s="352"/>
      <c r="GTK2" s="352"/>
      <c r="GTL2" s="352"/>
      <c r="GTM2" s="352"/>
      <c r="GTN2" s="352"/>
      <c r="GTO2" s="352"/>
      <c r="GTP2" s="352"/>
      <c r="GTQ2" s="352"/>
      <c r="GTR2" s="352"/>
      <c r="GTS2" s="352"/>
      <c r="GTT2" s="352"/>
      <c r="GTU2" s="352"/>
      <c r="GTV2" s="352"/>
      <c r="GTW2" s="352"/>
      <c r="GTX2" s="352"/>
      <c r="GTY2" s="352"/>
      <c r="GTZ2" s="352"/>
      <c r="GUA2" s="352"/>
      <c r="GUB2" s="352"/>
      <c r="GUC2" s="352"/>
      <c r="GUD2" s="352"/>
      <c r="GUE2" s="352"/>
      <c r="GUF2" s="352"/>
      <c r="GUG2" s="352"/>
      <c r="GUH2" s="352"/>
      <c r="GUI2" s="352"/>
      <c r="GUJ2" s="352"/>
      <c r="GUK2" s="352"/>
      <c r="GUL2" s="352"/>
      <c r="GUM2" s="352"/>
      <c r="GUN2" s="352"/>
      <c r="GUO2" s="352"/>
      <c r="GUP2" s="352"/>
      <c r="GUQ2" s="352"/>
      <c r="GUR2" s="352"/>
      <c r="GUS2" s="352"/>
      <c r="GUT2" s="352"/>
      <c r="GUU2" s="352"/>
      <c r="GUV2" s="352"/>
      <c r="GUW2" s="352"/>
      <c r="GUX2" s="352"/>
      <c r="GUY2" s="352"/>
      <c r="GUZ2" s="352"/>
      <c r="GVA2" s="352"/>
      <c r="GVB2" s="352"/>
      <c r="GVC2" s="352"/>
      <c r="GVD2" s="352"/>
      <c r="GVE2" s="352"/>
      <c r="GVF2" s="352"/>
      <c r="GVG2" s="352"/>
      <c r="GVH2" s="352"/>
      <c r="GVI2" s="352"/>
      <c r="GVJ2" s="352"/>
      <c r="GVK2" s="352"/>
      <c r="GVL2" s="352"/>
      <c r="GVM2" s="352"/>
      <c r="GVN2" s="352"/>
      <c r="GVO2" s="352"/>
      <c r="GVP2" s="352"/>
      <c r="GVQ2" s="352"/>
      <c r="GVR2" s="352"/>
      <c r="GVS2" s="352"/>
      <c r="GVT2" s="352"/>
      <c r="GVU2" s="352"/>
      <c r="GVV2" s="352"/>
      <c r="GVW2" s="352"/>
      <c r="GVX2" s="352"/>
      <c r="GVY2" s="352"/>
      <c r="GVZ2" s="352"/>
      <c r="GWA2" s="352"/>
      <c r="GWB2" s="352"/>
      <c r="GWC2" s="352"/>
      <c r="GWD2" s="352"/>
      <c r="GWE2" s="352"/>
      <c r="GWF2" s="352"/>
      <c r="GWG2" s="352"/>
      <c r="GWH2" s="352"/>
      <c r="GWI2" s="352"/>
      <c r="GWJ2" s="352"/>
      <c r="GWK2" s="352"/>
      <c r="GWL2" s="352"/>
      <c r="GWM2" s="352"/>
      <c r="GWN2" s="352"/>
      <c r="GWO2" s="352"/>
      <c r="GWP2" s="352"/>
      <c r="GWQ2" s="352"/>
      <c r="GWR2" s="352"/>
      <c r="GWS2" s="352"/>
      <c r="GWT2" s="352"/>
      <c r="GWU2" s="352"/>
      <c r="GWV2" s="352"/>
      <c r="GWW2" s="352"/>
      <c r="GWX2" s="352"/>
      <c r="GWY2" s="352"/>
      <c r="GWZ2" s="352"/>
      <c r="GXA2" s="352"/>
      <c r="GXB2" s="352"/>
      <c r="GXC2" s="352"/>
      <c r="GXD2" s="352"/>
      <c r="GXE2" s="352"/>
      <c r="GXF2" s="352"/>
      <c r="GXG2" s="352"/>
      <c r="GXH2" s="352"/>
      <c r="GXI2" s="352"/>
      <c r="GXJ2" s="352"/>
      <c r="GXK2" s="352"/>
      <c r="GXL2" s="352"/>
      <c r="GXM2" s="352"/>
      <c r="GXN2" s="352"/>
      <c r="GXO2" s="352"/>
      <c r="GXP2" s="352"/>
      <c r="GXQ2" s="352"/>
      <c r="GXR2" s="352"/>
      <c r="GXS2" s="352"/>
      <c r="GXT2" s="352"/>
      <c r="GXU2" s="352"/>
      <c r="GXV2" s="352"/>
      <c r="GXW2" s="352"/>
      <c r="GXX2" s="352"/>
      <c r="GXY2" s="352"/>
      <c r="GXZ2" s="352"/>
      <c r="GYA2" s="352"/>
      <c r="GYB2" s="352"/>
      <c r="GYC2" s="352"/>
      <c r="GYD2" s="352"/>
      <c r="GYE2" s="352"/>
      <c r="GYF2" s="352"/>
      <c r="GYG2" s="352"/>
      <c r="GYH2" s="352"/>
      <c r="GYI2" s="352"/>
      <c r="GYJ2" s="352"/>
      <c r="GYK2" s="352"/>
      <c r="GYL2" s="352"/>
      <c r="GYM2" s="352"/>
      <c r="GYN2" s="352"/>
      <c r="GYO2" s="352"/>
      <c r="GYP2" s="352"/>
      <c r="GYQ2" s="352"/>
      <c r="GYR2" s="352"/>
      <c r="GYS2" s="352"/>
      <c r="GYT2" s="352"/>
      <c r="GYU2" s="352"/>
      <c r="GYV2" s="352"/>
      <c r="GYW2" s="352"/>
      <c r="GYX2" s="352"/>
      <c r="GYY2" s="352"/>
      <c r="GYZ2" s="352"/>
      <c r="GZA2" s="352"/>
      <c r="GZB2" s="352"/>
      <c r="GZC2" s="352"/>
      <c r="GZD2" s="352"/>
      <c r="GZE2" s="352"/>
      <c r="GZF2" s="352"/>
      <c r="GZG2" s="352"/>
      <c r="GZH2" s="352"/>
      <c r="GZI2" s="352"/>
      <c r="GZJ2" s="352"/>
      <c r="GZK2" s="352"/>
      <c r="GZL2" s="352"/>
      <c r="GZM2" s="352"/>
      <c r="GZN2" s="352"/>
      <c r="GZO2" s="352"/>
      <c r="GZP2" s="352"/>
      <c r="GZQ2" s="352"/>
      <c r="GZR2" s="352"/>
      <c r="GZS2" s="352"/>
      <c r="GZT2" s="352"/>
      <c r="GZU2" s="352"/>
      <c r="GZV2" s="352"/>
      <c r="GZW2" s="352"/>
      <c r="GZX2" s="352"/>
      <c r="GZY2" s="352"/>
      <c r="GZZ2" s="352"/>
      <c r="HAA2" s="352"/>
      <c r="HAB2" s="352"/>
      <c r="HAC2" s="352"/>
      <c r="HAD2" s="352"/>
      <c r="HAE2" s="352"/>
      <c r="HAF2" s="352"/>
      <c r="HAG2" s="352"/>
      <c r="HAH2" s="352"/>
      <c r="HAI2" s="352"/>
      <c r="HAJ2" s="352"/>
      <c r="HAK2" s="352"/>
      <c r="HAL2" s="352"/>
      <c r="HAM2" s="352"/>
      <c r="HAN2" s="352"/>
      <c r="HAO2" s="352"/>
      <c r="HAP2" s="352"/>
      <c r="HAQ2" s="352"/>
      <c r="HAR2" s="352"/>
      <c r="HAS2" s="352"/>
      <c r="HAT2" s="352"/>
      <c r="HAU2" s="352"/>
      <c r="HAV2" s="352"/>
      <c r="HAW2" s="352"/>
      <c r="HAX2" s="352"/>
      <c r="HAY2" s="352"/>
      <c r="HAZ2" s="352"/>
      <c r="HBA2" s="352"/>
      <c r="HBB2" s="352"/>
      <c r="HBC2" s="352"/>
      <c r="HBD2" s="352"/>
      <c r="HBE2" s="352"/>
      <c r="HBF2" s="352"/>
      <c r="HBG2" s="352"/>
      <c r="HBH2" s="352"/>
      <c r="HBI2" s="352"/>
      <c r="HBJ2" s="352"/>
      <c r="HBK2" s="352"/>
      <c r="HBL2" s="352"/>
      <c r="HBM2" s="352"/>
      <c r="HBN2" s="352"/>
      <c r="HBO2" s="352"/>
      <c r="HBP2" s="352"/>
      <c r="HBQ2" s="352"/>
      <c r="HBR2" s="352"/>
      <c r="HBS2" s="352"/>
      <c r="HBT2" s="352"/>
      <c r="HBU2" s="352"/>
      <c r="HBV2" s="352"/>
      <c r="HBW2" s="352"/>
      <c r="HBX2" s="352"/>
      <c r="HBY2" s="352"/>
      <c r="HBZ2" s="352"/>
      <c r="HCA2" s="352"/>
      <c r="HCB2" s="352"/>
      <c r="HCC2" s="352"/>
      <c r="HCD2" s="352"/>
      <c r="HCE2" s="352"/>
      <c r="HCF2" s="352"/>
      <c r="HCG2" s="352"/>
      <c r="HCH2" s="352"/>
      <c r="HCI2" s="352"/>
      <c r="HCJ2" s="352"/>
      <c r="HCK2" s="352"/>
      <c r="HCL2" s="352"/>
      <c r="HCM2" s="352"/>
      <c r="HCN2" s="352"/>
      <c r="HCO2" s="352"/>
      <c r="HCP2" s="352"/>
      <c r="HCQ2" s="352"/>
      <c r="HCR2" s="352"/>
      <c r="HCS2" s="352"/>
      <c r="HCT2" s="352"/>
      <c r="HCU2" s="352"/>
      <c r="HCV2" s="352"/>
      <c r="HCW2" s="352"/>
      <c r="HCX2" s="352"/>
      <c r="HCY2" s="352"/>
      <c r="HCZ2" s="352"/>
      <c r="HDA2" s="352"/>
      <c r="HDB2" s="352"/>
      <c r="HDC2" s="352"/>
      <c r="HDD2" s="352"/>
      <c r="HDE2" s="352"/>
      <c r="HDF2" s="352"/>
      <c r="HDG2" s="352"/>
      <c r="HDH2" s="352"/>
      <c r="HDI2" s="352"/>
      <c r="HDJ2" s="352"/>
      <c r="HDK2" s="352"/>
      <c r="HDL2" s="352"/>
      <c r="HDM2" s="352"/>
      <c r="HDN2" s="352"/>
      <c r="HDO2" s="352"/>
      <c r="HDP2" s="352"/>
      <c r="HDQ2" s="352"/>
      <c r="HDR2" s="352"/>
      <c r="HDS2" s="352"/>
      <c r="HDT2" s="352"/>
      <c r="HDU2" s="352"/>
      <c r="HDV2" s="352"/>
      <c r="HDW2" s="352"/>
      <c r="HDX2" s="352"/>
      <c r="HDY2" s="352"/>
      <c r="HDZ2" s="352"/>
      <c r="HEA2" s="352"/>
      <c r="HEB2" s="352"/>
      <c r="HEC2" s="352"/>
      <c r="HED2" s="352"/>
      <c r="HEE2" s="352"/>
      <c r="HEF2" s="352"/>
      <c r="HEG2" s="352"/>
      <c r="HEH2" s="352"/>
      <c r="HEI2" s="352"/>
      <c r="HEJ2" s="352"/>
      <c r="HEK2" s="352"/>
      <c r="HEL2" s="352"/>
      <c r="HEM2" s="352"/>
      <c r="HEN2" s="352"/>
      <c r="HEO2" s="352"/>
      <c r="HEP2" s="352"/>
      <c r="HEQ2" s="352"/>
      <c r="HER2" s="352"/>
      <c r="HES2" s="352"/>
      <c r="HET2" s="352"/>
      <c r="HEU2" s="352"/>
      <c r="HEV2" s="352"/>
      <c r="HEW2" s="352"/>
      <c r="HEX2" s="352"/>
      <c r="HEY2" s="352"/>
      <c r="HEZ2" s="352"/>
      <c r="HFA2" s="352"/>
      <c r="HFB2" s="352"/>
      <c r="HFC2" s="352"/>
      <c r="HFD2" s="352"/>
      <c r="HFE2" s="352"/>
      <c r="HFF2" s="352"/>
      <c r="HFG2" s="352"/>
      <c r="HFH2" s="352"/>
      <c r="HFI2" s="352"/>
      <c r="HFJ2" s="352"/>
      <c r="HFK2" s="352"/>
      <c r="HFL2" s="352"/>
      <c r="HFM2" s="352"/>
      <c r="HFN2" s="352"/>
      <c r="HFO2" s="352"/>
      <c r="HFP2" s="352"/>
      <c r="HFQ2" s="352"/>
      <c r="HFR2" s="352"/>
      <c r="HFS2" s="352"/>
      <c r="HFT2" s="352"/>
      <c r="HFU2" s="352"/>
      <c r="HFV2" s="352"/>
      <c r="HFW2" s="352"/>
      <c r="HFX2" s="352"/>
      <c r="HFY2" s="352"/>
      <c r="HFZ2" s="352"/>
      <c r="HGA2" s="352"/>
      <c r="HGB2" s="352"/>
      <c r="HGC2" s="352"/>
      <c r="HGD2" s="352"/>
      <c r="HGE2" s="352"/>
      <c r="HGF2" s="352"/>
      <c r="HGG2" s="352"/>
      <c r="HGH2" s="352"/>
      <c r="HGI2" s="352"/>
      <c r="HGJ2" s="352"/>
      <c r="HGK2" s="352"/>
      <c r="HGL2" s="352"/>
      <c r="HGM2" s="352"/>
      <c r="HGN2" s="352"/>
      <c r="HGO2" s="352"/>
      <c r="HGP2" s="352"/>
      <c r="HGQ2" s="352"/>
      <c r="HGR2" s="352"/>
      <c r="HGS2" s="352"/>
      <c r="HGT2" s="352"/>
      <c r="HGU2" s="352"/>
      <c r="HGV2" s="352"/>
      <c r="HGW2" s="352"/>
      <c r="HGX2" s="352"/>
      <c r="HGY2" s="352"/>
      <c r="HGZ2" s="352"/>
      <c r="HHA2" s="352"/>
      <c r="HHB2" s="352"/>
      <c r="HHC2" s="352"/>
      <c r="HHD2" s="352"/>
      <c r="HHE2" s="352"/>
      <c r="HHF2" s="352"/>
      <c r="HHG2" s="352"/>
      <c r="HHH2" s="352"/>
      <c r="HHI2" s="352"/>
      <c r="HHJ2" s="352"/>
      <c r="HHK2" s="352"/>
      <c r="HHL2" s="352"/>
      <c r="HHM2" s="352"/>
      <c r="HHN2" s="352"/>
      <c r="HHO2" s="352"/>
      <c r="HHP2" s="352"/>
      <c r="HHQ2" s="352"/>
      <c r="HHR2" s="352"/>
      <c r="HHS2" s="352"/>
      <c r="HHT2" s="352"/>
      <c r="HHU2" s="352"/>
      <c r="HHV2" s="352"/>
      <c r="HHW2" s="352"/>
      <c r="HHX2" s="352"/>
      <c r="HHY2" s="352"/>
      <c r="HHZ2" s="352"/>
      <c r="HIA2" s="352"/>
      <c r="HIB2" s="352"/>
      <c r="HIC2" s="352"/>
      <c r="HID2" s="352"/>
      <c r="HIE2" s="352"/>
      <c r="HIF2" s="352"/>
      <c r="HIG2" s="352"/>
      <c r="HIH2" s="352"/>
      <c r="HII2" s="352"/>
      <c r="HIJ2" s="352"/>
      <c r="HIK2" s="352"/>
      <c r="HIL2" s="352"/>
      <c r="HIM2" s="352"/>
      <c r="HIN2" s="352"/>
      <c r="HIO2" s="352"/>
      <c r="HIP2" s="352"/>
      <c r="HIQ2" s="352"/>
      <c r="HIR2" s="352"/>
      <c r="HIS2" s="352"/>
      <c r="HIT2" s="352"/>
      <c r="HIU2" s="352"/>
      <c r="HIV2" s="352"/>
      <c r="HIW2" s="352"/>
      <c r="HIX2" s="352"/>
      <c r="HIY2" s="352"/>
      <c r="HIZ2" s="352"/>
      <c r="HJA2" s="352"/>
      <c r="HJB2" s="352"/>
      <c r="HJC2" s="352"/>
      <c r="HJD2" s="352"/>
      <c r="HJE2" s="352"/>
      <c r="HJF2" s="352"/>
      <c r="HJG2" s="352"/>
      <c r="HJH2" s="352"/>
      <c r="HJI2" s="352"/>
      <c r="HJJ2" s="352"/>
      <c r="HJK2" s="352"/>
      <c r="HJL2" s="352"/>
      <c r="HJM2" s="352"/>
      <c r="HJN2" s="352"/>
      <c r="HJO2" s="352"/>
      <c r="HJP2" s="352"/>
      <c r="HJQ2" s="352"/>
      <c r="HJR2" s="352"/>
      <c r="HJS2" s="352"/>
      <c r="HJT2" s="352"/>
      <c r="HJU2" s="352"/>
      <c r="HJV2" s="352"/>
      <c r="HJW2" s="352"/>
      <c r="HJX2" s="352"/>
      <c r="HJY2" s="352"/>
      <c r="HJZ2" s="352"/>
      <c r="HKA2" s="352"/>
      <c r="HKB2" s="352"/>
      <c r="HKC2" s="352"/>
      <c r="HKD2" s="352"/>
      <c r="HKE2" s="352"/>
      <c r="HKF2" s="352"/>
      <c r="HKG2" s="352"/>
      <c r="HKH2" s="352"/>
      <c r="HKI2" s="352"/>
      <c r="HKJ2" s="352"/>
      <c r="HKK2" s="352"/>
      <c r="HKL2" s="352"/>
      <c r="HKM2" s="352"/>
      <c r="HKN2" s="352"/>
      <c r="HKO2" s="352"/>
      <c r="HKP2" s="352"/>
      <c r="HKQ2" s="352"/>
      <c r="HKR2" s="352"/>
      <c r="HKS2" s="352"/>
      <c r="HKT2" s="352"/>
      <c r="HKU2" s="352"/>
      <c r="HKV2" s="352"/>
      <c r="HKW2" s="352"/>
      <c r="HKX2" s="352"/>
      <c r="HKY2" s="352"/>
      <c r="HKZ2" s="352"/>
      <c r="HLA2" s="352"/>
      <c r="HLB2" s="352"/>
      <c r="HLC2" s="352"/>
      <c r="HLD2" s="352"/>
      <c r="HLE2" s="352"/>
      <c r="HLF2" s="352"/>
      <c r="HLG2" s="352"/>
      <c r="HLH2" s="352"/>
      <c r="HLI2" s="352"/>
      <c r="HLJ2" s="352"/>
      <c r="HLK2" s="352"/>
      <c r="HLL2" s="352"/>
      <c r="HLM2" s="352"/>
      <c r="HLN2" s="352"/>
      <c r="HLO2" s="352"/>
      <c r="HLP2" s="352"/>
      <c r="HLQ2" s="352"/>
      <c r="HLR2" s="352"/>
      <c r="HLS2" s="352"/>
      <c r="HLT2" s="352"/>
      <c r="HLU2" s="352"/>
      <c r="HLV2" s="352"/>
      <c r="HLW2" s="352"/>
      <c r="HLX2" s="352"/>
      <c r="HLY2" s="352"/>
      <c r="HLZ2" s="352"/>
      <c r="HMA2" s="352"/>
      <c r="HMB2" s="352"/>
      <c r="HMC2" s="352"/>
      <c r="HMD2" s="352"/>
      <c r="HME2" s="352"/>
      <c r="HMF2" s="352"/>
      <c r="HMG2" s="352"/>
      <c r="HMH2" s="352"/>
      <c r="HMI2" s="352"/>
      <c r="HMJ2" s="352"/>
      <c r="HMK2" s="352"/>
      <c r="HML2" s="352"/>
      <c r="HMM2" s="352"/>
      <c r="HMN2" s="352"/>
      <c r="HMO2" s="352"/>
      <c r="HMP2" s="352"/>
      <c r="HMQ2" s="352"/>
      <c r="HMR2" s="352"/>
      <c r="HMS2" s="352"/>
      <c r="HMT2" s="352"/>
      <c r="HMU2" s="352"/>
      <c r="HMV2" s="352"/>
      <c r="HMW2" s="352"/>
      <c r="HMX2" s="352"/>
      <c r="HMY2" s="352"/>
      <c r="HMZ2" s="352"/>
      <c r="HNA2" s="352"/>
      <c r="HNB2" s="352"/>
      <c r="HNC2" s="352"/>
      <c r="HND2" s="352"/>
      <c r="HNE2" s="352"/>
      <c r="HNF2" s="352"/>
      <c r="HNG2" s="352"/>
      <c r="HNH2" s="352"/>
      <c r="HNI2" s="352"/>
      <c r="HNJ2" s="352"/>
      <c r="HNK2" s="352"/>
      <c r="HNL2" s="352"/>
      <c r="HNM2" s="352"/>
      <c r="HNN2" s="352"/>
      <c r="HNO2" s="352"/>
      <c r="HNP2" s="352"/>
      <c r="HNQ2" s="352"/>
      <c r="HNR2" s="352"/>
      <c r="HNS2" s="352"/>
      <c r="HNT2" s="352"/>
      <c r="HNU2" s="352"/>
      <c r="HNV2" s="352"/>
      <c r="HNW2" s="352"/>
      <c r="HNX2" s="352"/>
      <c r="HNY2" s="352"/>
      <c r="HNZ2" s="352"/>
      <c r="HOA2" s="352"/>
      <c r="HOB2" s="352"/>
      <c r="HOC2" s="352"/>
      <c r="HOD2" s="352"/>
      <c r="HOE2" s="352"/>
      <c r="HOF2" s="352"/>
      <c r="HOG2" s="352"/>
      <c r="HOH2" s="352"/>
      <c r="HOI2" s="352"/>
      <c r="HOJ2" s="352"/>
      <c r="HOK2" s="352"/>
      <c r="HOL2" s="352"/>
      <c r="HOM2" s="352"/>
      <c r="HON2" s="352"/>
      <c r="HOO2" s="352"/>
      <c r="HOP2" s="352"/>
      <c r="HOQ2" s="352"/>
      <c r="HOR2" s="352"/>
      <c r="HOS2" s="352"/>
      <c r="HOT2" s="352"/>
      <c r="HOU2" s="352"/>
      <c r="HOV2" s="352"/>
      <c r="HOW2" s="352"/>
      <c r="HOX2" s="352"/>
      <c r="HOY2" s="352"/>
      <c r="HOZ2" s="352"/>
      <c r="HPA2" s="352"/>
      <c r="HPB2" s="352"/>
      <c r="HPC2" s="352"/>
      <c r="HPD2" s="352"/>
      <c r="HPE2" s="352"/>
      <c r="HPF2" s="352"/>
      <c r="HPG2" s="352"/>
      <c r="HPH2" s="352"/>
      <c r="HPI2" s="352"/>
      <c r="HPJ2" s="352"/>
      <c r="HPK2" s="352"/>
      <c r="HPL2" s="352"/>
      <c r="HPM2" s="352"/>
      <c r="HPN2" s="352"/>
      <c r="HPO2" s="352"/>
      <c r="HPP2" s="352"/>
      <c r="HPQ2" s="352"/>
      <c r="HPR2" s="352"/>
      <c r="HPS2" s="352"/>
      <c r="HPT2" s="352"/>
      <c r="HPU2" s="352"/>
      <c r="HPV2" s="352"/>
      <c r="HPW2" s="352"/>
      <c r="HPX2" s="352"/>
      <c r="HPY2" s="352"/>
      <c r="HPZ2" s="352"/>
      <c r="HQA2" s="352"/>
      <c r="HQB2" s="352"/>
      <c r="HQC2" s="352"/>
      <c r="HQD2" s="352"/>
      <c r="HQE2" s="352"/>
      <c r="HQF2" s="352"/>
      <c r="HQG2" s="352"/>
      <c r="HQH2" s="352"/>
      <c r="HQI2" s="352"/>
      <c r="HQJ2" s="352"/>
      <c r="HQK2" s="352"/>
      <c r="HQL2" s="352"/>
      <c r="HQM2" s="352"/>
      <c r="HQN2" s="352"/>
      <c r="HQO2" s="352"/>
      <c r="HQP2" s="352"/>
      <c r="HQQ2" s="352"/>
      <c r="HQR2" s="352"/>
      <c r="HQS2" s="352"/>
      <c r="HQT2" s="352"/>
      <c r="HQU2" s="352"/>
      <c r="HQV2" s="352"/>
      <c r="HQW2" s="352"/>
      <c r="HQX2" s="352"/>
      <c r="HQY2" s="352"/>
      <c r="HQZ2" s="352"/>
      <c r="HRA2" s="352"/>
      <c r="HRB2" s="352"/>
      <c r="HRC2" s="352"/>
      <c r="HRD2" s="352"/>
      <c r="HRE2" s="352"/>
      <c r="HRF2" s="352"/>
      <c r="HRG2" s="352"/>
      <c r="HRH2" s="352"/>
      <c r="HRI2" s="352"/>
      <c r="HRJ2" s="352"/>
      <c r="HRK2" s="352"/>
      <c r="HRL2" s="352"/>
      <c r="HRM2" s="352"/>
      <c r="HRN2" s="352"/>
      <c r="HRO2" s="352"/>
      <c r="HRP2" s="352"/>
      <c r="HRQ2" s="352"/>
      <c r="HRR2" s="352"/>
      <c r="HRS2" s="352"/>
      <c r="HRT2" s="352"/>
      <c r="HRU2" s="352"/>
      <c r="HRV2" s="352"/>
      <c r="HRW2" s="352"/>
      <c r="HRX2" s="352"/>
      <c r="HRY2" s="352"/>
      <c r="HRZ2" s="352"/>
      <c r="HSA2" s="352"/>
      <c r="HSB2" s="352"/>
      <c r="HSC2" s="352"/>
      <c r="HSD2" s="352"/>
      <c r="HSE2" s="352"/>
      <c r="HSF2" s="352"/>
      <c r="HSG2" s="352"/>
      <c r="HSH2" s="352"/>
      <c r="HSI2" s="352"/>
      <c r="HSJ2" s="352"/>
      <c r="HSK2" s="352"/>
      <c r="HSL2" s="352"/>
      <c r="HSM2" s="352"/>
      <c r="HSN2" s="352"/>
      <c r="HSO2" s="352"/>
      <c r="HSP2" s="352"/>
      <c r="HSQ2" s="352"/>
      <c r="HSR2" s="352"/>
      <c r="HSS2" s="352"/>
      <c r="HST2" s="352"/>
      <c r="HSU2" s="352"/>
      <c r="HSV2" s="352"/>
      <c r="HSW2" s="352"/>
      <c r="HSX2" s="352"/>
      <c r="HSY2" s="352"/>
      <c r="HSZ2" s="352"/>
      <c r="HTA2" s="352"/>
      <c r="HTB2" s="352"/>
      <c r="HTC2" s="352"/>
      <c r="HTD2" s="352"/>
      <c r="HTE2" s="352"/>
      <c r="HTF2" s="352"/>
      <c r="HTG2" s="352"/>
      <c r="HTH2" s="352"/>
      <c r="HTI2" s="352"/>
      <c r="HTJ2" s="352"/>
      <c r="HTK2" s="352"/>
      <c r="HTL2" s="352"/>
      <c r="HTM2" s="352"/>
      <c r="HTN2" s="352"/>
      <c r="HTO2" s="352"/>
      <c r="HTP2" s="352"/>
      <c r="HTQ2" s="352"/>
      <c r="HTR2" s="352"/>
      <c r="HTS2" s="352"/>
      <c r="HTT2" s="352"/>
      <c r="HTU2" s="352"/>
      <c r="HTV2" s="352"/>
      <c r="HTW2" s="352"/>
      <c r="HTX2" s="352"/>
      <c r="HTY2" s="352"/>
      <c r="HTZ2" s="352"/>
      <c r="HUA2" s="352"/>
      <c r="HUB2" s="352"/>
      <c r="HUC2" s="352"/>
      <c r="HUD2" s="352"/>
      <c r="HUE2" s="352"/>
      <c r="HUF2" s="352"/>
      <c r="HUG2" s="352"/>
      <c r="HUH2" s="352"/>
      <c r="HUI2" s="352"/>
      <c r="HUJ2" s="352"/>
      <c r="HUK2" s="352"/>
      <c r="HUL2" s="352"/>
      <c r="HUM2" s="352"/>
      <c r="HUN2" s="352"/>
      <c r="HUO2" s="352"/>
      <c r="HUP2" s="352"/>
      <c r="HUQ2" s="352"/>
      <c r="HUR2" s="352"/>
      <c r="HUS2" s="352"/>
      <c r="HUT2" s="352"/>
      <c r="HUU2" s="352"/>
      <c r="HUV2" s="352"/>
      <c r="HUW2" s="352"/>
      <c r="HUX2" s="352"/>
      <c r="HUY2" s="352"/>
      <c r="HUZ2" s="352"/>
      <c r="HVA2" s="352"/>
      <c r="HVB2" s="352"/>
      <c r="HVC2" s="352"/>
      <c r="HVD2" s="352"/>
      <c r="HVE2" s="352"/>
      <c r="HVF2" s="352"/>
      <c r="HVG2" s="352"/>
      <c r="HVH2" s="352"/>
      <c r="HVI2" s="352"/>
      <c r="HVJ2" s="352"/>
      <c r="HVK2" s="352"/>
      <c r="HVL2" s="352"/>
      <c r="HVM2" s="352"/>
      <c r="HVN2" s="352"/>
      <c r="HVO2" s="352"/>
      <c r="HVP2" s="352"/>
      <c r="HVQ2" s="352"/>
      <c r="HVR2" s="352"/>
      <c r="HVS2" s="352"/>
      <c r="HVT2" s="352"/>
      <c r="HVU2" s="352"/>
      <c r="HVV2" s="352"/>
      <c r="HVW2" s="352"/>
      <c r="HVX2" s="352"/>
      <c r="HVY2" s="352"/>
      <c r="HVZ2" s="352"/>
      <c r="HWA2" s="352"/>
      <c r="HWB2" s="352"/>
      <c r="HWC2" s="352"/>
      <c r="HWD2" s="352"/>
      <c r="HWE2" s="352"/>
      <c r="HWF2" s="352"/>
      <c r="HWG2" s="352"/>
      <c r="HWH2" s="352"/>
      <c r="HWI2" s="352"/>
      <c r="HWJ2" s="352"/>
      <c r="HWK2" s="352"/>
      <c r="HWL2" s="352"/>
      <c r="HWM2" s="352"/>
      <c r="HWN2" s="352"/>
      <c r="HWO2" s="352"/>
      <c r="HWP2" s="352"/>
      <c r="HWQ2" s="352"/>
      <c r="HWR2" s="352"/>
      <c r="HWS2" s="352"/>
      <c r="HWT2" s="352"/>
      <c r="HWU2" s="352"/>
      <c r="HWV2" s="352"/>
      <c r="HWW2" s="352"/>
      <c r="HWX2" s="352"/>
      <c r="HWY2" s="352"/>
      <c r="HWZ2" s="352"/>
      <c r="HXA2" s="352"/>
      <c r="HXB2" s="352"/>
      <c r="HXC2" s="352"/>
      <c r="HXD2" s="352"/>
      <c r="HXE2" s="352"/>
      <c r="HXF2" s="352"/>
      <c r="HXG2" s="352"/>
      <c r="HXH2" s="352"/>
      <c r="HXI2" s="352"/>
      <c r="HXJ2" s="352"/>
      <c r="HXK2" s="352"/>
      <c r="HXL2" s="352"/>
      <c r="HXM2" s="352"/>
      <c r="HXN2" s="352"/>
      <c r="HXO2" s="352"/>
      <c r="HXP2" s="352"/>
      <c r="HXQ2" s="352"/>
      <c r="HXR2" s="352"/>
      <c r="HXS2" s="352"/>
      <c r="HXT2" s="352"/>
      <c r="HXU2" s="352"/>
      <c r="HXV2" s="352"/>
      <c r="HXW2" s="352"/>
      <c r="HXX2" s="352"/>
      <c r="HXY2" s="352"/>
      <c r="HXZ2" s="352"/>
      <c r="HYA2" s="352"/>
      <c r="HYB2" s="352"/>
      <c r="HYC2" s="352"/>
      <c r="HYD2" s="352"/>
      <c r="HYE2" s="352"/>
      <c r="HYF2" s="352"/>
      <c r="HYG2" s="352"/>
      <c r="HYH2" s="352"/>
      <c r="HYI2" s="352"/>
      <c r="HYJ2" s="352"/>
      <c r="HYK2" s="352"/>
      <c r="HYL2" s="352"/>
      <c r="HYM2" s="352"/>
      <c r="HYN2" s="352"/>
      <c r="HYO2" s="352"/>
      <c r="HYP2" s="352"/>
      <c r="HYQ2" s="352"/>
      <c r="HYR2" s="352"/>
      <c r="HYS2" s="352"/>
      <c r="HYT2" s="352"/>
      <c r="HYU2" s="352"/>
      <c r="HYV2" s="352"/>
      <c r="HYW2" s="352"/>
      <c r="HYX2" s="352"/>
      <c r="HYY2" s="352"/>
      <c r="HYZ2" s="352"/>
      <c r="HZA2" s="352"/>
      <c r="HZB2" s="352"/>
      <c r="HZC2" s="352"/>
      <c r="HZD2" s="352"/>
      <c r="HZE2" s="352"/>
      <c r="HZF2" s="352"/>
      <c r="HZG2" s="352"/>
      <c r="HZH2" s="352"/>
      <c r="HZI2" s="352"/>
      <c r="HZJ2" s="352"/>
      <c r="HZK2" s="352"/>
      <c r="HZL2" s="352"/>
      <c r="HZM2" s="352"/>
      <c r="HZN2" s="352"/>
      <c r="HZO2" s="352"/>
      <c r="HZP2" s="352"/>
      <c r="HZQ2" s="352"/>
      <c r="HZR2" s="352"/>
      <c r="HZS2" s="352"/>
      <c r="HZT2" s="352"/>
      <c r="HZU2" s="352"/>
      <c r="HZV2" s="352"/>
      <c r="HZW2" s="352"/>
      <c r="HZX2" s="352"/>
      <c r="HZY2" s="352"/>
      <c r="HZZ2" s="352"/>
      <c r="IAA2" s="352"/>
      <c r="IAB2" s="352"/>
      <c r="IAC2" s="352"/>
      <c r="IAD2" s="352"/>
      <c r="IAE2" s="352"/>
      <c r="IAF2" s="352"/>
      <c r="IAG2" s="352"/>
      <c r="IAH2" s="352"/>
      <c r="IAI2" s="352"/>
      <c r="IAJ2" s="352"/>
      <c r="IAK2" s="352"/>
      <c r="IAL2" s="352"/>
      <c r="IAM2" s="352"/>
      <c r="IAN2" s="352"/>
      <c r="IAO2" s="352"/>
      <c r="IAP2" s="352"/>
      <c r="IAQ2" s="352"/>
      <c r="IAR2" s="352"/>
      <c r="IAS2" s="352"/>
      <c r="IAT2" s="352"/>
      <c r="IAU2" s="352"/>
      <c r="IAV2" s="352"/>
      <c r="IAW2" s="352"/>
      <c r="IAX2" s="352"/>
      <c r="IAY2" s="352"/>
      <c r="IAZ2" s="352"/>
      <c r="IBA2" s="352"/>
      <c r="IBB2" s="352"/>
      <c r="IBC2" s="352"/>
      <c r="IBD2" s="352"/>
      <c r="IBE2" s="352"/>
      <c r="IBF2" s="352"/>
      <c r="IBG2" s="352"/>
      <c r="IBH2" s="352"/>
      <c r="IBI2" s="352"/>
      <c r="IBJ2" s="352"/>
      <c r="IBK2" s="352"/>
      <c r="IBL2" s="352"/>
      <c r="IBM2" s="352"/>
      <c r="IBN2" s="352"/>
      <c r="IBO2" s="352"/>
      <c r="IBP2" s="352"/>
      <c r="IBQ2" s="352"/>
      <c r="IBR2" s="352"/>
      <c r="IBS2" s="352"/>
      <c r="IBT2" s="352"/>
      <c r="IBU2" s="352"/>
      <c r="IBV2" s="352"/>
      <c r="IBW2" s="352"/>
      <c r="IBX2" s="352"/>
      <c r="IBY2" s="352"/>
      <c r="IBZ2" s="352"/>
      <c r="ICA2" s="352"/>
      <c r="ICB2" s="352"/>
      <c r="ICC2" s="352"/>
      <c r="ICD2" s="352"/>
      <c r="ICE2" s="352"/>
      <c r="ICF2" s="352"/>
      <c r="ICG2" s="352"/>
      <c r="ICH2" s="352"/>
      <c r="ICI2" s="352"/>
      <c r="ICJ2" s="352"/>
      <c r="ICK2" s="352"/>
      <c r="ICL2" s="352"/>
      <c r="ICM2" s="352"/>
      <c r="ICN2" s="352"/>
      <c r="ICO2" s="352"/>
      <c r="ICP2" s="352"/>
      <c r="ICQ2" s="352"/>
      <c r="ICR2" s="352"/>
      <c r="ICS2" s="352"/>
      <c r="ICT2" s="352"/>
      <c r="ICU2" s="352"/>
      <c r="ICV2" s="352"/>
      <c r="ICW2" s="352"/>
      <c r="ICX2" s="352"/>
      <c r="ICY2" s="352"/>
      <c r="ICZ2" s="352"/>
      <c r="IDA2" s="352"/>
      <c r="IDB2" s="352"/>
      <c r="IDC2" s="352"/>
      <c r="IDD2" s="352"/>
      <c r="IDE2" s="352"/>
      <c r="IDF2" s="352"/>
      <c r="IDG2" s="352"/>
      <c r="IDH2" s="352"/>
      <c r="IDI2" s="352"/>
      <c r="IDJ2" s="352"/>
      <c r="IDK2" s="352"/>
      <c r="IDL2" s="352"/>
      <c r="IDM2" s="352"/>
      <c r="IDN2" s="352"/>
      <c r="IDO2" s="352"/>
      <c r="IDP2" s="352"/>
      <c r="IDQ2" s="352"/>
      <c r="IDR2" s="352"/>
      <c r="IDS2" s="352"/>
      <c r="IDT2" s="352"/>
      <c r="IDU2" s="352"/>
      <c r="IDV2" s="352"/>
      <c r="IDW2" s="352"/>
      <c r="IDX2" s="352"/>
      <c r="IDY2" s="352"/>
      <c r="IDZ2" s="352"/>
      <c r="IEA2" s="352"/>
      <c r="IEB2" s="352"/>
      <c r="IEC2" s="352"/>
      <c r="IED2" s="352"/>
      <c r="IEE2" s="352"/>
      <c r="IEF2" s="352"/>
      <c r="IEG2" s="352"/>
      <c r="IEH2" s="352"/>
      <c r="IEI2" s="352"/>
      <c r="IEJ2" s="352"/>
      <c r="IEK2" s="352"/>
      <c r="IEL2" s="352"/>
      <c r="IEM2" s="352"/>
      <c r="IEN2" s="352"/>
      <c r="IEO2" s="352"/>
      <c r="IEP2" s="352"/>
      <c r="IEQ2" s="352"/>
      <c r="IER2" s="352"/>
      <c r="IES2" s="352"/>
      <c r="IET2" s="352"/>
      <c r="IEU2" s="352"/>
      <c r="IEV2" s="352"/>
      <c r="IEW2" s="352"/>
      <c r="IEX2" s="352"/>
      <c r="IEY2" s="352"/>
      <c r="IEZ2" s="352"/>
      <c r="IFA2" s="352"/>
      <c r="IFB2" s="352"/>
      <c r="IFC2" s="352"/>
      <c r="IFD2" s="352"/>
      <c r="IFE2" s="352"/>
      <c r="IFF2" s="352"/>
      <c r="IFG2" s="352"/>
      <c r="IFH2" s="352"/>
      <c r="IFI2" s="352"/>
      <c r="IFJ2" s="352"/>
      <c r="IFK2" s="352"/>
      <c r="IFL2" s="352"/>
      <c r="IFM2" s="352"/>
      <c r="IFN2" s="352"/>
      <c r="IFO2" s="352"/>
      <c r="IFP2" s="352"/>
      <c r="IFQ2" s="352"/>
      <c r="IFR2" s="352"/>
      <c r="IFS2" s="352"/>
      <c r="IFT2" s="352"/>
      <c r="IFU2" s="352"/>
      <c r="IFV2" s="352"/>
      <c r="IFW2" s="352"/>
      <c r="IFX2" s="352"/>
      <c r="IFY2" s="352"/>
      <c r="IFZ2" s="352"/>
      <c r="IGA2" s="352"/>
      <c r="IGB2" s="352"/>
      <c r="IGC2" s="352"/>
      <c r="IGD2" s="352"/>
      <c r="IGE2" s="352"/>
      <c r="IGF2" s="352"/>
      <c r="IGG2" s="352"/>
      <c r="IGH2" s="352"/>
      <c r="IGI2" s="352"/>
      <c r="IGJ2" s="352"/>
      <c r="IGK2" s="352"/>
      <c r="IGL2" s="352"/>
      <c r="IGM2" s="352"/>
      <c r="IGN2" s="352"/>
      <c r="IGO2" s="352"/>
      <c r="IGP2" s="352"/>
      <c r="IGQ2" s="352"/>
      <c r="IGR2" s="352"/>
      <c r="IGS2" s="352"/>
      <c r="IGT2" s="352"/>
      <c r="IGU2" s="352"/>
      <c r="IGV2" s="352"/>
      <c r="IGW2" s="352"/>
      <c r="IGX2" s="352"/>
      <c r="IGY2" s="352"/>
      <c r="IGZ2" s="352"/>
      <c r="IHA2" s="352"/>
      <c r="IHB2" s="352"/>
      <c r="IHC2" s="352"/>
      <c r="IHD2" s="352"/>
      <c r="IHE2" s="352"/>
      <c r="IHF2" s="352"/>
      <c r="IHG2" s="352"/>
      <c r="IHH2" s="352"/>
      <c r="IHI2" s="352"/>
      <c r="IHJ2" s="352"/>
      <c r="IHK2" s="352"/>
      <c r="IHL2" s="352"/>
      <c r="IHM2" s="352"/>
      <c r="IHN2" s="352"/>
      <c r="IHO2" s="352"/>
      <c r="IHP2" s="352"/>
      <c r="IHQ2" s="352"/>
      <c r="IHR2" s="352"/>
      <c r="IHS2" s="352"/>
      <c r="IHT2" s="352"/>
      <c r="IHU2" s="352"/>
      <c r="IHV2" s="352"/>
      <c r="IHW2" s="352"/>
      <c r="IHX2" s="352"/>
      <c r="IHY2" s="352"/>
      <c r="IHZ2" s="352"/>
      <c r="IIA2" s="352"/>
      <c r="IIB2" s="352"/>
      <c r="IIC2" s="352"/>
      <c r="IID2" s="352"/>
      <c r="IIE2" s="352"/>
      <c r="IIF2" s="352"/>
      <c r="IIG2" s="352"/>
      <c r="IIH2" s="352"/>
      <c r="III2" s="352"/>
      <c r="IIJ2" s="352"/>
      <c r="IIK2" s="352"/>
      <c r="IIL2" s="352"/>
      <c r="IIM2" s="352"/>
      <c r="IIN2" s="352"/>
      <c r="IIO2" s="352"/>
      <c r="IIP2" s="352"/>
      <c r="IIQ2" s="352"/>
      <c r="IIR2" s="352"/>
      <c r="IIS2" s="352"/>
      <c r="IIT2" s="352"/>
      <c r="IIU2" s="352"/>
      <c r="IIV2" s="352"/>
      <c r="IIW2" s="352"/>
      <c r="IIX2" s="352"/>
      <c r="IIY2" s="352"/>
      <c r="IIZ2" s="352"/>
      <c r="IJA2" s="352"/>
      <c r="IJB2" s="352"/>
      <c r="IJC2" s="352"/>
      <c r="IJD2" s="352"/>
      <c r="IJE2" s="352"/>
      <c r="IJF2" s="352"/>
      <c r="IJG2" s="352"/>
      <c r="IJH2" s="352"/>
      <c r="IJI2" s="352"/>
      <c r="IJJ2" s="352"/>
      <c r="IJK2" s="352"/>
      <c r="IJL2" s="352"/>
      <c r="IJM2" s="352"/>
      <c r="IJN2" s="352"/>
      <c r="IJO2" s="352"/>
      <c r="IJP2" s="352"/>
      <c r="IJQ2" s="352"/>
      <c r="IJR2" s="352"/>
      <c r="IJS2" s="352"/>
      <c r="IJT2" s="352"/>
      <c r="IJU2" s="352"/>
      <c r="IJV2" s="352"/>
      <c r="IJW2" s="352"/>
      <c r="IJX2" s="352"/>
      <c r="IJY2" s="352"/>
      <c r="IJZ2" s="352"/>
      <c r="IKA2" s="352"/>
      <c r="IKB2" s="352"/>
      <c r="IKC2" s="352"/>
      <c r="IKD2" s="352"/>
      <c r="IKE2" s="352"/>
      <c r="IKF2" s="352"/>
      <c r="IKG2" s="352"/>
      <c r="IKH2" s="352"/>
      <c r="IKI2" s="352"/>
      <c r="IKJ2" s="352"/>
      <c r="IKK2" s="352"/>
      <c r="IKL2" s="352"/>
      <c r="IKM2" s="352"/>
      <c r="IKN2" s="352"/>
      <c r="IKO2" s="352"/>
      <c r="IKP2" s="352"/>
      <c r="IKQ2" s="352"/>
      <c r="IKR2" s="352"/>
      <c r="IKS2" s="352"/>
      <c r="IKT2" s="352"/>
      <c r="IKU2" s="352"/>
      <c r="IKV2" s="352"/>
      <c r="IKW2" s="352"/>
      <c r="IKX2" s="352"/>
      <c r="IKY2" s="352"/>
      <c r="IKZ2" s="352"/>
      <c r="ILA2" s="352"/>
      <c r="ILB2" s="352"/>
      <c r="ILC2" s="352"/>
      <c r="ILD2" s="352"/>
      <c r="ILE2" s="352"/>
      <c r="ILF2" s="352"/>
      <c r="ILG2" s="352"/>
      <c r="ILH2" s="352"/>
      <c r="ILI2" s="352"/>
      <c r="ILJ2" s="352"/>
      <c r="ILK2" s="352"/>
      <c r="ILL2" s="352"/>
      <c r="ILM2" s="352"/>
      <c r="ILN2" s="352"/>
      <c r="ILO2" s="352"/>
      <c r="ILP2" s="352"/>
      <c r="ILQ2" s="352"/>
      <c r="ILR2" s="352"/>
      <c r="ILS2" s="352"/>
      <c r="ILT2" s="352"/>
      <c r="ILU2" s="352"/>
      <c r="ILV2" s="352"/>
      <c r="ILW2" s="352"/>
      <c r="ILX2" s="352"/>
      <c r="ILY2" s="352"/>
      <c r="ILZ2" s="352"/>
      <c r="IMA2" s="352"/>
      <c r="IMB2" s="352"/>
      <c r="IMC2" s="352"/>
      <c r="IMD2" s="352"/>
      <c r="IME2" s="352"/>
      <c r="IMF2" s="352"/>
      <c r="IMG2" s="352"/>
      <c r="IMH2" s="352"/>
      <c r="IMI2" s="352"/>
      <c r="IMJ2" s="352"/>
      <c r="IMK2" s="352"/>
      <c r="IML2" s="352"/>
      <c r="IMM2" s="352"/>
      <c r="IMN2" s="352"/>
      <c r="IMO2" s="352"/>
      <c r="IMP2" s="352"/>
      <c r="IMQ2" s="352"/>
      <c r="IMR2" s="352"/>
      <c r="IMS2" s="352"/>
      <c r="IMT2" s="352"/>
      <c r="IMU2" s="352"/>
      <c r="IMV2" s="352"/>
      <c r="IMW2" s="352"/>
      <c r="IMX2" s="352"/>
      <c r="IMY2" s="352"/>
      <c r="IMZ2" s="352"/>
      <c r="INA2" s="352"/>
      <c r="INB2" s="352"/>
      <c r="INC2" s="352"/>
      <c r="IND2" s="352"/>
      <c r="INE2" s="352"/>
      <c r="INF2" s="352"/>
      <c r="ING2" s="352"/>
      <c r="INH2" s="352"/>
      <c r="INI2" s="352"/>
      <c r="INJ2" s="352"/>
      <c r="INK2" s="352"/>
      <c r="INL2" s="352"/>
      <c r="INM2" s="352"/>
      <c r="INN2" s="352"/>
      <c r="INO2" s="352"/>
      <c r="INP2" s="352"/>
      <c r="INQ2" s="352"/>
      <c r="INR2" s="352"/>
      <c r="INS2" s="352"/>
      <c r="INT2" s="352"/>
      <c r="INU2" s="352"/>
      <c r="INV2" s="352"/>
      <c r="INW2" s="352"/>
      <c r="INX2" s="352"/>
      <c r="INY2" s="352"/>
      <c r="INZ2" s="352"/>
      <c r="IOA2" s="352"/>
      <c r="IOB2" s="352"/>
      <c r="IOC2" s="352"/>
      <c r="IOD2" s="352"/>
      <c r="IOE2" s="352"/>
      <c r="IOF2" s="352"/>
      <c r="IOG2" s="352"/>
      <c r="IOH2" s="352"/>
      <c r="IOI2" s="352"/>
      <c r="IOJ2" s="352"/>
      <c r="IOK2" s="352"/>
      <c r="IOL2" s="352"/>
      <c r="IOM2" s="352"/>
      <c r="ION2" s="352"/>
      <c r="IOO2" s="352"/>
      <c r="IOP2" s="352"/>
      <c r="IOQ2" s="352"/>
      <c r="IOR2" s="352"/>
      <c r="IOS2" s="352"/>
      <c r="IOT2" s="352"/>
      <c r="IOU2" s="352"/>
      <c r="IOV2" s="352"/>
      <c r="IOW2" s="352"/>
      <c r="IOX2" s="352"/>
      <c r="IOY2" s="352"/>
      <c r="IOZ2" s="352"/>
      <c r="IPA2" s="352"/>
      <c r="IPB2" s="352"/>
      <c r="IPC2" s="352"/>
      <c r="IPD2" s="352"/>
      <c r="IPE2" s="352"/>
      <c r="IPF2" s="352"/>
      <c r="IPG2" s="352"/>
      <c r="IPH2" s="352"/>
      <c r="IPI2" s="352"/>
      <c r="IPJ2" s="352"/>
      <c r="IPK2" s="352"/>
      <c r="IPL2" s="352"/>
      <c r="IPM2" s="352"/>
      <c r="IPN2" s="352"/>
      <c r="IPO2" s="352"/>
      <c r="IPP2" s="352"/>
      <c r="IPQ2" s="352"/>
      <c r="IPR2" s="352"/>
      <c r="IPS2" s="352"/>
      <c r="IPT2" s="352"/>
      <c r="IPU2" s="352"/>
      <c r="IPV2" s="352"/>
      <c r="IPW2" s="352"/>
      <c r="IPX2" s="352"/>
      <c r="IPY2" s="352"/>
      <c r="IPZ2" s="352"/>
      <c r="IQA2" s="352"/>
      <c r="IQB2" s="352"/>
      <c r="IQC2" s="352"/>
      <c r="IQD2" s="352"/>
      <c r="IQE2" s="352"/>
      <c r="IQF2" s="352"/>
      <c r="IQG2" s="352"/>
      <c r="IQH2" s="352"/>
      <c r="IQI2" s="352"/>
      <c r="IQJ2" s="352"/>
      <c r="IQK2" s="352"/>
      <c r="IQL2" s="352"/>
      <c r="IQM2" s="352"/>
      <c r="IQN2" s="352"/>
      <c r="IQO2" s="352"/>
      <c r="IQP2" s="352"/>
      <c r="IQQ2" s="352"/>
      <c r="IQR2" s="352"/>
      <c r="IQS2" s="352"/>
      <c r="IQT2" s="352"/>
      <c r="IQU2" s="352"/>
      <c r="IQV2" s="352"/>
      <c r="IQW2" s="352"/>
      <c r="IQX2" s="352"/>
      <c r="IQY2" s="352"/>
      <c r="IQZ2" s="352"/>
      <c r="IRA2" s="352"/>
      <c r="IRB2" s="352"/>
      <c r="IRC2" s="352"/>
      <c r="IRD2" s="352"/>
      <c r="IRE2" s="352"/>
      <c r="IRF2" s="352"/>
      <c r="IRG2" s="352"/>
      <c r="IRH2" s="352"/>
      <c r="IRI2" s="352"/>
      <c r="IRJ2" s="352"/>
      <c r="IRK2" s="352"/>
      <c r="IRL2" s="352"/>
      <c r="IRM2" s="352"/>
      <c r="IRN2" s="352"/>
      <c r="IRO2" s="352"/>
      <c r="IRP2" s="352"/>
      <c r="IRQ2" s="352"/>
      <c r="IRR2" s="352"/>
      <c r="IRS2" s="352"/>
      <c r="IRT2" s="352"/>
      <c r="IRU2" s="352"/>
      <c r="IRV2" s="352"/>
      <c r="IRW2" s="352"/>
      <c r="IRX2" s="352"/>
      <c r="IRY2" s="352"/>
      <c r="IRZ2" s="352"/>
      <c r="ISA2" s="352"/>
      <c r="ISB2" s="352"/>
      <c r="ISC2" s="352"/>
      <c r="ISD2" s="352"/>
      <c r="ISE2" s="352"/>
      <c r="ISF2" s="352"/>
      <c r="ISG2" s="352"/>
      <c r="ISH2" s="352"/>
      <c r="ISI2" s="352"/>
      <c r="ISJ2" s="352"/>
      <c r="ISK2" s="352"/>
      <c r="ISL2" s="352"/>
      <c r="ISM2" s="352"/>
      <c r="ISN2" s="352"/>
      <c r="ISO2" s="352"/>
      <c r="ISP2" s="352"/>
      <c r="ISQ2" s="352"/>
      <c r="ISR2" s="352"/>
      <c r="ISS2" s="352"/>
      <c r="IST2" s="352"/>
      <c r="ISU2" s="352"/>
      <c r="ISV2" s="352"/>
      <c r="ISW2" s="352"/>
      <c r="ISX2" s="352"/>
      <c r="ISY2" s="352"/>
      <c r="ISZ2" s="352"/>
      <c r="ITA2" s="352"/>
      <c r="ITB2" s="352"/>
      <c r="ITC2" s="352"/>
      <c r="ITD2" s="352"/>
      <c r="ITE2" s="352"/>
      <c r="ITF2" s="352"/>
      <c r="ITG2" s="352"/>
      <c r="ITH2" s="352"/>
      <c r="ITI2" s="352"/>
      <c r="ITJ2" s="352"/>
      <c r="ITK2" s="352"/>
      <c r="ITL2" s="352"/>
      <c r="ITM2" s="352"/>
      <c r="ITN2" s="352"/>
      <c r="ITO2" s="352"/>
      <c r="ITP2" s="352"/>
      <c r="ITQ2" s="352"/>
      <c r="ITR2" s="352"/>
      <c r="ITS2" s="352"/>
      <c r="ITT2" s="352"/>
      <c r="ITU2" s="352"/>
      <c r="ITV2" s="352"/>
      <c r="ITW2" s="352"/>
      <c r="ITX2" s="352"/>
      <c r="ITY2" s="352"/>
      <c r="ITZ2" s="352"/>
      <c r="IUA2" s="352"/>
      <c r="IUB2" s="352"/>
      <c r="IUC2" s="352"/>
      <c r="IUD2" s="352"/>
      <c r="IUE2" s="352"/>
      <c r="IUF2" s="352"/>
      <c r="IUG2" s="352"/>
      <c r="IUH2" s="352"/>
      <c r="IUI2" s="352"/>
      <c r="IUJ2" s="352"/>
      <c r="IUK2" s="352"/>
      <c r="IUL2" s="352"/>
      <c r="IUM2" s="352"/>
      <c r="IUN2" s="352"/>
      <c r="IUO2" s="352"/>
      <c r="IUP2" s="352"/>
      <c r="IUQ2" s="352"/>
      <c r="IUR2" s="352"/>
      <c r="IUS2" s="352"/>
      <c r="IUT2" s="352"/>
      <c r="IUU2" s="352"/>
      <c r="IUV2" s="352"/>
      <c r="IUW2" s="352"/>
      <c r="IUX2" s="352"/>
      <c r="IUY2" s="352"/>
      <c r="IUZ2" s="352"/>
      <c r="IVA2" s="352"/>
      <c r="IVB2" s="352"/>
      <c r="IVC2" s="352"/>
      <c r="IVD2" s="352"/>
      <c r="IVE2" s="352"/>
      <c r="IVF2" s="352"/>
      <c r="IVG2" s="352"/>
      <c r="IVH2" s="352"/>
      <c r="IVI2" s="352"/>
      <c r="IVJ2" s="352"/>
      <c r="IVK2" s="352"/>
      <c r="IVL2" s="352"/>
      <c r="IVM2" s="352"/>
      <c r="IVN2" s="352"/>
      <c r="IVO2" s="352"/>
      <c r="IVP2" s="352"/>
      <c r="IVQ2" s="352"/>
      <c r="IVR2" s="352"/>
      <c r="IVS2" s="352"/>
      <c r="IVT2" s="352"/>
      <c r="IVU2" s="352"/>
      <c r="IVV2" s="352"/>
      <c r="IVW2" s="352"/>
      <c r="IVX2" s="352"/>
      <c r="IVY2" s="352"/>
      <c r="IVZ2" s="352"/>
      <c r="IWA2" s="352"/>
      <c r="IWB2" s="352"/>
      <c r="IWC2" s="352"/>
      <c r="IWD2" s="352"/>
      <c r="IWE2" s="352"/>
      <c r="IWF2" s="352"/>
      <c r="IWG2" s="352"/>
      <c r="IWH2" s="352"/>
      <c r="IWI2" s="352"/>
      <c r="IWJ2" s="352"/>
      <c r="IWK2" s="352"/>
      <c r="IWL2" s="352"/>
      <c r="IWM2" s="352"/>
      <c r="IWN2" s="352"/>
      <c r="IWO2" s="352"/>
      <c r="IWP2" s="352"/>
      <c r="IWQ2" s="352"/>
      <c r="IWR2" s="352"/>
      <c r="IWS2" s="352"/>
      <c r="IWT2" s="352"/>
      <c r="IWU2" s="352"/>
      <c r="IWV2" s="352"/>
      <c r="IWW2" s="352"/>
      <c r="IWX2" s="352"/>
      <c r="IWY2" s="352"/>
      <c r="IWZ2" s="352"/>
      <c r="IXA2" s="352"/>
      <c r="IXB2" s="352"/>
      <c r="IXC2" s="352"/>
      <c r="IXD2" s="352"/>
      <c r="IXE2" s="352"/>
      <c r="IXF2" s="352"/>
      <c r="IXG2" s="352"/>
      <c r="IXH2" s="352"/>
      <c r="IXI2" s="352"/>
      <c r="IXJ2" s="352"/>
      <c r="IXK2" s="352"/>
      <c r="IXL2" s="352"/>
      <c r="IXM2" s="352"/>
      <c r="IXN2" s="352"/>
      <c r="IXO2" s="352"/>
      <c r="IXP2" s="352"/>
      <c r="IXQ2" s="352"/>
      <c r="IXR2" s="352"/>
      <c r="IXS2" s="352"/>
      <c r="IXT2" s="352"/>
      <c r="IXU2" s="352"/>
      <c r="IXV2" s="352"/>
      <c r="IXW2" s="352"/>
      <c r="IXX2" s="352"/>
      <c r="IXY2" s="352"/>
      <c r="IXZ2" s="352"/>
      <c r="IYA2" s="352"/>
      <c r="IYB2" s="352"/>
      <c r="IYC2" s="352"/>
      <c r="IYD2" s="352"/>
      <c r="IYE2" s="352"/>
      <c r="IYF2" s="352"/>
      <c r="IYG2" s="352"/>
      <c r="IYH2" s="352"/>
      <c r="IYI2" s="352"/>
      <c r="IYJ2" s="352"/>
      <c r="IYK2" s="352"/>
      <c r="IYL2" s="352"/>
      <c r="IYM2" s="352"/>
      <c r="IYN2" s="352"/>
      <c r="IYO2" s="352"/>
      <c r="IYP2" s="352"/>
      <c r="IYQ2" s="352"/>
      <c r="IYR2" s="352"/>
      <c r="IYS2" s="352"/>
      <c r="IYT2" s="352"/>
      <c r="IYU2" s="352"/>
      <c r="IYV2" s="352"/>
      <c r="IYW2" s="352"/>
      <c r="IYX2" s="352"/>
      <c r="IYY2" s="352"/>
      <c r="IYZ2" s="352"/>
      <c r="IZA2" s="352"/>
      <c r="IZB2" s="352"/>
      <c r="IZC2" s="352"/>
      <c r="IZD2" s="352"/>
      <c r="IZE2" s="352"/>
      <c r="IZF2" s="352"/>
      <c r="IZG2" s="352"/>
      <c r="IZH2" s="352"/>
      <c r="IZI2" s="352"/>
      <c r="IZJ2" s="352"/>
      <c r="IZK2" s="352"/>
      <c r="IZL2" s="352"/>
      <c r="IZM2" s="352"/>
      <c r="IZN2" s="352"/>
      <c r="IZO2" s="352"/>
      <c r="IZP2" s="352"/>
      <c r="IZQ2" s="352"/>
      <c r="IZR2" s="352"/>
      <c r="IZS2" s="352"/>
      <c r="IZT2" s="352"/>
      <c r="IZU2" s="352"/>
      <c r="IZV2" s="352"/>
      <c r="IZW2" s="352"/>
      <c r="IZX2" s="352"/>
      <c r="IZY2" s="352"/>
      <c r="IZZ2" s="352"/>
      <c r="JAA2" s="352"/>
      <c r="JAB2" s="352"/>
      <c r="JAC2" s="352"/>
      <c r="JAD2" s="352"/>
      <c r="JAE2" s="352"/>
      <c r="JAF2" s="352"/>
      <c r="JAG2" s="352"/>
      <c r="JAH2" s="352"/>
      <c r="JAI2" s="352"/>
      <c r="JAJ2" s="352"/>
      <c r="JAK2" s="352"/>
      <c r="JAL2" s="352"/>
      <c r="JAM2" s="352"/>
      <c r="JAN2" s="352"/>
      <c r="JAO2" s="352"/>
      <c r="JAP2" s="352"/>
      <c r="JAQ2" s="352"/>
      <c r="JAR2" s="352"/>
      <c r="JAS2" s="352"/>
      <c r="JAT2" s="352"/>
      <c r="JAU2" s="352"/>
      <c r="JAV2" s="352"/>
      <c r="JAW2" s="352"/>
      <c r="JAX2" s="352"/>
      <c r="JAY2" s="352"/>
      <c r="JAZ2" s="352"/>
      <c r="JBA2" s="352"/>
      <c r="JBB2" s="352"/>
      <c r="JBC2" s="352"/>
      <c r="JBD2" s="352"/>
      <c r="JBE2" s="352"/>
      <c r="JBF2" s="352"/>
      <c r="JBG2" s="352"/>
      <c r="JBH2" s="352"/>
      <c r="JBI2" s="352"/>
      <c r="JBJ2" s="352"/>
      <c r="JBK2" s="352"/>
      <c r="JBL2" s="352"/>
      <c r="JBM2" s="352"/>
      <c r="JBN2" s="352"/>
      <c r="JBO2" s="352"/>
      <c r="JBP2" s="352"/>
      <c r="JBQ2" s="352"/>
      <c r="JBR2" s="352"/>
      <c r="JBS2" s="352"/>
      <c r="JBT2" s="352"/>
      <c r="JBU2" s="352"/>
      <c r="JBV2" s="352"/>
      <c r="JBW2" s="352"/>
      <c r="JBX2" s="352"/>
      <c r="JBY2" s="352"/>
      <c r="JBZ2" s="352"/>
      <c r="JCA2" s="352"/>
      <c r="JCB2" s="352"/>
      <c r="JCC2" s="352"/>
      <c r="JCD2" s="352"/>
      <c r="JCE2" s="352"/>
      <c r="JCF2" s="352"/>
      <c r="JCG2" s="352"/>
      <c r="JCH2" s="352"/>
      <c r="JCI2" s="352"/>
      <c r="JCJ2" s="352"/>
      <c r="JCK2" s="352"/>
      <c r="JCL2" s="352"/>
      <c r="JCM2" s="352"/>
      <c r="JCN2" s="352"/>
      <c r="JCO2" s="352"/>
      <c r="JCP2" s="352"/>
      <c r="JCQ2" s="352"/>
      <c r="JCR2" s="352"/>
      <c r="JCS2" s="352"/>
      <c r="JCT2" s="352"/>
      <c r="JCU2" s="352"/>
      <c r="JCV2" s="352"/>
      <c r="JCW2" s="352"/>
      <c r="JCX2" s="352"/>
      <c r="JCY2" s="352"/>
      <c r="JCZ2" s="352"/>
      <c r="JDA2" s="352"/>
      <c r="JDB2" s="352"/>
      <c r="JDC2" s="352"/>
      <c r="JDD2" s="352"/>
      <c r="JDE2" s="352"/>
      <c r="JDF2" s="352"/>
      <c r="JDG2" s="352"/>
      <c r="JDH2" s="352"/>
      <c r="JDI2" s="352"/>
      <c r="JDJ2" s="352"/>
      <c r="JDK2" s="352"/>
      <c r="JDL2" s="352"/>
      <c r="JDM2" s="352"/>
      <c r="JDN2" s="352"/>
      <c r="JDO2" s="352"/>
      <c r="JDP2" s="352"/>
      <c r="JDQ2" s="352"/>
      <c r="JDR2" s="352"/>
      <c r="JDS2" s="352"/>
      <c r="JDT2" s="352"/>
      <c r="JDU2" s="352"/>
      <c r="JDV2" s="352"/>
      <c r="JDW2" s="352"/>
      <c r="JDX2" s="352"/>
      <c r="JDY2" s="352"/>
      <c r="JDZ2" s="352"/>
      <c r="JEA2" s="352"/>
      <c r="JEB2" s="352"/>
      <c r="JEC2" s="352"/>
      <c r="JED2" s="352"/>
      <c r="JEE2" s="352"/>
      <c r="JEF2" s="352"/>
      <c r="JEG2" s="352"/>
      <c r="JEH2" s="352"/>
      <c r="JEI2" s="352"/>
      <c r="JEJ2" s="352"/>
      <c r="JEK2" s="352"/>
      <c r="JEL2" s="352"/>
      <c r="JEM2" s="352"/>
      <c r="JEN2" s="352"/>
      <c r="JEO2" s="352"/>
      <c r="JEP2" s="352"/>
      <c r="JEQ2" s="352"/>
      <c r="JER2" s="352"/>
      <c r="JES2" s="352"/>
      <c r="JET2" s="352"/>
      <c r="JEU2" s="352"/>
      <c r="JEV2" s="352"/>
      <c r="JEW2" s="352"/>
      <c r="JEX2" s="352"/>
      <c r="JEY2" s="352"/>
      <c r="JEZ2" s="352"/>
      <c r="JFA2" s="352"/>
      <c r="JFB2" s="352"/>
      <c r="JFC2" s="352"/>
      <c r="JFD2" s="352"/>
      <c r="JFE2" s="352"/>
      <c r="JFF2" s="352"/>
      <c r="JFG2" s="352"/>
      <c r="JFH2" s="352"/>
      <c r="JFI2" s="352"/>
      <c r="JFJ2" s="352"/>
      <c r="JFK2" s="352"/>
      <c r="JFL2" s="352"/>
      <c r="JFM2" s="352"/>
      <c r="JFN2" s="352"/>
      <c r="JFO2" s="352"/>
      <c r="JFP2" s="352"/>
      <c r="JFQ2" s="352"/>
      <c r="JFR2" s="352"/>
      <c r="JFS2" s="352"/>
      <c r="JFT2" s="352"/>
      <c r="JFU2" s="352"/>
      <c r="JFV2" s="352"/>
      <c r="JFW2" s="352"/>
      <c r="JFX2" s="352"/>
      <c r="JFY2" s="352"/>
      <c r="JFZ2" s="352"/>
      <c r="JGA2" s="352"/>
      <c r="JGB2" s="352"/>
      <c r="JGC2" s="352"/>
      <c r="JGD2" s="352"/>
      <c r="JGE2" s="352"/>
      <c r="JGF2" s="352"/>
      <c r="JGG2" s="352"/>
      <c r="JGH2" s="352"/>
      <c r="JGI2" s="352"/>
      <c r="JGJ2" s="352"/>
      <c r="JGK2" s="352"/>
      <c r="JGL2" s="352"/>
      <c r="JGM2" s="352"/>
      <c r="JGN2" s="352"/>
      <c r="JGO2" s="352"/>
      <c r="JGP2" s="352"/>
      <c r="JGQ2" s="352"/>
      <c r="JGR2" s="352"/>
      <c r="JGS2" s="352"/>
      <c r="JGT2" s="352"/>
      <c r="JGU2" s="352"/>
      <c r="JGV2" s="352"/>
      <c r="JGW2" s="352"/>
      <c r="JGX2" s="352"/>
      <c r="JGY2" s="352"/>
      <c r="JGZ2" s="352"/>
      <c r="JHA2" s="352"/>
      <c r="JHB2" s="352"/>
      <c r="JHC2" s="352"/>
      <c r="JHD2" s="352"/>
      <c r="JHE2" s="352"/>
      <c r="JHF2" s="352"/>
      <c r="JHG2" s="352"/>
      <c r="JHH2" s="352"/>
      <c r="JHI2" s="352"/>
      <c r="JHJ2" s="352"/>
      <c r="JHK2" s="352"/>
      <c r="JHL2" s="352"/>
      <c r="JHM2" s="352"/>
      <c r="JHN2" s="352"/>
      <c r="JHO2" s="352"/>
      <c r="JHP2" s="352"/>
      <c r="JHQ2" s="352"/>
      <c r="JHR2" s="352"/>
      <c r="JHS2" s="352"/>
      <c r="JHT2" s="352"/>
      <c r="JHU2" s="352"/>
      <c r="JHV2" s="352"/>
      <c r="JHW2" s="352"/>
      <c r="JHX2" s="352"/>
      <c r="JHY2" s="352"/>
      <c r="JHZ2" s="352"/>
      <c r="JIA2" s="352"/>
      <c r="JIB2" s="352"/>
      <c r="JIC2" s="352"/>
      <c r="JID2" s="352"/>
      <c r="JIE2" s="352"/>
      <c r="JIF2" s="352"/>
      <c r="JIG2" s="352"/>
      <c r="JIH2" s="352"/>
      <c r="JII2" s="352"/>
      <c r="JIJ2" s="352"/>
      <c r="JIK2" s="352"/>
      <c r="JIL2" s="352"/>
      <c r="JIM2" s="352"/>
      <c r="JIN2" s="352"/>
      <c r="JIO2" s="352"/>
      <c r="JIP2" s="352"/>
      <c r="JIQ2" s="352"/>
      <c r="JIR2" s="352"/>
      <c r="JIS2" s="352"/>
      <c r="JIT2" s="352"/>
      <c r="JIU2" s="352"/>
      <c r="JIV2" s="352"/>
      <c r="JIW2" s="352"/>
      <c r="JIX2" s="352"/>
      <c r="JIY2" s="352"/>
      <c r="JIZ2" s="352"/>
      <c r="JJA2" s="352"/>
      <c r="JJB2" s="352"/>
      <c r="JJC2" s="352"/>
      <c r="JJD2" s="352"/>
      <c r="JJE2" s="352"/>
      <c r="JJF2" s="352"/>
      <c r="JJG2" s="352"/>
      <c r="JJH2" s="352"/>
      <c r="JJI2" s="352"/>
      <c r="JJJ2" s="352"/>
      <c r="JJK2" s="352"/>
      <c r="JJL2" s="352"/>
      <c r="JJM2" s="352"/>
      <c r="JJN2" s="352"/>
      <c r="JJO2" s="352"/>
      <c r="JJP2" s="352"/>
      <c r="JJQ2" s="352"/>
      <c r="JJR2" s="352"/>
      <c r="JJS2" s="352"/>
      <c r="JJT2" s="352"/>
      <c r="JJU2" s="352"/>
      <c r="JJV2" s="352"/>
      <c r="JJW2" s="352"/>
      <c r="JJX2" s="352"/>
      <c r="JJY2" s="352"/>
      <c r="JJZ2" s="352"/>
      <c r="JKA2" s="352"/>
      <c r="JKB2" s="352"/>
      <c r="JKC2" s="352"/>
      <c r="JKD2" s="352"/>
      <c r="JKE2" s="352"/>
      <c r="JKF2" s="352"/>
      <c r="JKG2" s="352"/>
      <c r="JKH2" s="352"/>
      <c r="JKI2" s="352"/>
      <c r="JKJ2" s="352"/>
      <c r="JKK2" s="352"/>
      <c r="JKL2" s="352"/>
      <c r="JKM2" s="352"/>
      <c r="JKN2" s="352"/>
      <c r="JKO2" s="352"/>
      <c r="JKP2" s="352"/>
      <c r="JKQ2" s="352"/>
      <c r="JKR2" s="352"/>
      <c r="JKS2" s="352"/>
      <c r="JKT2" s="352"/>
      <c r="JKU2" s="352"/>
      <c r="JKV2" s="352"/>
      <c r="JKW2" s="352"/>
      <c r="JKX2" s="352"/>
      <c r="JKY2" s="352"/>
      <c r="JKZ2" s="352"/>
      <c r="JLA2" s="352"/>
      <c r="JLB2" s="352"/>
      <c r="JLC2" s="352"/>
      <c r="JLD2" s="352"/>
      <c r="JLE2" s="352"/>
      <c r="JLF2" s="352"/>
      <c r="JLG2" s="352"/>
      <c r="JLH2" s="352"/>
      <c r="JLI2" s="352"/>
      <c r="JLJ2" s="352"/>
      <c r="JLK2" s="352"/>
      <c r="JLL2" s="352"/>
      <c r="JLM2" s="352"/>
      <c r="JLN2" s="352"/>
      <c r="JLO2" s="352"/>
      <c r="JLP2" s="352"/>
      <c r="JLQ2" s="352"/>
      <c r="JLR2" s="352"/>
      <c r="JLS2" s="352"/>
      <c r="JLT2" s="352"/>
      <c r="JLU2" s="352"/>
      <c r="JLV2" s="352"/>
      <c r="JLW2" s="352"/>
      <c r="JLX2" s="352"/>
      <c r="JLY2" s="352"/>
      <c r="JLZ2" s="352"/>
      <c r="JMA2" s="352"/>
      <c r="JMB2" s="352"/>
      <c r="JMC2" s="352"/>
      <c r="JMD2" s="352"/>
      <c r="JME2" s="352"/>
      <c r="JMF2" s="352"/>
      <c r="JMG2" s="352"/>
      <c r="JMH2" s="352"/>
      <c r="JMI2" s="352"/>
      <c r="JMJ2" s="352"/>
      <c r="JMK2" s="352"/>
      <c r="JML2" s="352"/>
      <c r="JMM2" s="352"/>
      <c r="JMN2" s="352"/>
      <c r="JMO2" s="352"/>
      <c r="JMP2" s="352"/>
      <c r="JMQ2" s="352"/>
      <c r="JMR2" s="352"/>
      <c r="JMS2" s="352"/>
      <c r="JMT2" s="352"/>
      <c r="JMU2" s="352"/>
      <c r="JMV2" s="352"/>
      <c r="JMW2" s="352"/>
      <c r="JMX2" s="352"/>
      <c r="JMY2" s="352"/>
      <c r="JMZ2" s="352"/>
      <c r="JNA2" s="352"/>
      <c r="JNB2" s="352"/>
      <c r="JNC2" s="352"/>
      <c r="JND2" s="352"/>
      <c r="JNE2" s="352"/>
      <c r="JNF2" s="352"/>
      <c r="JNG2" s="352"/>
      <c r="JNH2" s="352"/>
      <c r="JNI2" s="352"/>
      <c r="JNJ2" s="352"/>
      <c r="JNK2" s="352"/>
      <c r="JNL2" s="352"/>
      <c r="JNM2" s="352"/>
      <c r="JNN2" s="352"/>
      <c r="JNO2" s="352"/>
      <c r="JNP2" s="352"/>
      <c r="JNQ2" s="352"/>
      <c r="JNR2" s="352"/>
      <c r="JNS2" s="352"/>
      <c r="JNT2" s="352"/>
      <c r="JNU2" s="352"/>
      <c r="JNV2" s="352"/>
      <c r="JNW2" s="352"/>
      <c r="JNX2" s="352"/>
      <c r="JNY2" s="352"/>
      <c r="JNZ2" s="352"/>
      <c r="JOA2" s="352"/>
      <c r="JOB2" s="352"/>
      <c r="JOC2" s="352"/>
      <c r="JOD2" s="352"/>
      <c r="JOE2" s="352"/>
      <c r="JOF2" s="352"/>
      <c r="JOG2" s="352"/>
      <c r="JOH2" s="352"/>
      <c r="JOI2" s="352"/>
      <c r="JOJ2" s="352"/>
      <c r="JOK2" s="352"/>
      <c r="JOL2" s="352"/>
      <c r="JOM2" s="352"/>
      <c r="JON2" s="352"/>
      <c r="JOO2" s="352"/>
      <c r="JOP2" s="352"/>
      <c r="JOQ2" s="352"/>
      <c r="JOR2" s="352"/>
      <c r="JOS2" s="352"/>
      <c r="JOT2" s="352"/>
      <c r="JOU2" s="352"/>
      <c r="JOV2" s="352"/>
      <c r="JOW2" s="352"/>
      <c r="JOX2" s="352"/>
      <c r="JOY2" s="352"/>
      <c r="JOZ2" s="352"/>
      <c r="JPA2" s="352"/>
      <c r="JPB2" s="352"/>
      <c r="JPC2" s="352"/>
      <c r="JPD2" s="352"/>
      <c r="JPE2" s="352"/>
      <c r="JPF2" s="352"/>
      <c r="JPG2" s="352"/>
      <c r="JPH2" s="352"/>
      <c r="JPI2" s="352"/>
      <c r="JPJ2" s="352"/>
      <c r="JPK2" s="352"/>
      <c r="JPL2" s="352"/>
      <c r="JPM2" s="352"/>
      <c r="JPN2" s="352"/>
      <c r="JPO2" s="352"/>
      <c r="JPP2" s="352"/>
      <c r="JPQ2" s="352"/>
      <c r="JPR2" s="352"/>
      <c r="JPS2" s="352"/>
      <c r="JPT2" s="352"/>
      <c r="JPU2" s="352"/>
      <c r="JPV2" s="352"/>
      <c r="JPW2" s="352"/>
      <c r="JPX2" s="352"/>
      <c r="JPY2" s="352"/>
      <c r="JPZ2" s="352"/>
      <c r="JQA2" s="352"/>
      <c r="JQB2" s="352"/>
      <c r="JQC2" s="352"/>
      <c r="JQD2" s="352"/>
      <c r="JQE2" s="352"/>
      <c r="JQF2" s="352"/>
      <c r="JQG2" s="352"/>
      <c r="JQH2" s="352"/>
      <c r="JQI2" s="352"/>
      <c r="JQJ2" s="352"/>
      <c r="JQK2" s="352"/>
      <c r="JQL2" s="352"/>
      <c r="JQM2" s="352"/>
      <c r="JQN2" s="352"/>
      <c r="JQO2" s="352"/>
      <c r="JQP2" s="352"/>
      <c r="JQQ2" s="352"/>
      <c r="JQR2" s="352"/>
      <c r="JQS2" s="352"/>
      <c r="JQT2" s="352"/>
      <c r="JQU2" s="352"/>
      <c r="JQV2" s="352"/>
      <c r="JQW2" s="352"/>
      <c r="JQX2" s="352"/>
      <c r="JQY2" s="352"/>
      <c r="JQZ2" s="352"/>
      <c r="JRA2" s="352"/>
      <c r="JRB2" s="352"/>
      <c r="JRC2" s="352"/>
      <c r="JRD2" s="352"/>
      <c r="JRE2" s="352"/>
      <c r="JRF2" s="352"/>
      <c r="JRG2" s="352"/>
      <c r="JRH2" s="352"/>
      <c r="JRI2" s="352"/>
      <c r="JRJ2" s="352"/>
      <c r="JRK2" s="352"/>
      <c r="JRL2" s="352"/>
      <c r="JRM2" s="352"/>
      <c r="JRN2" s="352"/>
      <c r="JRO2" s="352"/>
      <c r="JRP2" s="352"/>
      <c r="JRQ2" s="352"/>
      <c r="JRR2" s="352"/>
      <c r="JRS2" s="352"/>
      <c r="JRT2" s="352"/>
      <c r="JRU2" s="352"/>
      <c r="JRV2" s="352"/>
      <c r="JRW2" s="352"/>
      <c r="JRX2" s="352"/>
      <c r="JRY2" s="352"/>
      <c r="JRZ2" s="352"/>
      <c r="JSA2" s="352"/>
      <c r="JSB2" s="352"/>
      <c r="JSC2" s="352"/>
      <c r="JSD2" s="352"/>
      <c r="JSE2" s="352"/>
      <c r="JSF2" s="352"/>
      <c r="JSG2" s="352"/>
      <c r="JSH2" s="352"/>
      <c r="JSI2" s="352"/>
      <c r="JSJ2" s="352"/>
      <c r="JSK2" s="352"/>
      <c r="JSL2" s="352"/>
      <c r="JSM2" s="352"/>
      <c r="JSN2" s="352"/>
      <c r="JSO2" s="352"/>
      <c r="JSP2" s="352"/>
      <c r="JSQ2" s="352"/>
      <c r="JSR2" s="352"/>
      <c r="JSS2" s="352"/>
      <c r="JST2" s="352"/>
      <c r="JSU2" s="352"/>
      <c r="JSV2" s="352"/>
      <c r="JSW2" s="352"/>
      <c r="JSX2" s="352"/>
      <c r="JSY2" s="352"/>
      <c r="JSZ2" s="352"/>
      <c r="JTA2" s="352"/>
      <c r="JTB2" s="352"/>
      <c r="JTC2" s="352"/>
      <c r="JTD2" s="352"/>
      <c r="JTE2" s="352"/>
      <c r="JTF2" s="352"/>
      <c r="JTG2" s="352"/>
      <c r="JTH2" s="352"/>
      <c r="JTI2" s="352"/>
      <c r="JTJ2" s="352"/>
      <c r="JTK2" s="352"/>
      <c r="JTL2" s="352"/>
      <c r="JTM2" s="352"/>
      <c r="JTN2" s="352"/>
      <c r="JTO2" s="352"/>
      <c r="JTP2" s="352"/>
      <c r="JTQ2" s="352"/>
      <c r="JTR2" s="352"/>
      <c r="JTS2" s="352"/>
      <c r="JTT2" s="352"/>
      <c r="JTU2" s="352"/>
      <c r="JTV2" s="352"/>
      <c r="JTW2" s="352"/>
      <c r="JTX2" s="352"/>
      <c r="JTY2" s="352"/>
      <c r="JTZ2" s="352"/>
      <c r="JUA2" s="352"/>
      <c r="JUB2" s="352"/>
      <c r="JUC2" s="352"/>
      <c r="JUD2" s="352"/>
      <c r="JUE2" s="352"/>
      <c r="JUF2" s="352"/>
      <c r="JUG2" s="352"/>
      <c r="JUH2" s="352"/>
      <c r="JUI2" s="352"/>
      <c r="JUJ2" s="352"/>
      <c r="JUK2" s="352"/>
      <c r="JUL2" s="352"/>
      <c r="JUM2" s="352"/>
      <c r="JUN2" s="352"/>
      <c r="JUO2" s="352"/>
      <c r="JUP2" s="352"/>
      <c r="JUQ2" s="352"/>
      <c r="JUR2" s="352"/>
      <c r="JUS2" s="352"/>
      <c r="JUT2" s="352"/>
      <c r="JUU2" s="352"/>
      <c r="JUV2" s="352"/>
      <c r="JUW2" s="352"/>
      <c r="JUX2" s="352"/>
      <c r="JUY2" s="352"/>
      <c r="JUZ2" s="352"/>
      <c r="JVA2" s="352"/>
      <c r="JVB2" s="352"/>
      <c r="JVC2" s="352"/>
      <c r="JVD2" s="352"/>
      <c r="JVE2" s="352"/>
      <c r="JVF2" s="352"/>
      <c r="JVG2" s="352"/>
      <c r="JVH2" s="352"/>
      <c r="JVI2" s="352"/>
      <c r="JVJ2" s="352"/>
      <c r="JVK2" s="352"/>
      <c r="JVL2" s="352"/>
      <c r="JVM2" s="352"/>
      <c r="JVN2" s="352"/>
      <c r="JVO2" s="352"/>
      <c r="JVP2" s="352"/>
      <c r="JVQ2" s="352"/>
      <c r="JVR2" s="352"/>
      <c r="JVS2" s="352"/>
      <c r="JVT2" s="352"/>
      <c r="JVU2" s="352"/>
      <c r="JVV2" s="352"/>
      <c r="JVW2" s="352"/>
      <c r="JVX2" s="352"/>
      <c r="JVY2" s="352"/>
      <c r="JVZ2" s="352"/>
      <c r="JWA2" s="352"/>
      <c r="JWB2" s="352"/>
      <c r="JWC2" s="352"/>
      <c r="JWD2" s="352"/>
      <c r="JWE2" s="352"/>
      <c r="JWF2" s="352"/>
      <c r="JWG2" s="352"/>
      <c r="JWH2" s="352"/>
      <c r="JWI2" s="352"/>
      <c r="JWJ2" s="352"/>
      <c r="JWK2" s="352"/>
      <c r="JWL2" s="352"/>
      <c r="JWM2" s="352"/>
      <c r="JWN2" s="352"/>
      <c r="JWO2" s="352"/>
      <c r="JWP2" s="352"/>
      <c r="JWQ2" s="352"/>
      <c r="JWR2" s="352"/>
      <c r="JWS2" s="352"/>
      <c r="JWT2" s="352"/>
      <c r="JWU2" s="352"/>
      <c r="JWV2" s="352"/>
      <c r="JWW2" s="352"/>
      <c r="JWX2" s="352"/>
      <c r="JWY2" s="352"/>
      <c r="JWZ2" s="352"/>
      <c r="JXA2" s="352"/>
      <c r="JXB2" s="352"/>
      <c r="JXC2" s="352"/>
      <c r="JXD2" s="352"/>
      <c r="JXE2" s="352"/>
      <c r="JXF2" s="352"/>
      <c r="JXG2" s="352"/>
      <c r="JXH2" s="352"/>
      <c r="JXI2" s="352"/>
      <c r="JXJ2" s="352"/>
      <c r="JXK2" s="352"/>
      <c r="JXL2" s="352"/>
      <c r="JXM2" s="352"/>
      <c r="JXN2" s="352"/>
      <c r="JXO2" s="352"/>
      <c r="JXP2" s="352"/>
      <c r="JXQ2" s="352"/>
      <c r="JXR2" s="352"/>
      <c r="JXS2" s="352"/>
      <c r="JXT2" s="352"/>
      <c r="JXU2" s="352"/>
      <c r="JXV2" s="352"/>
      <c r="JXW2" s="352"/>
      <c r="JXX2" s="352"/>
      <c r="JXY2" s="352"/>
      <c r="JXZ2" s="352"/>
      <c r="JYA2" s="352"/>
      <c r="JYB2" s="352"/>
      <c r="JYC2" s="352"/>
      <c r="JYD2" s="352"/>
      <c r="JYE2" s="352"/>
      <c r="JYF2" s="352"/>
      <c r="JYG2" s="352"/>
      <c r="JYH2" s="352"/>
      <c r="JYI2" s="352"/>
      <c r="JYJ2" s="352"/>
      <c r="JYK2" s="352"/>
      <c r="JYL2" s="352"/>
      <c r="JYM2" s="352"/>
      <c r="JYN2" s="352"/>
      <c r="JYO2" s="352"/>
      <c r="JYP2" s="352"/>
      <c r="JYQ2" s="352"/>
      <c r="JYR2" s="352"/>
      <c r="JYS2" s="352"/>
      <c r="JYT2" s="352"/>
      <c r="JYU2" s="352"/>
      <c r="JYV2" s="352"/>
      <c r="JYW2" s="352"/>
      <c r="JYX2" s="352"/>
      <c r="JYY2" s="352"/>
      <c r="JYZ2" s="352"/>
      <c r="JZA2" s="352"/>
      <c r="JZB2" s="352"/>
      <c r="JZC2" s="352"/>
      <c r="JZD2" s="352"/>
      <c r="JZE2" s="352"/>
      <c r="JZF2" s="352"/>
      <c r="JZG2" s="352"/>
      <c r="JZH2" s="352"/>
      <c r="JZI2" s="352"/>
      <c r="JZJ2" s="352"/>
      <c r="JZK2" s="352"/>
      <c r="JZL2" s="352"/>
      <c r="JZM2" s="352"/>
      <c r="JZN2" s="352"/>
      <c r="JZO2" s="352"/>
      <c r="JZP2" s="352"/>
      <c r="JZQ2" s="352"/>
      <c r="JZR2" s="352"/>
      <c r="JZS2" s="352"/>
      <c r="JZT2" s="352"/>
      <c r="JZU2" s="352"/>
      <c r="JZV2" s="352"/>
      <c r="JZW2" s="352"/>
      <c r="JZX2" s="352"/>
      <c r="JZY2" s="352"/>
      <c r="JZZ2" s="352"/>
      <c r="KAA2" s="352"/>
      <c r="KAB2" s="352"/>
      <c r="KAC2" s="352"/>
      <c r="KAD2" s="352"/>
      <c r="KAE2" s="352"/>
      <c r="KAF2" s="352"/>
      <c r="KAG2" s="352"/>
      <c r="KAH2" s="352"/>
      <c r="KAI2" s="352"/>
      <c r="KAJ2" s="352"/>
      <c r="KAK2" s="352"/>
      <c r="KAL2" s="352"/>
      <c r="KAM2" s="352"/>
      <c r="KAN2" s="352"/>
      <c r="KAO2" s="352"/>
      <c r="KAP2" s="352"/>
      <c r="KAQ2" s="352"/>
      <c r="KAR2" s="352"/>
      <c r="KAS2" s="352"/>
      <c r="KAT2" s="352"/>
      <c r="KAU2" s="352"/>
      <c r="KAV2" s="352"/>
      <c r="KAW2" s="352"/>
      <c r="KAX2" s="352"/>
      <c r="KAY2" s="352"/>
      <c r="KAZ2" s="352"/>
      <c r="KBA2" s="352"/>
      <c r="KBB2" s="352"/>
      <c r="KBC2" s="352"/>
      <c r="KBD2" s="352"/>
      <c r="KBE2" s="352"/>
      <c r="KBF2" s="352"/>
      <c r="KBG2" s="352"/>
      <c r="KBH2" s="352"/>
      <c r="KBI2" s="352"/>
      <c r="KBJ2" s="352"/>
      <c r="KBK2" s="352"/>
      <c r="KBL2" s="352"/>
      <c r="KBM2" s="352"/>
      <c r="KBN2" s="352"/>
      <c r="KBO2" s="352"/>
      <c r="KBP2" s="352"/>
      <c r="KBQ2" s="352"/>
      <c r="KBR2" s="352"/>
      <c r="KBS2" s="352"/>
      <c r="KBT2" s="352"/>
      <c r="KBU2" s="352"/>
      <c r="KBV2" s="352"/>
      <c r="KBW2" s="352"/>
      <c r="KBX2" s="352"/>
      <c r="KBY2" s="352"/>
      <c r="KBZ2" s="352"/>
      <c r="KCA2" s="352"/>
      <c r="KCB2" s="352"/>
      <c r="KCC2" s="352"/>
      <c r="KCD2" s="352"/>
      <c r="KCE2" s="352"/>
      <c r="KCF2" s="352"/>
      <c r="KCG2" s="352"/>
      <c r="KCH2" s="352"/>
      <c r="KCI2" s="352"/>
      <c r="KCJ2" s="352"/>
      <c r="KCK2" s="352"/>
      <c r="KCL2" s="352"/>
      <c r="KCM2" s="352"/>
      <c r="KCN2" s="352"/>
      <c r="KCO2" s="352"/>
      <c r="KCP2" s="352"/>
      <c r="KCQ2" s="352"/>
      <c r="KCR2" s="352"/>
      <c r="KCS2" s="352"/>
      <c r="KCT2" s="352"/>
      <c r="KCU2" s="352"/>
      <c r="KCV2" s="352"/>
      <c r="KCW2" s="352"/>
      <c r="KCX2" s="352"/>
      <c r="KCY2" s="352"/>
      <c r="KCZ2" s="352"/>
      <c r="KDA2" s="352"/>
      <c r="KDB2" s="352"/>
      <c r="KDC2" s="352"/>
      <c r="KDD2" s="352"/>
      <c r="KDE2" s="352"/>
      <c r="KDF2" s="352"/>
      <c r="KDG2" s="352"/>
      <c r="KDH2" s="352"/>
      <c r="KDI2" s="352"/>
      <c r="KDJ2" s="352"/>
      <c r="KDK2" s="352"/>
      <c r="KDL2" s="352"/>
      <c r="KDM2" s="352"/>
      <c r="KDN2" s="352"/>
      <c r="KDO2" s="352"/>
      <c r="KDP2" s="352"/>
      <c r="KDQ2" s="352"/>
      <c r="KDR2" s="352"/>
      <c r="KDS2" s="352"/>
      <c r="KDT2" s="352"/>
      <c r="KDU2" s="352"/>
      <c r="KDV2" s="352"/>
      <c r="KDW2" s="352"/>
      <c r="KDX2" s="352"/>
      <c r="KDY2" s="352"/>
      <c r="KDZ2" s="352"/>
      <c r="KEA2" s="352"/>
      <c r="KEB2" s="352"/>
      <c r="KEC2" s="352"/>
      <c r="KED2" s="352"/>
      <c r="KEE2" s="352"/>
      <c r="KEF2" s="352"/>
      <c r="KEG2" s="352"/>
      <c r="KEH2" s="352"/>
      <c r="KEI2" s="352"/>
      <c r="KEJ2" s="352"/>
      <c r="KEK2" s="352"/>
      <c r="KEL2" s="352"/>
      <c r="KEM2" s="352"/>
      <c r="KEN2" s="352"/>
      <c r="KEO2" s="352"/>
      <c r="KEP2" s="352"/>
      <c r="KEQ2" s="352"/>
      <c r="KER2" s="352"/>
      <c r="KES2" s="352"/>
      <c r="KET2" s="352"/>
      <c r="KEU2" s="352"/>
      <c r="KEV2" s="352"/>
      <c r="KEW2" s="352"/>
      <c r="KEX2" s="352"/>
      <c r="KEY2" s="352"/>
      <c r="KEZ2" s="352"/>
      <c r="KFA2" s="352"/>
      <c r="KFB2" s="352"/>
      <c r="KFC2" s="352"/>
      <c r="KFD2" s="352"/>
      <c r="KFE2" s="352"/>
      <c r="KFF2" s="352"/>
      <c r="KFG2" s="352"/>
      <c r="KFH2" s="352"/>
      <c r="KFI2" s="352"/>
      <c r="KFJ2" s="352"/>
      <c r="KFK2" s="352"/>
      <c r="KFL2" s="352"/>
      <c r="KFM2" s="352"/>
      <c r="KFN2" s="352"/>
      <c r="KFO2" s="352"/>
      <c r="KFP2" s="352"/>
      <c r="KFQ2" s="352"/>
      <c r="KFR2" s="352"/>
      <c r="KFS2" s="352"/>
      <c r="KFT2" s="352"/>
      <c r="KFU2" s="352"/>
      <c r="KFV2" s="352"/>
      <c r="KFW2" s="352"/>
      <c r="KFX2" s="352"/>
      <c r="KFY2" s="352"/>
      <c r="KFZ2" s="352"/>
      <c r="KGA2" s="352"/>
      <c r="KGB2" s="352"/>
      <c r="KGC2" s="352"/>
      <c r="KGD2" s="352"/>
      <c r="KGE2" s="352"/>
      <c r="KGF2" s="352"/>
      <c r="KGG2" s="352"/>
      <c r="KGH2" s="352"/>
      <c r="KGI2" s="352"/>
      <c r="KGJ2" s="352"/>
      <c r="KGK2" s="352"/>
      <c r="KGL2" s="352"/>
      <c r="KGM2" s="352"/>
      <c r="KGN2" s="352"/>
      <c r="KGO2" s="352"/>
      <c r="KGP2" s="352"/>
      <c r="KGQ2" s="352"/>
      <c r="KGR2" s="352"/>
      <c r="KGS2" s="352"/>
      <c r="KGT2" s="352"/>
      <c r="KGU2" s="352"/>
      <c r="KGV2" s="352"/>
      <c r="KGW2" s="352"/>
      <c r="KGX2" s="352"/>
      <c r="KGY2" s="352"/>
      <c r="KGZ2" s="352"/>
      <c r="KHA2" s="352"/>
      <c r="KHB2" s="352"/>
      <c r="KHC2" s="352"/>
      <c r="KHD2" s="352"/>
      <c r="KHE2" s="352"/>
      <c r="KHF2" s="352"/>
      <c r="KHG2" s="352"/>
      <c r="KHH2" s="352"/>
      <c r="KHI2" s="352"/>
      <c r="KHJ2" s="352"/>
      <c r="KHK2" s="352"/>
      <c r="KHL2" s="352"/>
      <c r="KHM2" s="352"/>
      <c r="KHN2" s="352"/>
      <c r="KHO2" s="352"/>
      <c r="KHP2" s="352"/>
      <c r="KHQ2" s="352"/>
      <c r="KHR2" s="352"/>
      <c r="KHS2" s="352"/>
      <c r="KHT2" s="352"/>
      <c r="KHU2" s="352"/>
      <c r="KHV2" s="352"/>
      <c r="KHW2" s="352"/>
      <c r="KHX2" s="352"/>
      <c r="KHY2" s="352"/>
      <c r="KHZ2" s="352"/>
      <c r="KIA2" s="352"/>
      <c r="KIB2" s="352"/>
      <c r="KIC2" s="352"/>
      <c r="KID2" s="352"/>
      <c r="KIE2" s="352"/>
      <c r="KIF2" s="352"/>
      <c r="KIG2" s="352"/>
      <c r="KIH2" s="352"/>
      <c r="KII2" s="352"/>
      <c r="KIJ2" s="352"/>
      <c r="KIK2" s="352"/>
      <c r="KIL2" s="352"/>
      <c r="KIM2" s="352"/>
      <c r="KIN2" s="352"/>
      <c r="KIO2" s="352"/>
      <c r="KIP2" s="352"/>
      <c r="KIQ2" s="352"/>
      <c r="KIR2" s="352"/>
      <c r="KIS2" s="352"/>
      <c r="KIT2" s="352"/>
      <c r="KIU2" s="352"/>
      <c r="KIV2" s="352"/>
      <c r="KIW2" s="352"/>
      <c r="KIX2" s="352"/>
      <c r="KIY2" s="352"/>
      <c r="KIZ2" s="352"/>
      <c r="KJA2" s="352"/>
      <c r="KJB2" s="352"/>
      <c r="KJC2" s="352"/>
      <c r="KJD2" s="352"/>
      <c r="KJE2" s="352"/>
      <c r="KJF2" s="352"/>
      <c r="KJG2" s="352"/>
      <c r="KJH2" s="352"/>
      <c r="KJI2" s="352"/>
      <c r="KJJ2" s="352"/>
      <c r="KJK2" s="352"/>
      <c r="KJL2" s="352"/>
      <c r="KJM2" s="352"/>
      <c r="KJN2" s="352"/>
      <c r="KJO2" s="352"/>
      <c r="KJP2" s="352"/>
      <c r="KJQ2" s="352"/>
      <c r="KJR2" s="352"/>
      <c r="KJS2" s="352"/>
      <c r="KJT2" s="352"/>
      <c r="KJU2" s="352"/>
      <c r="KJV2" s="352"/>
      <c r="KJW2" s="352"/>
      <c r="KJX2" s="352"/>
      <c r="KJY2" s="352"/>
      <c r="KJZ2" s="352"/>
      <c r="KKA2" s="352"/>
      <c r="KKB2" s="352"/>
      <c r="KKC2" s="352"/>
      <c r="KKD2" s="352"/>
      <c r="KKE2" s="352"/>
      <c r="KKF2" s="352"/>
      <c r="KKG2" s="352"/>
      <c r="KKH2" s="352"/>
      <c r="KKI2" s="352"/>
      <c r="KKJ2" s="352"/>
      <c r="KKK2" s="352"/>
      <c r="KKL2" s="352"/>
      <c r="KKM2" s="352"/>
      <c r="KKN2" s="352"/>
      <c r="KKO2" s="352"/>
      <c r="KKP2" s="352"/>
      <c r="KKQ2" s="352"/>
      <c r="KKR2" s="352"/>
      <c r="KKS2" s="352"/>
      <c r="KKT2" s="352"/>
      <c r="KKU2" s="352"/>
      <c r="KKV2" s="352"/>
      <c r="KKW2" s="352"/>
      <c r="KKX2" s="352"/>
      <c r="KKY2" s="352"/>
      <c r="KKZ2" s="352"/>
      <c r="KLA2" s="352"/>
      <c r="KLB2" s="352"/>
      <c r="KLC2" s="352"/>
      <c r="KLD2" s="352"/>
      <c r="KLE2" s="352"/>
      <c r="KLF2" s="352"/>
      <c r="KLG2" s="352"/>
      <c r="KLH2" s="352"/>
      <c r="KLI2" s="352"/>
      <c r="KLJ2" s="352"/>
      <c r="KLK2" s="352"/>
      <c r="KLL2" s="352"/>
      <c r="KLM2" s="352"/>
      <c r="KLN2" s="352"/>
      <c r="KLO2" s="352"/>
      <c r="KLP2" s="352"/>
      <c r="KLQ2" s="352"/>
      <c r="KLR2" s="352"/>
      <c r="KLS2" s="352"/>
      <c r="KLT2" s="352"/>
      <c r="KLU2" s="352"/>
      <c r="KLV2" s="352"/>
      <c r="KLW2" s="352"/>
      <c r="KLX2" s="352"/>
      <c r="KLY2" s="352"/>
      <c r="KLZ2" s="352"/>
      <c r="KMA2" s="352"/>
      <c r="KMB2" s="352"/>
      <c r="KMC2" s="352"/>
      <c r="KMD2" s="352"/>
      <c r="KME2" s="352"/>
      <c r="KMF2" s="352"/>
      <c r="KMG2" s="352"/>
      <c r="KMH2" s="352"/>
      <c r="KMI2" s="352"/>
      <c r="KMJ2" s="352"/>
      <c r="KMK2" s="352"/>
      <c r="KML2" s="352"/>
      <c r="KMM2" s="352"/>
      <c r="KMN2" s="352"/>
      <c r="KMO2" s="352"/>
      <c r="KMP2" s="352"/>
      <c r="KMQ2" s="352"/>
      <c r="KMR2" s="352"/>
      <c r="KMS2" s="352"/>
      <c r="KMT2" s="352"/>
      <c r="KMU2" s="352"/>
      <c r="KMV2" s="352"/>
      <c r="KMW2" s="352"/>
      <c r="KMX2" s="352"/>
      <c r="KMY2" s="352"/>
      <c r="KMZ2" s="352"/>
      <c r="KNA2" s="352"/>
      <c r="KNB2" s="352"/>
      <c r="KNC2" s="352"/>
      <c r="KND2" s="352"/>
      <c r="KNE2" s="352"/>
      <c r="KNF2" s="352"/>
      <c r="KNG2" s="352"/>
      <c r="KNH2" s="352"/>
      <c r="KNI2" s="352"/>
      <c r="KNJ2" s="352"/>
      <c r="KNK2" s="352"/>
      <c r="KNL2" s="352"/>
      <c r="KNM2" s="352"/>
      <c r="KNN2" s="352"/>
      <c r="KNO2" s="352"/>
      <c r="KNP2" s="352"/>
      <c r="KNQ2" s="352"/>
      <c r="KNR2" s="352"/>
      <c r="KNS2" s="352"/>
      <c r="KNT2" s="352"/>
      <c r="KNU2" s="352"/>
      <c r="KNV2" s="352"/>
      <c r="KNW2" s="352"/>
      <c r="KNX2" s="352"/>
      <c r="KNY2" s="352"/>
      <c r="KNZ2" s="352"/>
      <c r="KOA2" s="352"/>
      <c r="KOB2" s="352"/>
      <c r="KOC2" s="352"/>
      <c r="KOD2" s="352"/>
      <c r="KOE2" s="352"/>
      <c r="KOF2" s="352"/>
      <c r="KOG2" s="352"/>
      <c r="KOH2" s="352"/>
      <c r="KOI2" s="352"/>
      <c r="KOJ2" s="352"/>
      <c r="KOK2" s="352"/>
      <c r="KOL2" s="352"/>
      <c r="KOM2" s="352"/>
      <c r="KON2" s="352"/>
      <c r="KOO2" s="352"/>
      <c r="KOP2" s="352"/>
      <c r="KOQ2" s="352"/>
      <c r="KOR2" s="352"/>
      <c r="KOS2" s="352"/>
      <c r="KOT2" s="352"/>
      <c r="KOU2" s="352"/>
      <c r="KOV2" s="352"/>
      <c r="KOW2" s="352"/>
      <c r="KOX2" s="352"/>
      <c r="KOY2" s="352"/>
      <c r="KOZ2" s="352"/>
      <c r="KPA2" s="352"/>
      <c r="KPB2" s="352"/>
      <c r="KPC2" s="352"/>
      <c r="KPD2" s="352"/>
      <c r="KPE2" s="352"/>
      <c r="KPF2" s="352"/>
      <c r="KPG2" s="352"/>
      <c r="KPH2" s="352"/>
      <c r="KPI2" s="352"/>
      <c r="KPJ2" s="352"/>
      <c r="KPK2" s="352"/>
      <c r="KPL2" s="352"/>
      <c r="KPM2" s="352"/>
      <c r="KPN2" s="352"/>
      <c r="KPO2" s="352"/>
      <c r="KPP2" s="352"/>
      <c r="KPQ2" s="352"/>
      <c r="KPR2" s="352"/>
      <c r="KPS2" s="352"/>
      <c r="KPT2" s="352"/>
      <c r="KPU2" s="352"/>
      <c r="KPV2" s="352"/>
      <c r="KPW2" s="352"/>
      <c r="KPX2" s="352"/>
      <c r="KPY2" s="352"/>
      <c r="KPZ2" s="352"/>
      <c r="KQA2" s="352"/>
      <c r="KQB2" s="352"/>
      <c r="KQC2" s="352"/>
      <c r="KQD2" s="352"/>
      <c r="KQE2" s="352"/>
      <c r="KQF2" s="352"/>
      <c r="KQG2" s="352"/>
      <c r="KQH2" s="352"/>
      <c r="KQI2" s="352"/>
      <c r="KQJ2" s="352"/>
      <c r="KQK2" s="352"/>
      <c r="KQL2" s="352"/>
      <c r="KQM2" s="352"/>
      <c r="KQN2" s="352"/>
      <c r="KQO2" s="352"/>
      <c r="KQP2" s="352"/>
      <c r="KQQ2" s="352"/>
      <c r="KQR2" s="352"/>
      <c r="KQS2" s="352"/>
      <c r="KQT2" s="352"/>
      <c r="KQU2" s="352"/>
      <c r="KQV2" s="352"/>
      <c r="KQW2" s="352"/>
      <c r="KQX2" s="352"/>
      <c r="KQY2" s="352"/>
      <c r="KQZ2" s="352"/>
      <c r="KRA2" s="352"/>
      <c r="KRB2" s="352"/>
      <c r="KRC2" s="352"/>
      <c r="KRD2" s="352"/>
      <c r="KRE2" s="352"/>
      <c r="KRF2" s="352"/>
      <c r="KRG2" s="352"/>
      <c r="KRH2" s="352"/>
      <c r="KRI2" s="352"/>
      <c r="KRJ2" s="352"/>
      <c r="KRK2" s="352"/>
      <c r="KRL2" s="352"/>
      <c r="KRM2" s="352"/>
      <c r="KRN2" s="352"/>
      <c r="KRO2" s="352"/>
      <c r="KRP2" s="352"/>
      <c r="KRQ2" s="352"/>
      <c r="KRR2" s="352"/>
      <c r="KRS2" s="352"/>
      <c r="KRT2" s="352"/>
      <c r="KRU2" s="352"/>
      <c r="KRV2" s="352"/>
      <c r="KRW2" s="352"/>
      <c r="KRX2" s="352"/>
      <c r="KRY2" s="352"/>
      <c r="KRZ2" s="352"/>
      <c r="KSA2" s="352"/>
      <c r="KSB2" s="352"/>
      <c r="KSC2" s="352"/>
      <c r="KSD2" s="352"/>
      <c r="KSE2" s="352"/>
      <c r="KSF2" s="352"/>
      <c r="KSG2" s="352"/>
      <c r="KSH2" s="352"/>
      <c r="KSI2" s="352"/>
      <c r="KSJ2" s="352"/>
      <c r="KSK2" s="352"/>
      <c r="KSL2" s="352"/>
      <c r="KSM2" s="352"/>
      <c r="KSN2" s="352"/>
      <c r="KSO2" s="352"/>
      <c r="KSP2" s="352"/>
      <c r="KSQ2" s="352"/>
      <c r="KSR2" s="352"/>
      <c r="KSS2" s="352"/>
      <c r="KST2" s="352"/>
      <c r="KSU2" s="352"/>
      <c r="KSV2" s="352"/>
      <c r="KSW2" s="352"/>
      <c r="KSX2" s="352"/>
      <c r="KSY2" s="352"/>
      <c r="KSZ2" s="352"/>
      <c r="KTA2" s="352"/>
      <c r="KTB2" s="352"/>
      <c r="KTC2" s="352"/>
      <c r="KTD2" s="352"/>
      <c r="KTE2" s="352"/>
      <c r="KTF2" s="352"/>
      <c r="KTG2" s="352"/>
      <c r="KTH2" s="352"/>
      <c r="KTI2" s="352"/>
      <c r="KTJ2" s="352"/>
      <c r="KTK2" s="352"/>
      <c r="KTL2" s="352"/>
      <c r="KTM2" s="352"/>
      <c r="KTN2" s="352"/>
      <c r="KTO2" s="352"/>
      <c r="KTP2" s="352"/>
      <c r="KTQ2" s="352"/>
      <c r="KTR2" s="352"/>
      <c r="KTS2" s="352"/>
      <c r="KTT2" s="352"/>
      <c r="KTU2" s="352"/>
      <c r="KTV2" s="352"/>
      <c r="KTW2" s="352"/>
      <c r="KTX2" s="352"/>
      <c r="KTY2" s="352"/>
      <c r="KTZ2" s="352"/>
      <c r="KUA2" s="352"/>
      <c r="KUB2" s="352"/>
      <c r="KUC2" s="352"/>
      <c r="KUD2" s="352"/>
      <c r="KUE2" s="352"/>
      <c r="KUF2" s="352"/>
      <c r="KUG2" s="352"/>
      <c r="KUH2" s="352"/>
      <c r="KUI2" s="352"/>
      <c r="KUJ2" s="352"/>
      <c r="KUK2" s="352"/>
      <c r="KUL2" s="352"/>
      <c r="KUM2" s="352"/>
      <c r="KUN2" s="352"/>
      <c r="KUO2" s="352"/>
      <c r="KUP2" s="352"/>
      <c r="KUQ2" s="352"/>
      <c r="KUR2" s="352"/>
      <c r="KUS2" s="352"/>
      <c r="KUT2" s="352"/>
      <c r="KUU2" s="352"/>
      <c r="KUV2" s="352"/>
      <c r="KUW2" s="352"/>
      <c r="KUX2" s="352"/>
      <c r="KUY2" s="352"/>
      <c r="KUZ2" s="352"/>
      <c r="KVA2" s="352"/>
      <c r="KVB2" s="352"/>
      <c r="KVC2" s="352"/>
      <c r="KVD2" s="352"/>
      <c r="KVE2" s="352"/>
      <c r="KVF2" s="352"/>
      <c r="KVG2" s="352"/>
      <c r="KVH2" s="352"/>
      <c r="KVI2" s="352"/>
      <c r="KVJ2" s="352"/>
      <c r="KVK2" s="352"/>
      <c r="KVL2" s="352"/>
      <c r="KVM2" s="352"/>
      <c r="KVN2" s="352"/>
      <c r="KVO2" s="352"/>
      <c r="KVP2" s="352"/>
      <c r="KVQ2" s="352"/>
      <c r="KVR2" s="352"/>
      <c r="KVS2" s="352"/>
      <c r="KVT2" s="352"/>
      <c r="KVU2" s="352"/>
      <c r="KVV2" s="352"/>
      <c r="KVW2" s="352"/>
      <c r="KVX2" s="352"/>
      <c r="KVY2" s="352"/>
      <c r="KVZ2" s="352"/>
      <c r="KWA2" s="352"/>
      <c r="KWB2" s="352"/>
      <c r="KWC2" s="352"/>
      <c r="KWD2" s="352"/>
      <c r="KWE2" s="352"/>
      <c r="KWF2" s="352"/>
      <c r="KWG2" s="352"/>
      <c r="KWH2" s="352"/>
      <c r="KWI2" s="352"/>
      <c r="KWJ2" s="352"/>
      <c r="KWK2" s="352"/>
      <c r="KWL2" s="352"/>
      <c r="KWM2" s="352"/>
      <c r="KWN2" s="352"/>
      <c r="KWO2" s="352"/>
      <c r="KWP2" s="352"/>
      <c r="KWQ2" s="352"/>
      <c r="KWR2" s="352"/>
      <c r="KWS2" s="352"/>
      <c r="KWT2" s="352"/>
      <c r="KWU2" s="352"/>
      <c r="KWV2" s="352"/>
      <c r="KWW2" s="352"/>
      <c r="KWX2" s="352"/>
      <c r="KWY2" s="352"/>
      <c r="KWZ2" s="352"/>
      <c r="KXA2" s="352"/>
      <c r="KXB2" s="352"/>
      <c r="KXC2" s="352"/>
      <c r="KXD2" s="352"/>
      <c r="KXE2" s="352"/>
      <c r="KXF2" s="352"/>
      <c r="KXG2" s="352"/>
      <c r="KXH2" s="352"/>
      <c r="KXI2" s="352"/>
      <c r="KXJ2" s="352"/>
      <c r="KXK2" s="352"/>
      <c r="KXL2" s="352"/>
      <c r="KXM2" s="352"/>
      <c r="KXN2" s="352"/>
      <c r="KXO2" s="352"/>
      <c r="KXP2" s="352"/>
      <c r="KXQ2" s="352"/>
      <c r="KXR2" s="352"/>
      <c r="KXS2" s="352"/>
      <c r="KXT2" s="352"/>
      <c r="KXU2" s="352"/>
      <c r="KXV2" s="352"/>
      <c r="KXW2" s="352"/>
      <c r="KXX2" s="352"/>
      <c r="KXY2" s="352"/>
      <c r="KXZ2" s="352"/>
      <c r="KYA2" s="352"/>
      <c r="KYB2" s="352"/>
      <c r="KYC2" s="352"/>
      <c r="KYD2" s="352"/>
      <c r="KYE2" s="352"/>
      <c r="KYF2" s="352"/>
      <c r="KYG2" s="352"/>
      <c r="KYH2" s="352"/>
      <c r="KYI2" s="352"/>
      <c r="KYJ2" s="352"/>
      <c r="KYK2" s="352"/>
      <c r="KYL2" s="352"/>
      <c r="KYM2" s="352"/>
      <c r="KYN2" s="352"/>
      <c r="KYO2" s="352"/>
      <c r="KYP2" s="352"/>
      <c r="KYQ2" s="352"/>
      <c r="KYR2" s="352"/>
      <c r="KYS2" s="352"/>
      <c r="KYT2" s="352"/>
      <c r="KYU2" s="352"/>
      <c r="KYV2" s="352"/>
      <c r="KYW2" s="352"/>
      <c r="KYX2" s="352"/>
      <c r="KYY2" s="352"/>
      <c r="KYZ2" s="352"/>
      <c r="KZA2" s="352"/>
      <c r="KZB2" s="352"/>
      <c r="KZC2" s="352"/>
      <c r="KZD2" s="352"/>
      <c r="KZE2" s="352"/>
      <c r="KZF2" s="352"/>
      <c r="KZG2" s="352"/>
      <c r="KZH2" s="352"/>
      <c r="KZI2" s="352"/>
      <c r="KZJ2" s="352"/>
      <c r="KZK2" s="352"/>
      <c r="KZL2" s="352"/>
      <c r="KZM2" s="352"/>
      <c r="KZN2" s="352"/>
      <c r="KZO2" s="352"/>
      <c r="KZP2" s="352"/>
      <c r="KZQ2" s="352"/>
      <c r="KZR2" s="352"/>
      <c r="KZS2" s="352"/>
      <c r="KZT2" s="352"/>
      <c r="KZU2" s="352"/>
      <c r="KZV2" s="352"/>
      <c r="KZW2" s="352"/>
      <c r="KZX2" s="352"/>
      <c r="KZY2" s="352"/>
      <c r="KZZ2" s="352"/>
      <c r="LAA2" s="352"/>
      <c r="LAB2" s="352"/>
      <c r="LAC2" s="352"/>
      <c r="LAD2" s="352"/>
      <c r="LAE2" s="352"/>
      <c r="LAF2" s="352"/>
      <c r="LAG2" s="352"/>
      <c r="LAH2" s="352"/>
      <c r="LAI2" s="352"/>
      <c r="LAJ2" s="352"/>
      <c r="LAK2" s="352"/>
      <c r="LAL2" s="352"/>
      <c r="LAM2" s="352"/>
      <c r="LAN2" s="352"/>
      <c r="LAO2" s="352"/>
      <c r="LAP2" s="352"/>
      <c r="LAQ2" s="352"/>
      <c r="LAR2" s="352"/>
      <c r="LAS2" s="352"/>
      <c r="LAT2" s="352"/>
      <c r="LAU2" s="352"/>
      <c r="LAV2" s="352"/>
      <c r="LAW2" s="352"/>
      <c r="LAX2" s="352"/>
      <c r="LAY2" s="352"/>
      <c r="LAZ2" s="352"/>
      <c r="LBA2" s="352"/>
      <c r="LBB2" s="352"/>
      <c r="LBC2" s="352"/>
      <c r="LBD2" s="352"/>
      <c r="LBE2" s="352"/>
      <c r="LBF2" s="352"/>
      <c r="LBG2" s="352"/>
      <c r="LBH2" s="352"/>
      <c r="LBI2" s="352"/>
      <c r="LBJ2" s="352"/>
      <c r="LBK2" s="352"/>
      <c r="LBL2" s="352"/>
      <c r="LBM2" s="352"/>
      <c r="LBN2" s="352"/>
      <c r="LBO2" s="352"/>
      <c r="LBP2" s="352"/>
      <c r="LBQ2" s="352"/>
      <c r="LBR2" s="352"/>
      <c r="LBS2" s="352"/>
      <c r="LBT2" s="352"/>
      <c r="LBU2" s="352"/>
      <c r="LBV2" s="352"/>
      <c r="LBW2" s="352"/>
      <c r="LBX2" s="352"/>
      <c r="LBY2" s="352"/>
      <c r="LBZ2" s="352"/>
      <c r="LCA2" s="352"/>
      <c r="LCB2" s="352"/>
      <c r="LCC2" s="352"/>
      <c r="LCD2" s="352"/>
      <c r="LCE2" s="352"/>
      <c r="LCF2" s="352"/>
      <c r="LCG2" s="352"/>
      <c r="LCH2" s="352"/>
      <c r="LCI2" s="352"/>
      <c r="LCJ2" s="352"/>
      <c r="LCK2" s="352"/>
      <c r="LCL2" s="352"/>
      <c r="LCM2" s="352"/>
      <c r="LCN2" s="352"/>
      <c r="LCO2" s="352"/>
      <c r="LCP2" s="352"/>
      <c r="LCQ2" s="352"/>
      <c r="LCR2" s="352"/>
      <c r="LCS2" s="352"/>
      <c r="LCT2" s="352"/>
      <c r="LCU2" s="352"/>
      <c r="LCV2" s="352"/>
      <c r="LCW2" s="352"/>
      <c r="LCX2" s="352"/>
      <c r="LCY2" s="352"/>
      <c r="LCZ2" s="352"/>
      <c r="LDA2" s="352"/>
      <c r="LDB2" s="352"/>
      <c r="LDC2" s="352"/>
      <c r="LDD2" s="352"/>
      <c r="LDE2" s="352"/>
      <c r="LDF2" s="352"/>
      <c r="LDG2" s="352"/>
      <c r="LDH2" s="352"/>
      <c r="LDI2" s="352"/>
      <c r="LDJ2" s="352"/>
      <c r="LDK2" s="352"/>
      <c r="LDL2" s="352"/>
      <c r="LDM2" s="352"/>
      <c r="LDN2" s="352"/>
      <c r="LDO2" s="352"/>
      <c r="LDP2" s="352"/>
      <c r="LDQ2" s="352"/>
      <c r="LDR2" s="352"/>
      <c r="LDS2" s="352"/>
      <c r="LDT2" s="352"/>
      <c r="LDU2" s="352"/>
      <c r="LDV2" s="352"/>
      <c r="LDW2" s="352"/>
      <c r="LDX2" s="352"/>
      <c r="LDY2" s="352"/>
      <c r="LDZ2" s="352"/>
      <c r="LEA2" s="352"/>
      <c r="LEB2" s="352"/>
      <c r="LEC2" s="352"/>
      <c r="LED2" s="352"/>
      <c r="LEE2" s="352"/>
      <c r="LEF2" s="352"/>
      <c r="LEG2" s="352"/>
      <c r="LEH2" s="352"/>
      <c r="LEI2" s="352"/>
      <c r="LEJ2" s="352"/>
      <c r="LEK2" s="352"/>
      <c r="LEL2" s="352"/>
      <c r="LEM2" s="352"/>
      <c r="LEN2" s="352"/>
      <c r="LEO2" s="352"/>
      <c r="LEP2" s="352"/>
      <c r="LEQ2" s="352"/>
      <c r="LER2" s="352"/>
      <c r="LES2" s="352"/>
      <c r="LET2" s="352"/>
      <c r="LEU2" s="352"/>
      <c r="LEV2" s="352"/>
      <c r="LEW2" s="352"/>
      <c r="LEX2" s="352"/>
      <c r="LEY2" s="352"/>
      <c r="LEZ2" s="352"/>
      <c r="LFA2" s="352"/>
      <c r="LFB2" s="352"/>
      <c r="LFC2" s="352"/>
      <c r="LFD2" s="352"/>
      <c r="LFE2" s="352"/>
      <c r="LFF2" s="352"/>
      <c r="LFG2" s="352"/>
      <c r="LFH2" s="352"/>
      <c r="LFI2" s="352"/>
      <c r="LFJ2" s="352"/>
      <c r="LFK2" s="352"/>
      <c r="LFL2" s="352"/>
      <c r="LFM2" s="352"/>
      <c r="LFN2" s="352"/>
      <c r="LFO2" s="352"/>
      <c r="LFP2" s="352"/>
      <c r="LFQ2" s="352"/>
      <c r="LFR2" s="352"/>
      <c r="LFS2" s="352"/>
      <c r="LFT2" s="352"/>
      <c r="LFU2" s="352"/>
      <c r="LFV2" s="352"/>
      <c r="LFW2" s="352"/>
      <c r="LFX2" s="352"/>
      <c r="LFY2" s="352"/>
      <c r="LFZ2" s="352"/>
      <c r="LGA2" s="352"/>
      <c r="LGB2" s="352"/>
      <c r="LGC2" s="352"/>
      <c r="LGD2" s="352"/>
      <c r="LGE2" s="352"/>
      <c r="LGF2" s="352"/>
      <c r="LGG2" s="352"/>
      <c r="LGH2" s="352"/>
      <c r="LGI2" s="352"/>
      <c r="LGJ2" s="352"/>
      <c r="LGK2" s="352"/>
      <c r="LGL2" s="352"/>
      <c r="LGM2" s="352"/>
      <c r="LGN2" s="352"/>
      <c r="LGO2" s="352"/>
      <c r="LGP2" s="352"/>
      <c r="LGQ2" s="352"/>
      <c r="LGR2" s="352"/>
      <c r="LGS2" s="352"/>
      <c r="LGT2" s="352"/>
      <c r="LGU2" s="352"/>
      <c r="LGV2" s="352"/>
      <c r="LGW2" s="352"/>
      <c r="LGX2" s="352"/>
      <c r="LGY2" s="352"/>
      <c r="LGZ2" s="352"/>
      <c r="LHA2" s="352"/>
      <c r="LHB2" s="352"/>
      <c r="LHC2" s="352"/>
      <c r="LHD2" s="352"/>
      <c r="LHE2" s="352"/>
      <c r="LHF2" s="352"/>
      <c r="LHG2" s="352"/>
      <c r="LHH2" s="352"/>
      <c r="LHI2" s="352"/>
      <c r="LHJ2" s="352"/>
      <c r="LHK2" s="352"/>
      <c r="LHL2" s="352"/>
      <c r="LHM2" s="352"/>
      <c r="LHN2" s="352"/>
      <c r="LHO2" s="352"/>
      <c r="LHP2" s="352"/>
      <c r="LHQ2" s="352"/>
      <c r="LHR2" s="352"/>
      <c r="LHS2" s="352"/>
      <c r="LHT2" s="352"/>
      <c r="LHU2" s="352"/>
      <c r="LHV2" s="352"/>
      <c r="LHW2" s="352"/>
      <c r="LHX2" s="352"/>
      <c r="LHY2" s="352"/>
      <c r="LHZ2" s="352"/>
      <c r="LIA2" s="352"/>
      <c r="LIB2" s="352"/>
      <c r="LIC2" s="352"/>
      <c r="LID2" s="352"/>
      <c r="LIE2" s="352"/>
      <c r="LIF2" s="352"/>
      <c r="LIG2" s="352"/>
      <c r="LIH2" s="352"/>
      <c r="LII2" s="352"/>
      <c r="LIJ2" s="352"/>
      <c r="LIK2" s="352"/>
      <c r="LIL2" s="352"/>
      <c r="LIM2" s="352"/>
      <c r="LIN2" s="352"/>
      <c r="LIO2" s="352"/>
      <c r="LIP2" s="352"/>
      <c r="LIQ2" s="352"/>
      <c r="LIR2" s="352"/>
      <c r="LIS2" s="352"/>
      <c r="LIT2" s="352"/>
      <c r="LIU2" s="352"/>
      <c r="LIV2" s="352"/>
      <c r="LIW2" s="352"/>
      <c r="LIX2" s="352"/>
      <c r="LIY2" s="352"/>
      <c r="LIZ2" s="352"/>
      <c r="LJA2" s="352"/>
      <c r="LJB2" s="352"/>
      <c r="LJC2" s="352"/>
      <c r="LJD2" s="352"/>
      <c r="LJE2" s="352"/>
      <c r="LJF2" s="352"/>
      <c r="LJG2" s="352"/>
      <c r="LJH2" s="352"/>
      <c r="LJI2" s="352"/>
      <c r="LJJ2" s="352"/>
      <c r="LJK2" s="352"/>
      <c r="LJL2" s="352"/>
      <c r="LJM2" s="352"/>
      <c r="LJN2" s="352"/>
      <c r="LJO2" s="352"/>
      <c r="LJP2" s="352"/>
      <c r="LJQ2" s="352"/>
      <c r="LJR2" s="352"/>
      <c r="LJS2" s="352"/>
      <c r="LJT2" s="352"/>
      <c r="LJU2" s="352"/>
      <c r="LJV2" s="352"/>
      <c r="LJW2" s="352"/>
      <c r="LJX2" s="352"/>
      <c r="LJY2" s="352"/>
      <c r="LJZ2" s="352"/>
      <c r="LKA2" s="352"/>
      <c r="LKB2" s="352"/>
      <c r="LKC2" s="352"/>
      <c r="LKD2" s="352"/>
      <c r="LKE2" s="352"/>
      <c r="LKF2" s="352"/>
      <c r="LKG2" s="352"/>
      <c r="LKH2" s="352"/>
      <c r="LKI2" s="352"/>
      <c r="LKJ2" s="352"/>
      <c r="LKK2" s="352"/>
      <c r="LKL2" s="352"/>
      <c r="LKM2" s="352"/>
      <c r="LKN2" s="352"/>
      <c r="LKO2" s="352"/>
      <c r="LKP2" s="352"/>
      <c r="LKQ2" s="352"/>
      <c r="LKR2" s="352"/>
      <c r="LKS2" s="352"/>
      <c r="LKT2" s="352"/>
      <c r="LKU2" s="352"/>
      <c r="LKV2" s="352"/>
      <c r="LKW2" s="352"/>
      <c r="LKX2" s="352"/>
      <c r="LKY2" s="352"/>
      <c r="LKZ2" s="352"/>
      <c r="LLA2" s="352"/>
      <c r="LLB2" s="352"/>
      <c r="LLC2" s="352"/>
      <c r="LLD2" s="352"/>
      <c r="LLE2" s="352"/>
      <c r="LLF2" s="352"/>
      <c r="LLG2" s="352"/>
      <c r="LLH2" s="352"/>
      <c r="LLI2" s="352"/>
      <c r="LLJ2" s="352"/>
      <c r="LLK2" s="352"/>
      <c r="LLL2" s="352"/>
      <c r="LLM2" s="352"/>
      <c r="LLN2" s="352"/>
      <c r="LLO2" s="352"/>
      <c r="LLP2" s="352"/>
      <c r="LLQ2" s="352"/>
      <c r="LLR2" s="352"/>
      <c r="LLS2" s="352"/>
      <c r="LLT2" s="352"/>
      <c r="LLU2" s="352"/>
      <c r="LLV2" s="352"/>
      <c r="LLW2" s="352"/>
      <c r="LLX2" s="352"/>
      <c r="LLY2" s="352"/>
      <c r="LLZ2" s="352"/>
      <c r="LMA2" s="352"/>
      <c r="LMB2" s="352"/>
      <c r="LMC2" s="352"/>
      <c r="LMD2" s="352"/>
      <c r="LME2" s="352"/>
      <c r="LMF2" s="352"/>
      <c r="LMG2" s="352"/>
      <c r="LMH2" s="352"/>
      <c r="LMI2" s="352"/>
      <c r="LMJ2" s="352"/>
      <c r="LMK2" s="352"/>
      <c r="LML2" s="352"/>
      <c r="LMM2" s="352"/>
      <c r="LMN2" s="352"/>
      <c r="LMO2" s="352"/>
      <c r="LMP2" s="352"/>
      <c r="LMQ2" s="352"/>
      <c r="LMR2" s="352"/>
      <c r="LMS2" s="352"/>
      <c r="LMT2" s="352"/>
      <c r="LMU2" s="352"/>
      <c r="LMV2" s="352"/>
      <c r="LMW2" s="352"/>
      <c r="LMX2" s="352"/>
      <c r="LMY2" s="352"/>
      <c r="LMZ2" s="352"/>
      <c r="LNA2" s="352"/>
      <c r="LNB2" s="352"/>
      <c r="LNC2" s="352"/>
      <c r="LND2" s="352"/>
      <c r="LNE2" s="352"/>
      <c r="LNF2" s="352"/>
      <c r="LNG2" s="352"/>
      <c r="LNH2" s="352"/>
      <c r="LNI2" s="352"/>
      <c r="LNJ2" s="352"/>
      <c r="LNK2" s="352"/>
      <c r="LNL2" s="352"/>
      <c r="LNM2" s="352"/>
      <c r="LNN2" s="352"/>
      <c r="LNO2" s="352"/>
      <c r="LNP2" s="352"/>
      <c r="LNQ2" s="352"/>
      <c r="LNR2" s="352"/>
      <c r="LNS2" s="352"/>
      <c r="LNT2" s="352"/>
      <c r="LNU2" s="352"/>
      <c r="LNV2" s="352"/>
      <c r="LNW2" s="352"/>
      <c r="LNX2" s="352"/>
      <c r="LNY2" s="352"/>
      <c r="LNZ2" s="352"/>
      <c r="LOA2" s="352"/>
      <c r="LOB2" s="352"/>
      <c r="LOC2" s="352"/>
      <c r="LOD2" s="352"/>
      <c r="LOE2" s="352"/>
      <c r="LOF2" s="352"/>
      <c r="LOG2" s="352"/>
      <c r="LOH2" s="352"/>
      <c r="LOI2" s="352"/>
      <c r="LOJ2" s="352"/>
      <c r="LOK2" s="352"/>
      <c r="LOL2" s="352"/>
      <c r="LOM2" s="352"/>
      <c r="LON2" s="352"/>
      <c r="LOO2" s="352"/>
      <c r="LOP2" s="352"/>
      <c r="LOQ2" s="352"/>
      <c r="LOR2" s="352"/>
      <c r="LOS2" s="352"/>
      <c r="LOT2" s="352"/>
      <c r="LOU2" s="352"/>
      <c r="LOV2" s="352"/>
      <c r="LOW2" s="352"/>
      <c r="LOX2" s="352"/>
      <c r="LOY2" s="352"/>
      <c r="LOZ2" s="352"/>
      <c r="LPA2" s="352"/>
      <c r="LPB2" s="352"/>
      <c r="LPC2" s="352"/>
      <c r="LPD2" s="352"/>
      <c r="LPE2" s="352"/>
      <c r="LPF2" s="352"/>
      <c r="LPG2" s="352"/>
      <c r="LPH2" s="352"/>
      <c r="LPI2" s="352"/>
      <c r="LPJ2" s="352"/>
      <c r="LPK2" s="352"/>
      <c r="LPL2" s="352"/>
      <c r="LPM2" s="352"/>
      <c r="LPN2" s="352"/>
      <c r="LPO2" s="352"/>
      <c r="LPP2" s="352"/>
      <c r="LPQ2" s="352"/>
      <c r="LPR2" s="352"/>
      <c r="LPS2" s="352"/>
      <c r="LPT2" s="352"/>
      <c r="LPU2" s="352"/>
      <c r="LPV2" s="352"/>
      <c r="LPW2" s="352"/>
      <c r="LPX2" s="352"/>
      <c r="LPY2" s="352"/>
      <c r="LPZ2" s="352"/>
      <c r="LQA2" s="352"/>
      <c r="LQB2" s="352"/>
      <c r="LQC2" s="352"/>
      <c r="LQD2" s="352"/>
      <c r="LQE2" s="352"/>
      <c r="LQF2" s="352"/>
      <c r="LQG2" s="352"/>
      <c r="LQH2" s="352"/>
      <c r="LQI2" s="352"/>
      <c r="LQJ2" s="352"/>
      <c r="LQK2" s="352"/>
      <c r="LQL2" s="352"/>
      <c r="LQM2" s="352"/>
      <c r="LQN2" s="352"/>
      <c r="LQO2" s="352"/>
      <c r="LQP2" s="352"/>
      <c r="LQQ2" s="352"/>
      <c r="LQR2" s="352"/>
      <c r="LQS2" s="352"/>
      <c r="LQT2" s="352"/>
      <c r="LQU2" s="352"/>
      <c r="LQV2" s="352"/>
      <c r="LQW2" s="352"/>
      <c r="LQX2" s="352"/>
      <c r="LQY2" s="352"/>
      <c r="LQZ2" s="352"/>
      <c r="LRA2" s="352"/>
      <c r="LRB2" s="352"/>
      <c r="LRC2" s="352"/>
      <c r="LRD2" s="352"/>
      <c r="LRE2" s="352"/>
      <c r="LRF2" s="352"/>
      <c r="LRG2" s="352"/>
      <c r="LRH2" s="352"/>
      <c r="LRI2" s="352"/>
      <c r="LRJ2" s="352"/>
      <c r="LRK2" s="352"/>
      <c r="LRL2" s="352"/>
      <c r="LRM2" s="352"/>
      <c r="LRN2" s="352"/>
      <c r="LRO2" s="352"/>
      <c r="LRP2" s="352"/>
      <c r="LRQ2" s="352"/>
      <c r="LRR2" s="352"/>
      <c r="LRS2" s="352"/>
      <c r="LRT2" s="352"/>
      <c r="LRU2" s="352"/>
      <c r="LRV2" s="352"/>
      <c r="LRW2" s="352"/>
      <c r="LRX2" s="352"/>
      <c r="LRY2" s="352"/>
      <c r="LRZ2" s="352"/>
      <c r="LSA2" s="352"/>
      <c r="LSB2" s="352"/>
      <c r="LSC2" s="352"/>
      <c r="LSD2" s="352"/>
      <c r="LSE2" s="352"/>
      <c r="LSF2" s="352"/>
      <c r="LSG2" s="352"/>
      <c r="LSH2" s="352"/>
      <c r="LSI2" s="352"/>
      <c r="LSJ2" s="352"/>
      <c r="LSK2" s="352"/>
      <c r="LSL2" s="352"/>
      <c r="LSM2" s="352"/>
      <c r="LSN2" s="352"/>
      <c r="LSO2" s="352"/>
      <c r="LSP2" s="352"/>
      <c r="LSQ2" s="352"/>
      <c r="LSR2" s="352"/>
      <c r="LSS2" s="352"/>
      <c r="LST2" s="352"/>
      <c r="LSU2" s="352"/>
      <c r="LSV2" s="352"/>
      <c r="LSW2" s="352"/>
      <c r="LSX2" s="352"/>
      <c r="LSY2" s="352"/>
      <c r="LSZ2" s="352"/>
      <c r="LTA2" s="352"/>
      <c r="LTB2" s="352"/>
      <c r="LTC2" s="352"/>
      <c r="LTD2" s="352"/>
      <c r="LTE2" s="352"/>
      <c r="LTF2" s="352"/>
      <c r="LTG2" s="352"/>
      <c r="LTH2" s="352"/>
      <c r="LTI2" s="352"/>
      <c r="LTJ2" s="352"/>
      <c r="LTK2" s="352"/>
      <c r="LTL2" s="352"/>
      <c r="LTM2" s="352"/>
      <c r="LTN2" s="352"/>
      <c r="LTO2" s="352"/>
      <c r="LTP2" s="352"/>
      <c r="LTQ2" s="352"/>
      <c r="LTR2" s="352"/>
      <c r="LTS2" s="352"/>
      <c r="LTT2" s="352"/>
      <c r="LTU2" s="352"/>
      <c r="LTV2" s="352"/>
      <c r="LTW2" s="352"/>
      <c r="LTX2" s="352"/>
      <c r="LTY2" s="352"/>
      <c r="LTZ2" s="352"/>
      <c r="LUA2" s="352"/>
      <c r="LUB2" s="352"/>
      <c r="LUC2" s="352"/>
      <c r="LUD2" s="352"/>
      <c r="LUE2" s="352"/>
      <c r="LUF2" s="352"/>
      <c r="LUG2" s="352"/>
      <c r="LUH2" s="352"/>
      <c r="LUI2" s="352"/>
      <c r="LUJ2" s="352"/>
      <c r="LUK2" s="352"/>
      <c r="LUL2" s="352"/>
      <c r="LUM2" s="352"/>
      <c r="LUN2" s="352"/>
      <c r="LUO2" s="352"/>
      <c r="LUP2" s="352"/>
      <c r="LUQ2" s="352"/>
      <c r="LUR2" s="352"/>
      <c r="LUS2" s="352"/>
      <c r="LUT2" s="352"/>
      <c r="LUU2" s="352"/>
      <c r="LUV2" s="352"/>
      <c r="LUW2" s="352"/>
      <c r="LUX2" s="352"/>
      <c r="LUY2" s="352"/>
      <c r="LUZ2" s="352"/>
      <c r="LVA2" s="352"/>
      <c r="LVB2" s="352"/>
      <c r="LVC2" s="352"/>
      <c r="LVD2" s="352"/>
      <c r="LVE2" s="352"/>
      <c r="LVF2" s="352"/>
      <c r="LVG2" s="352"/>
      <c r="LVH2" s="352"/>
      <c r="LVI2" s="352"/>
      <c r="LVJ2" s="352"/>
      <c r="LVK2" s="352"/>
      <c r="LVL2" s="352"/>
      <c r="LVM2" s="352"/>
      <c r="LVN2" s="352"/>
      <c r="LVO2" s="352"/>
      <c r="LVP2" s="352"/>
      <c r="LVQ2" s="352"/>
      <c r="LVR2" s="352"/>
      <c r="LVS2" s="352"/>
      <c r="LVT2" s="352"/>
      <c r="LVU2" s="352"/>
      <c r="LVV2" s="352"/>
      <c r="LVW2" s="352"/>
      <c r="LVX2" s="352"/>
      <c r="LVY2" s="352"/>
      <c r="LVZ2" s="352"/>
      <c r="LWA2" s="352"/>
      <c r="LWB2" s="352"/>
      <c r="LWC2" s="352"/>
      <c r="LWD2" s="352"/>
      <c r="LWE2" s="352"/>
      <c r="LWF2" s="352"/>
      <c r="LWG2" s="352"/>
      <c r="LWH2" s="352"/>
      <c r="LWI2" s="352"/>
      <c r="LWJ2" s="352"/>
      <c r="LWK2" s="352"/>
      <c r="LWL2" s="352"/>
      <c r="LWM2" s="352"/>
      <c r="LWN2" s="352"/>
      <c r="LWO2" s="352"/>
      <c r="LWP2" s="352"/>
      <c r="LWQ2" s="352"/>
      <c r="LWR2" s="352"/>
      <c r="LWS2" s="352"/>
      <c r="LWT2" s="352"/>
      <c r="LWU2" s="352"/>
      <c r="LWV2" s="352"/>
      <c r="LWW2" s="352"/>
      <c r="LWX2" s="352"/>
      <c r="LWY2" s="352"/>
      <c r="LWZ2" s="352"/>
      <c r="LXA2" s="352"/>
      <c r="LXB2" s="352"/>
      <c r="LXC2" s="352"/>
      <c r="LXD2" s="352"/>
      <c r="LXE2" s="352"/>
      <c r="LXF2" s="352"/>
      <c r="LXG2" s="352"/>
      <c r="LXH2" s="352"/>
      <c r="LXI2" s="352"/>
      <c r="LXJ2" s="352"/>
      <c r="LXK2" s="352"/>
      <c r="LXL2" s="352"/>
      <c r="LXM2" s="352"/>
      <c r="LXN2" s="352"/>
      <c r="LXO2" s="352"/>
      <c r="LXP2" s="352"/>
      <c r="LXQ2" s="352"/>
      <c r="LXR2" s="352"/>
      <c r="LXS2" s="352"/>
      <c r="LXT2" s="352"/>
      <c r="LXU2" s="352"/>
      <c r="LXV2" s="352"/>
      <c r="LXW2" s="352"/>
      <c r="LXX2" s="352"/>
      <c r="LXY2" s="352"/>
      <c r="LXZ2" s="352"/>
      <c r="LYA2" s="352"/>
      <c r="LYB2" s="352"/>
      <c r="LYC2" s="352"/>
      <c r="LYD2" s="352"/>
      <c r="LYE2" s="352"/>
      <c r="LYF2" s="352"/>
      <c r="LYG2" s="352"/>
      <c r="LYH2" s="352"/>
      <c r="LYI2" s="352"/>
      <c r="LYJ2" s="352"/>
      <c r="LYK2" s="352"/>
      <c r="LYL2" s="352"/>
      <c r="LYM2" s="352"/>
      <c r="LYN2" s="352"/>
      <c r="LYO2" s="352"/>
      <c r="LYP2" s="352"/>
      <c r="LYQ2" s="352"/>
      <c r="LYR2" s="352"/>
      <c r="LYS2" s="352"/>
      <c r="LYT2" s="352"/>
      <c r="LYU2" s="352"/>
      <c r="LYV2" s="352"/>
      <c r="LYW2" s="352"/>
      <c r="LYX2" s="352"/>
      <c r="LYY2" s="352"/>
      <c r="LYZ2" s="352"/>
      <c r="LZA2" s="352"/>
      <c r="LZB2" s="352"/>
      <c r="LZC2" s="352"/>
      <c r="LZD2" s="352"/>
      <c r="LZE2" s="352"/>
      <c r="LZF2" s="352"/>
      <c r="LZG2" s="352"/>
      <c r="LZH2" s="352"/>
      <c r="LZI2" s="352"/>
      <c r="LZJ2" s="352"/>
      <c r="LZK2" s="352"/>
      <c r="LZL2" s="352"/>
      <c r="LZM2" s="352"/>
      <c r="LZN2" s="352"/>
      <c r="LZO2" s="352"/>
      <c r="LZP2" s="352"/>
      <c r="LZQ2" s="352"/>
      <c r="LZR2" s="352"/>
      <c r="LZS2" s="352"/>
      <c r="LZT2" s="352"/>
      <c r="LZU2" s="352"/>
      <c r="LZV2" s="352"/>
      <c r="LZW2" s="352"/>
      <c r="LZX2" s="352"/>
      <c r="LZY2" s="352"/>
      <c r="LZZ2" s="352"/>
      <c r="MAA2" s="352"/>
      <c r="MAB2" s="352"/>
      <c r="MAC2" s="352"/>
      <c r="MAD2" s="352"/>
      <c r="MAE2" s="352"/>
      <c r="MAF2" s="352"/>
      <c r="MAG2" s="352"/>
      <c r="MAH2" s="352"/>
      <c r="MAI2" s="352"/>
      <c r="MAJ2" s="352"/>
      <c r="MAK2" s="352"/>
      <c r="MAL2" s="352"/>
      <c r="MAM2" s="352"/>
      <c r="MAN2" s="352"/>
      <c r="MAO2" s="352"/>
      <c r="MAP2" s="352"/>
      <c r="MAQ2" s="352"/>
      <c r="MAR2" s="352"/>
      <c r="MAS2" s="352"/>
      <c r="MAT2" s="352"/>
      <c r="MAU2" s="352"/>
      <c r="MAV2" s="352"/>
      <c r="MAW2" s="352"/>
      <c r="MAX2" s="352"/>
      <c r="MAY2" s="352"/>
      <c r="MAZ2" s="352"/>
      <c r="MBA2" s="352"/>
      <c r="MBB2" s="352"/>
      <c r="MBC2" s="352"/>
      <c r="MBD2" s="352"/>
      <c r="MBE2" s="352"/>
      <c r="MBF2" s="352"/>
      <c r="MBG2" s="352"/>
      <c r="MBH2" s="352"/>
      <c r="MBI2" s="352"/>
      <c r="MBJ2" s="352"/>
      <c r="MBK2" s="352"/>
      <c r="MBL2" s="352"/>
      <c r="MBM2" s="352"/>
      <c r="MBN2" s="352"/>
      <c r="MBO2" s="352"/>
      <c r="MBP2" s="352"/>
      <c r="MBQ2" s="352"/>
      <c r="MBR2" s="352"/>
      <c r="MBS2" s="352"/>
      <c r="MBT2" s="352"/>
      <c r="MBU2" s="352"/>
      <c r="MBV2" s="352"/>
      <c r="MBW2" s="352"/>
      <c r="MBX2" s="352"/>
      <c r="MBY2" s="352"/>
      <c r="MBZ2" s="352"/>
      <c r="MCA2" s="352"/>
      <c r="MCB2" s="352"/>
      <c r="MCC2" s="352"/>
      <c r="MCD2" s="352"/>
      <c r="MCE2" s="352"/>
      <c r="MCF2" s="352"/>
      <c r="MCG2" s="352"/>
      <c r="MCH2" s="352"/>
      <c r="MCI2" s="352"/>
      <c r="MCJ2" s="352"/>
      <c r="MCK2" s="352"/>
      <c r="MCL2" s="352"/>
      <c r="MCM2" s="352"/>
      <c r="MCN2" s="352"/>
      <c r="MCO2" s="352"/>
      <c r="MCP2" s="352"/>
      <c r="MCQ2" s="352"/>
      <c r="MCR2" s="352"/>
      <c r="MCS2" s="352"/>
      <c r="MCT2" s="352"/>
      <c r="MCU2" s="352"/>
      <c r="MCV2" s="352"/>
      <c r="MCW2" s="352"/>
      <c r="MCX2" s="352"/>
      <c r="MCY2" s="352"/>
      <c r="MCZ2" s="352"/>
      <c r="MDA2" s="352"/>
      <c r="MDB2" s="352"/>
      <c r="MDC2" s="352"/>
      <c r="MDD2" s="352"/>
      <c r="MDE2" s="352"/>
      <c r="MDF2" s="352"/>
      <c r="MDG2" s="352"/>
      <c r="MDH2" s="352"/>
      <c r="MDI2" s="352"/>
      <c r="MDJ2" s="352"/>
      <c r="MDK2" s="352"/>
      <c r="MDL2" s="352"/>
      <c r="MDM2" s="352"/>
      <c r="MDN2" s="352"/>
      <c r="MDO2" s="352"/>
      <c r="MDP2" s="352"/>
      <c r="MDQ2" s="352"/>
      <c r="MDR2" s="352"/>
      <c r="MDS2" s="352"/>
      <c r="MDT2" s="352"/>
      <c r="MDU2" s="352"/>
      <c r="MDV2" s="352"/>
      <c r="MDW2" s="352"/>
      <c r="MDX2" s="352"/>
      <c r="MDY2" s="352"/>
      <c r="MDZ2" s="352"/>
      <c r="MEA2" s="352"/>
      <c r="MEB2" s="352"/>
      <c r="MEC2" s="352"/>
      <c r="MED2" s="352"/>
      <c r="MEE2" s="352"/>
      <c r="MEF2" s="352"/>
      <c r="MEG2" s="352"/>
      <c r="MEH2" s="352"/>
      <c r="MEI2" s="352"/>
      <c r="MEJ2" s="352"/>
      <c r="MEK2" s="352"/>
      <c r="MEL2" s="352"/>
      <c r="MEM2" s="352"/>
      <c r="MEN2" s="352"/>
      <c r="MEO2" s="352"/>
      <c r="MEP2" s="352"/>
      <c r="MEQ2" s="352"/>
      <c r="MER2" s="352"/>
      <c r="MES2" s="352"/>
      <c r="MET2" s="352"/>
      <c r="MEU2" s="352"/>
      <c r="MEV2" s="352"/>
      <c r="MEW2" s="352"/>
      <c r="MEX2" s="352"/>
      <c r="MEY2" s="352"/>
      <c r="MEZ2" s="352"/>
      <c r="MFA2" s="352"/>
      <c r="MFB2" s="352"/>
      <c r="MFC2" s="352"/>
      <c r="MFD2" s="352"/>
      <c r="MFE2" s="352"/>
      <c r="MFF2" s="352"/>
      <c r="MFG2" s="352"/>
      <c r="MFH2" s="352"/>
      <c r="MFI2" s="352"/>
      <c r="MFJ2" s="352"/>
      <c r="MFK2" s="352"/>
      <c r="MFL2" s="352"/>
      <c r="MFM2" s="352"/>
      <c r="MFN2" s="352"/>
      <c r="MFO2" s="352"/>
      <c r="MFP2" s="352"/>
      <c r="MFQ2" s="352"/>
      <c r="MFR2" s="352"/>
      <c r="MFS2" s="352"/>
      <c r="MFT2" s="352"/>
      <c r="MFU2" s="352"/>
      <c r="MFV2" s="352"/>
      <c r="MFW2" s="352"/>
      <c r="MFX2" s="352"/>
      <c r="MFY2" s="352"/>
      <c r="MFZ2" s="352"/>
      <c r="MGA2" s="352"/>
      <c r="MGB2" s="352"/>
      <c r="MGC2" s="352"/>
      <c r="MGD2" s="352"/>
      <c r="MGE2" s="352"/>
      <c r="MGF2" s="352"/>
      <c r="MGG2" s="352"/>
      <c r="MGH2" s="352"/>
      <c r="MGI2" s="352"/>
      <c r="MGJ2" s="352"/>
      <c r="MGK2" s="352"/>
      <c r="MGL2" s="352"/>
      <c r="MGM2" s="352"/>
      <c r="MGN2" s="352"/>
      <c r="MGO2" s="352"/>
      <c r="MGP2" s="352"/>
      <c r="MGQ2" s="352"/>
      <c r="MGR2" s="352"/>
      <c r="MGS2" s="352"/>
      <c r="MGT2" s="352"/>
      <c r="MGU2" s="352"/>
      <c r="MGV2" s="352"/>
      <c r="MGW2" s="352"/>
      <c r="MGX2" s="352"/>
      <c r="MGY2" s="352"/>
      <c r="MGZ2" s="352"/>
      <c r="MHA2" s="352"/>
      <c r="MHB2" s="352"/>
      <c r="MHC2" s="352"/>
      <c r="MHD2" s="352"/>
      <c r="MHE2" s="352"/>
      <c r="MHF2" s="352"/>
      <c r="MHG2" s="352"/>
      <c r="MHH2" s="352"/>
      <c r="MHI2" s="352"/>
      <c r="MHJ2" s="352"/>
      <c r="MHK2" s="352"/>
      <c r="MHL2" s="352"/>
      <c r="MHM2" s="352"/>
      <c r="MHN2" s="352"/>
      <c r="MHO2" s="352"/>
      <c r="MHP2" s="352"/>
      <c r="MHQ2" s="352"/>
      <c r="MHR2" s="352"/>
      <c r="MHS2" s="352"/>
      <c r="MHT2" s="352"/>
      <c r="MHU2" s="352"/>
      <c r="MHV2" s="352"/>
      <c r="MHW2" s="352"/>
      <c r="MHX2" s="352"/>
      <c r="MHY2" s="352"/>
      <c r="MHZ2" s="352"/>
      <c r="MIA2" s="352"/>
      <c r="MIB2" s="352"/>
      <c r="MIC2" s="352"/>
      <c r="MID2" s="352"/>
      <c r="MIE2" s="352"/>
      <c r="MIF2" s="352"/>
      <c r="MIG2" s="352"/>
      <c r="MIH2" s="352"/>
      <c r="MII2" s="352"/>
      <c r="MIJ2" s="352"/>
      <c r="MIK2" s="352"/>
      <c r="MIL2" s="352"/>
      <c r="MIM2" s="352"/>
      <c r="MIN2" s="352"/>
      <c r="MIO2" s="352"/>
      <c r="MIP2" s="352"/>
      <c r="MIQ2" s="352"/>
      <c r="MIR2" s="352"/>
      <c r="MIS2" s="352"/>
      <c r="MIT2" s="352"/>
      <c r="MIU2" s="352"/>
      <c r="MIV2" s="352"/>
      <c r="MIW2" s="352"/>
      <c r="MIX2" s="352"/>
      <c r="MIY2" s="352"/>
      <c r="MIZ2" s="352"/>
      <c r="MJA2" s="352"/>
      <c r="MJB2" s="352"/>
      <c r="MJC2" s="352"/>
      <c r="MJD2" s="352"/>
      <c r="MJE2" s="352"/>
      <c r="MJF2" s="352"/>
      <c r="MJG2" s="352"/>
      <c r="MJH2" s="352"/>
      <c r="MJI2" s="352"/>
      <c r="MJJ2" s="352"/>
      <c r="MJK2" s="352"/>
      <c r="MJL2" s="352"/>
      <c r="MJM2" s="352"/>
      <c r="MJN2" s="352"/>
      <c r="MJO2" s="352"/>
      <c r="MJP2" s="352"/>
      <c r="MJQ2" s="352"/>
      <c r="MJR2" s="352"/>
      <c r="MJS2" s="352"/>
      <c r="MJT2" s="352"/>
      <c r="MJU2" s="352"/>
      <c r="MJV2" s="352"/>
      <c r="MJW2" s="352"/>
      <c r="MJX2" s="352"/>
      <c r="MJY2" s="352"/>
      <c r="MJZ2" s="352"/>
      <c r="MKA2" s="352"/>
      <c r="MKB2" s="352"/>
      <c r="MKC2" s="352"/>
      <c r="MKD2" s="352"/>
      <c r="MKE2" s="352"/>
      <c r="MKF2" s="352"/>
      <c r="MKG2" s="352"/>
      <c r="MKH2" s="352"/>
      <c r="MKI2" s="352"/>
      <c r="MKJ2" s="352"/>
      <c r="MKK2" s="352"/>
      <c r="MKL2" s="352"/>
      <c r="MKM2" s="352"/>
      <c r="MKN2" s="352"/>
      <c r="MKO2" s="352"/>
      <c r="MKP2" s="352"/>
      <c r="MKQ2" s="352"/>
      <c r="MKR2" s="352"/>
      <c r="MKS2" s="352"/>
      <c r="MKT2" s="352"/>
      <c r="MKU2" s="352"/>
      <c r="MKV2" s="352"/>
      <c r="MKW2" s="352"/>
      <c r="MKX2" s="352"/>
      <c r="MKY2" s="352"/>
      <c r="MKZ2" s="352"/>
      <c r="MLA2" s="352"/>
      <c r="MLB2" s="352"/>
      <c r="MLC2" s="352"/>
      <c r="MLD2" s="352"/>
      <c r="MLE2" s="352"/>
      <c r="MLF2" s="352"/>
      <c r="MLG2" s="352"/>
      <c r="MLH2" s="352"/>
      <c r="MLI2" s="352"/>
      <c r="MLJ2" s="352"/>
      <c r="MLK2" s="352"/>
      <c r="MLL2" s="352"/>
      <c r="MLM2" s="352"/>
      <c r="MLN2" s="352"/>
      <c r="MLO2" s="352"/>
      <c r="MLP2" s="352"/>
      <c r="MLQ2" s="352"/>
      <c r="MLR2" s="352"/>
      <c r="MLS2" s="352"/>
      <c r="MLT2" s="352"/>
      <c r="MLU2" s="352"/>
      <c r="MLV2" s="352"/>
      <c r="MLW2" s="352"/>
      <c r="MLX2" s="352"/>
      <c r="MLY2" s="352"/>
      <c r="MLZ2" s="352"/>
      <c r="MMA2" s="352"/>
      <c r="MMB2" s="352"/>
      <c r="MMC2" s="352"/>
      <c r="MMD2" s="352"/>
      <c r="MME2" s="352"/>
      <c r="MMF2" s="352"/>
      <c r="MMG2" s="352"/>
      <c r="MMH2" s="352"/>
      <c r="MMI2" s="352"/>
      <c r="MMJ2" s="352"/>
      <c r="MMK2" s="352"/>
      <c r="MML2" s="352"/>
      <c r="MMM2" s="352"/>
      <c r="MMN2" s="352"/>
      <c r="MMO2" s="352"/>
      <c r="MMP2" s="352"/>
      <c r="MMQ2" s="352"/>
      <c r="MMR2" s="352"/>
      <c r="MMS2" s="352"/>
      <c r="MMT2" s="352"/>
      <c r="MMU2" s="352"/>
      <c r="MMV2" s="352"/>
      <c r="MMW2" s="352"/>
      <c r="MMX2" s="352"/>
      <c r="MMY2" s="352"/>
      <c r="MMZ2" s="352"/>
      <c r="MNA2" s="352"/>
      <c r="MNB2" s="352"/>
      <c r="MNC2" s="352"/>
      <c r="MND2" s="352"/>
      <c r="MNE2" s="352"/>
      <c r="MNF2" s="352"/>
      <c r="MNG2" s="352"/>
      <c r="MNH2" s="352"/>
      <c r="MNI2" s="352"/>
      <c r="MNJ2" s="352"/>
      <c r="MNK2" s="352"/>
      <c r="MNL2" s="352"/>
      <c r="MNM2" s="352"/>
      <c r="MNN2" s="352"/>
      <c r="MNO2" s="352"/>
      <c r="MNP2" s="352"/>
      <c r="MNQ2" s="352"/>
      <c r="MNR2" s="352"/>
      <c r="MNS2" s="352"/>
      <c r="MNT2" s="352"/>
      <c r="MNU2" s="352"/>
      <c r="MNV2" s="352"/>
      <c r="MNW2" s="352"/>
      <c r="MNX2" s="352"/>
      <c r="MNY2" s="352"/>
      <c r="MNZ2" s="352"/>
      <c r="MOA2" s="352"/>
      <c r="MOB2" s="352"/>
      <c r="MOC2" s="352"/>
      <c r="MOD2" s="352"/>
      <c r="MOE2" s="352"/>
      <c r="MOF2" s="352"/>
      <c r="MOG2" s="352"/>
      <c r="MOH2" s="352"/>
      <c r="MOI2" s="352"/>
      <c r="MOJ2" s="352"/>
      <c r="MOK2" s="352"/>
      <c r="MOL2" s="352"/>
      <c r="MOM2" s="352"/>
      <c r="MON2" s="352"/>
      <c r="MOO2" s="352"/>
      <c r="MOP2" s="352"/>
      <c r="MOQ2" s="352"/>
      <c r="MOR2" s="352"/>
      <c r="MOS2" s="352"/>
      <c r="MOT2" s="352"/>
      <c r="MOU2" s="352"/>
      <c r="MOV2" s="352"/>
      <c r="MOW2" s="352"/>
      <c r="MOX2" s="352"/>
      <c r="MOY2" s="352"/>
      <c r="MOZ2" s="352"/>
      <c r="MPA2" s="352"/>
      <c r="MPB2" s="352"/>
      <c r="MPC2" s="352"/>
      <c r="MPD2" s="352"/>
      <c r="MPE2" s="352"/>
      <c r="MPF2" s="352"/>
      <c r="MPG2" s="352"/>
      <c r="MPH2" s="352"/>
      <c r="MPI2" s="352"/>
      <c r="MPJ2" s="352"/>
      <c r="MPK2" s="352"/>
      <c r="MPL2" s="352"/>
      <c r="MPM2" s="352"/>
      <c r="MPN2" s="352"/>
      <c r="MPO2" s="352"/>
      <c r="MPP2" s="352"/>
      <c r="MPQ2" s="352"/>
      <c r="MPR2" s="352"/>
      <c r="MPS2" s="352"/>
      <c r="MPT2" s="352"/>
      <c r="MPU2" s="352"/>
      <c r="MPV2" s="352"/>
      <c r="MPW2" s="352"/>
      <c r="MPX2" s="352"/>
      <c r="MPY2" s="352"/>
      <c r="MPZ2" s="352"/>
      <c r="MQA2" s="352"/>
      <c r="MQB2" s="352"/>
      <c r="MQC2" s="352"/>
      <c r="MQD2" s="352"/>
      <c r="MQE2" s="352"/>
      <c r="MQF2" s="352"/>
      <c r="MQG2" s="352"/>
      <c r="MQH2" s="352"/>
      <c r="MQI2" s="352"/>
      <c r="MQJ2" s="352"/>
      <c r="MQK2" s="352"/>
      <c r="MQL2" s="352"/>
      <c r="MQM2" s="352"/>
      <c r="MQN2" s="352"/>
      <c r="MQO2" s="352"/>
      <c r="MQP2" s="352"/>
      <c r="MQQ2" s="352"/>
      <c r="MQR2" s="352"/>
      <c r="MQS2" s="352"/>
      <c r="MQT2" s="352"/>
      <c r="MQU2" s="352"/>
      <c r="MQV2" s="352"/>
      <c r="MQW2" s="352"/>
      <c r="MQX2" s="352"/>
      <c r="MQY2" s="352"/>
      <c r="MQZ2" s="352"/>
      <c r="MRA2" s="352"/>
      <c r="MRB2" s="352"/>
      <c r="MRC2" s="352"/>
      <c r="MRD2" s="352"/>
      <c r="MRE2" s="352"/>
      <c r="MRF2" s="352"/>
      <c r="MRG2" s="352"/>
      <c r="MRH2" s="352"/>
      <c r="MRI2" s="352"/>
      <c r="MRJ2" s="352"/>
      <c r="MRK2" s="352"/>
      <c r="MRL2" s="352"/>
      <c r="MRM2" s="352"/>
      <c r="MRN2" s="352"/>
      <c r="MRO2" s="352"/>
      <c r="MRP2" s="352"/>
      <c r="MRQ2" s="352"/>
      <c r="MRR2" s="352"/>
      <c r="MRS2" s="352"/>
      <c r="MRT2" s="352"/>
      <c r="MRU2" s="352"/>
      <c r="MRV2" s="352"/>
      <c r="MRW2" s="352"/>
      <c r="MRX2" s="352"/>
      <c r="MRY2" s="352"/>
      <c r="MRZ2" s="352"/>
      <c r="MSA2" s="352"/>
      <c r="MSB2" s="352"/>
      <c r="MSC2" s="352"/>
      <c r="MSD2" s="352"/>
      <c r="MSE2" s="352"/>
      <c r="MSF2" s="352"/>
      <c r="MSG2" s="352"/>
      <c r="MSH2" s="352"/>
      <c r="MSI2" s="352"/>
      <c r="MSJ2" s="352"/>
      <c r="MSK2" s="352"/>
      <c r="MSL2" s="352"/>
      <c r="MSM2" s="352"/>
      <c r="MSN2" s="352"/>
      <c r="MSO2" s="352"/>
      <c r="MSP2" s="352"/>
      <c r="MSQ2" s="352"/>
      <c r="MSR2" s="352"/>
      <c r="MSS2" s="352"/>
      <c r="MST2" s="352"/>
      <c r="MSU2" s="352"/>
      <c r="MSV2" s="352"/>
      <c r="MSW2" s="352"/>
      <c r="MSX2" s="352"/>
      <c r="MSY2" s="352"/>
      <c r="MSZ2" s="352"/>
      <c r="MTA2" s="352"/>
      <c r="MTB2" s="352"/>
      <c r="MTC2" s="352"/>
      <c r="MTD2" s="352"/>
      <c r="MTE2" s="352"/>
      <c r="MTF2" s="352"/>
      <c r="MTG2" s="352"/>
      <c r="MTH2" s="352"/>
      <c r="MTI2" s="352"/>
      <c r="MTJ2" s="352"/>
      <c r="MTK2" s="352"/>
      <c r="MTL2" s="352"/>
      <c r="MTM2" s="352"/>
      <c r="MTN2" s="352"/>
      <c r="MTO2" s="352"/>
      <c r="MTP2" s="352"/>
      <c r="MTQ2" s="352"/>
      <c r="MTR2" s="352"/>
      <c r="MTS2" s="352"/>
      <c r="MTT2" s="352"/>
      <c r="MTU2" s="352"/>
      <c r="MTV2" s="352"/>
      <c r="MTW2" s="352"/>
      <c r="MTX2" s="352"/>
      <c r="MTY2" s="352"/>
      <c r="MTZ2" s="352"/>
      <c r="MUA2" s="352"/>
      <c r="MUB2" s="352"/>
      <c r="MUC2" s="352"/>
      <c r="MUD2" s="352"/>
      <c r="MUE2" s="352"/>
      <c r="MUF2" s="352"/>
      <c r="MUG2" s="352"/>
      <c r="MUH2" s="352"/>
      <c r="MUI2" s="352"/>
      <c r="MUJ2" s="352"/>
      <c r="MUK2" s="352"/>
      <c r="MUL2" s="352"/>
      <c r="MUM2" s="352"/>
      <c r="MUN2" s="352"/>
      <c r="MUO2" s="352"/>
      <c r="MUP2" s="352"/>
      <c r="MUQ2" s="352"/>
      <c r="MUR2" s="352"/>
      <c r="MUS2" s="352"/>
      <c r="MUT2" s="352"/>
      <c r="MUU2" s="352"/>
      <c r="MUV2" s="352"/>
      <c r="MUW2" s="352"/>
      <c r="MUX2" s="352"/>
      <c r="MUY2" s="352"/>
      <c r="MUZ2" s="352"/>
      <c r="MVA2" s="352"/>
      <c r="MVB2" s="352"/>
      <c r="MVC2" s="352"/>
      <c r="MVD2" s="352"/>
      <c r="MVE2" s="352"/>
      <c r="MVF2" s="352"/>
      <c r="MVG2" s="352"/>
      <c r="MVH2" s="352"/>
      <c r="MVI2" s="352"/>
      <c r="MVJ2" s="352"/>
      <c r="MVK2" s="352"/>
      <c r="MVL2" s="352"/>
      <c r="MVM2" s="352"/>
      <c r="MVN2" s="352"/>
      <c r="MVO2" s="352"/>
      <c r="MVP2" s="352"/>
      <c r="MVQ2" s="352"/>
      <c r="MVR2" s="352"/>
      <c r="MVS2" s="352"/>
      <c r="MVT2" s="352"/>
      <c r="MVU2" s="352"/>
      <c r="MVV2" s="352"/>
      <c r="MVW2" s="352"/>
      <c r="MVX2" s="352"/>
      <c r="MVY2" s="352"/>
      <c r="MVZ2" s="352"/>
      <c r="MWA2" s="352"/>
      <c r="MWB2" s="352"/>
      <c r="MWC2" s="352"/>
      <c r="MWD2" s="352"/>
      <c r="MWE2" s="352"/>
      <c r="MWF2" s="352"/>
      <c r="MWG2" s="352"/>
      <c r="MWH2" s="352"/>
      <c r="MWI2" s="352"/>
      <c r="MWJ2" s="352"/>
      <c r="MWK2" s="352"/>
      <c r="MWL2" s="352"/>
      <c r="MWM2" s="352"/>
      <c r="MWN2" s="352"/>
      <c r="MWO2" s="352"/>
      <c r="MWP2" s="352"/>
      <c r="MWQ2" s="352"/>
      <c r="MWR2" s="352"/>
      <c r="MWS2" s="352"/>
      <c r="MWT2" s="352"/>
      <c r="MWU2" s="352"/>
      <c r="MWV2" s="352"/>
      <c r="MWW2" s="352"/>
      <c r="MWX2" s="352"/>
      <c r="MWY2" s="352"/>
      <c r="MWZ2" s="352"/>
      <c r="MXA2" s="352"/>
      <c r="MXB2" s="352"/>
      <c r="MXC2" s="352"/>
      <c r="MXD2" s="352"/>
      <c r="MXE2" s="352"/>
      <c r="MXF2" s="352"/>
      <c r="MXG2" s="352"/>
      <c r="MXH2" s="352"/>
      <c r="MXI2" s="352"/>
      <c r="MXJ2" s="352"/>
      <c r="MXK2" s="352"/>
      <c r="MXL2" s="352"/>
      <c r="MXM2" s="352"/>
      <c r="MXN2" s="352"/>
      <c r="MXO2" s="352"/>
      <c r="MXP2" s="352"/>
      <c r="MXQ2" s="352"/>
      <c r="MXR2" s="352"/>
      <c r="MXS2" s="352"/>
      <c r="MXT2" s="352"/>
      <c r="MXU2" s="352"/>
      <c r="MXV2" s="352"/>
      <c r="MXW2" s="352"/>
      <c r="MXX2" s="352"/>
      <c r="MXY2" s="352"/>
      <c r="MXZ2" s="352"/>
      <c r="MYA2" s="352"/>
      <c r="MYB2" s="352"/>
      <c r="MYC2" s="352"/>
      <c r="MYD2" s="352"/>
      <c r="MYE2" s="352"/>
      <c r="MYF2" s="352"/>
      <c r="MYG2" s="352"/>
      <c r="MYH2" s="352"/>
      <c r="MYI2" s="352"/>
      <c r="MYJ2" s="352"/>
      <c r="MYK2" s="352"/>
      <c r="MYL2" s="352"/>
      <c r="MYM2" s="352"/>
      <c r="MYN2" s="352"/>
      <c r="MYO2" s="352"/>
      <c r="MYP2" s="352"/>
      <c r="MYQ2" s="352"/>
      <c r="MYR2" s="352"/>
      <c r="MYS2" s="352"/>
      <c r="MYT2" s="352"/>
      <c r="MYU2" s="352"/>
      <c r="MYV2" s="352"/>
      <c r="MYW2" s="352"/>
      <c r="MYX2" s="352"/>
      <c r="MYY2" s="352"/>
      <c r="MYZ2" s="352"/>
      <c r="MZA2" s="352"/>
      <c r="MZB2" s="352"/>
      <c r="MZC2" s="352"/>
      <c r="MZD2" s="352"/>
      <c r="MZE2" s="352"/>
      <c r="MZF2" s="352"/>
      <c r="MZG2" s="352"/>
      <c r="MZH2" s="352"/>
      <c r="MZI2" s="352"/>
      <c r="MZJ2" s="352"/>
      <c r="MZK2" s="352"/>
      <c r="MZL2" s="352"/>
      <c r="MZM2" s="352"/>
      <c r="MZN2" s="352"/>
      <c r="MZO2" s="352"/>
      <c r="MZP2" s="352"/>
      <c r="MZQ2" s="352"/>
      <c r="MZR2" s="352"/>
      <c r="MZS2" s="352"/>
      <c r="MZT2" s="352"/>
      <c r="MZU2" s="352"/>
      <c r="MZV2" s="352"/>
      <c r="MZW2" s="352"/>
      <c r="MZX2" s="352"/>
      <c r="MZY2" s="352"/>
      <c r="MZZ2" s="352"/>
      <c r="NAA2" s="352"/>
      <c r="NAB2" s="352"/>
      <c r="NAC2" s="352"/>
      <c r="NAD2" s="352"/>
      <c r="NAE2" s="352"/>
      <c r="NAF2" s="352"/>
      <c r="NAG2" s="352"/>
      <c r="NAH2" s="352"/>
      <c r="NAI2" s="352"/>
      <c r="NAJ2" s="352"/>
      <c r="NAK2" s="352"/>
      <c r="NAL2" s="352"/>
      <c r="NAM2" s="352"/>
      <c r="NAN2" s="352"/>
      <c r="NAO2" s="352"/>
      <c r="NAP2" s="352"/>
      <c r="NAQ2" s="352"/>
      <c r="NAR2" s="352"/>
      <c r="NAS2" s="352"/>
      <c r="NAT2" s="352"/>
      <c r="NAU2" s="352"/>
      <c r="NAV2" s="352"/>
      <c r="NAW2" s="352"/>
      <c r="NAX2" s="352"/>
      <c r="NAY2" s="352"/>
      <c r="NAZ2" s="352"/>
      <c r="NBA2" s="352"/>
      <c r="NBB2" s="352"/>
      <c r="NBC2" s="352"/>
      <c r="NBD2" s="352"/>
      <c r="NBE2" s="352"/>
      <c r="NBF2" s="352"/>
      <c r="NBG2" s="352"/>
      <c r="NBH2" s="352"/>
      <c r="NBI2" s="352"/>
      <c r="NBJ2" s="352"/>
      <c r="NBK2" s="352"/>
      <c r="NBL2" s="352"/>
      <c r="NBM2" s="352"/>
      <c r="NBN2" s="352"/>
      <c r="NBO2" s="352"/>
      <c r="NBP2" s="352"/>
      <c r="NBQ2" s="352"/>
      <c r="NBR2" s="352"/>
      <c r="NBS2" s="352"/>
      <c r="NBT2" s="352"/>
      <c r="NBU2" s="352"/>
      <c r="NBV2" s="352"/>
      <c r="NBW2" s="352"/>
      <c r="NBX2" s="352"/>
      <c r="NBY2" s="352"/>
      <c r="NBZ2" s="352"/>
      <c r="NCA2" s="352"/>
      <c r="NCB2" s="352"/>
      <c r="NCC2" s="352"/>
      <c r="NCD2" s="352"/>
      <c r="NCE2" s="352"/>
      <c r="NCF2" s="352"/>
      <c r="NCG2" s="352"/>
      <c r="NCH2" s="352"/>
      <c r="NCI2" s="352"/>
      <c r="NCJ2" s="352"/>
      <c r="NCK2" s="352"/>
      <c r="NCL2" s="352"/>
      <c r="NCM2" s="352"/>
      <c r="NCN2" s="352"/>
      <c r="NCO2" s="352"/>
      <c r="NCP2" s="352"/>
      <c r="NCQ2" s="352"/>
      <c r="NCR2" s="352"/>
      <c r="NCS2" s="352"/>
      <c r="NCT2" s="352"/>
      <c r="NCU2" s="352"/>
      <c r="NCV2" s="352"/>
      <c r="NCW2" s="352"/>
      <c r="NCX2" s="352"/>
      <c r="NCY2" s="352"/>
      <c r="NCZ2" s="352"/>
      <c r="NDA2" s="352"/>
      <c r="NDB2" s="352"/>
      <c r="NDC2" s="352"/>
      <c r="NDD2" s="352"/>
      <c r="NDE2" s="352"/>
      <c r="NDF2" s="352"/>
      <c r="NDG2" s="352"/>
      <c r="NDH2" s="352"/>
      <c r="NDI2" s="352"/>
      <c r="NDJ2" s="352"/>
      <c r="NDK2" s="352"/>
      <c r="NDL2" s="352"/>
      <c r="NDM2" s="352"/>
      <c r="NDN2" s="352"/>
      <c r="NDO2" s="352"/>
      <c r="NDP2" s="352"/>
      <c r="NDQ2" s="352"/>
      <c r="NDR2" s="352"/>
      <c r="NDS2" s="352"/>
      <c r="NDT2" s="352"/>
      <c r="NDU2" s="352"/>
      <c r="NDV2" s="352"/>
      <c r="NDW2" s="352"/>
      <c r="NDX2" s="352"/>
      <c r="NDY2" s="352"/>
      <c r="NDZ2" s="352"/>
      <c r="NEA2" s="352"/>
      <c r="NEB2" s="352"/>
      <c r="NEC2" s="352"/>
      <c r="NED2" s="352"/>
      <c r="NEE2" s="352"/>
      <c r="NEF2" s="352"/>
      <c r="NEG2" s="352"/>
      <c r="NEH2" s="352"/>
      <c r="NEI2" s="352"/>
      <c r="NEJ2" s="352"/>
      <c r="NEK2" s="352"/>
      <c r="NEL2" s="352"/>
      <c r="NEM2" s="352"/>
      <c r="NEN2" s="352"/>
      <c r="NEO2" s="352"/>
      <c r="NEP2" s="352"/>
      <c r="NEQ2" s="352"/>
      <c r="NER2" s="352"/>
      <c r="NES2" s="352"/>
      <c r="NET2" s="352"/>
      <c r="NEU2" s="352"/>
      <c r="NEV2" s="352"/>
      <c r="NEW2" s="352"/>
      <c r="NEX2" s="352"/>
      <c r="NEY2" s="352"/>
      <c r="NEZ2" s="352"/>
      <c r="NFA2" s="352"/>
      <c r="NFB2" s="352"/>
      <c r="NFC2" s="352"/>
      <c r="NFD2" s="352"/>
      <c r="NFE2" s="352"/>
      <c r="NFF2" s="352"/>
      <c r="NFG2" s="352"/>
      <c r="NFH2" s="352"/>
      <c r="NFI2" s="352"/>
      <c r="NFJ2" s="352"/>
      <c r="NFK2" s="352"/>
      <c r="NFL2" s="352"/>
      <c r="NFM2" s="352"/>
      <c r="NFN2" s="352"/>
      <c r="NFO2" s="352"/>
      <c r="NFP2" s="352"/>
      <c r="NFQ2" s="352"/>
      <c r="NFR2" s="352"/>
      <c r="NFS2" s="352"/>
      <c r="NFT2" s="352"/>
      <c r="NFU2" s="352"/>
      <c r="NFV2" s="352"/>
      <c r="NFW2" s="352"/>
      <c r="NFX2" s="352"/>
      <c r="NFY2" s="352"/>
      <c r="NFZ2" s="352"/>
      <c r="NGA2" s="352"/>
      <c r="NGB2" s="352"/>
      <c r="NGC2" s="352"/>
      <c r="NGD2" s="352"/>
      <c r="NGE2" s="352"/>
      <c r="NGF2" s="352"/>
      <c r="NGG2" s="352"/>
      <c r="NGH2" s="352"/>
      <c r="NGI2" s="352"/>
      <c r="NGJ2" s="352"/>
      <c r="NGK2" s="352"/>
      <c r="NGL2" s="352"/>
      <c r="NGM2" s="352"/>
      <c r="NGN2" s="352"/>
      <c r="NGO2" s="352"/>
      <c r="NGP2" s="352"/>
      <c r="NGQ2" s="352"/>
      <c r="NGR2" s="352"/>
      <c r="NGS2" s="352"/>
      <c r="NGT2" s="352"/>
      <c r="NGU2" s="352"/>
      <c r="NGV2" s="352"/>
      <c r="NGW2" s="352"/>
      <c r="NGX2" s="352"/>
      <c r="NGY2" s="352"/>
      <c r="NGZ2" s="352"/>
      <c r="NHA2" s="352"/>
      <c r="NHB2" s="352"/>
      <c r="NHC2" s="352"/>
      <c r="NHD2" s="352"/>
      <c r="NHE2" s="352"/>
      <c r="NHF2" s="352"/>
      <c r="NHG2" s="352"/>
      <c r="NHH2" s="352"/>
      <c r="NHI2" s="352"/>
      <c r="NHJ2" s="352"/>
      <c r="NHK2" s="352"/>
      <c r="NHL2" s="352"/>
      <c r="NHM2" s="352"/>
      <c r="NHN2" s="352"/>
      <c r="NHO2" s="352"/>
      <c r="NHP2" s="352"/>
      <c r="NHQ2" s="352"/>
      <c r="NHR2" s="352"/>
      <c r="NHS2" s="352"/>
      <c r="NHT2" s="352"/>
      <c r="NHU2" s="352"/>
      <c r="NHV2" s="352"/>
      <c r="NHW2" s="352"/>
      <c r="NHX2" s="352"/>
      <c r="NHY2" s="352"/>
      <c r="NHZ2" s="352"/>
      <c r="NIA2" s="352"/>
      <c r="NIB2" s="352"/>
      <c r="NIC2" s="352"/>
      <c r="NID2" s="352"/>
      <c r="NIE2" s="352"/>
      <c r="NIF2" s="352"/>
      <c r="NIG2" s="352"/>
      <c r="NIH2" s="352"/>
      <c r="NII2" s="352"/>
      <c r="NIJ2" s="352"/>
      <c r="NIK2" s="352"/>
      <c r="NIL2" s="352"/>
      <c r="NIM2" s="352"/>
      <c r="NIN2" s="352"/>
      <c r="NIO2" s="352"/>
      <c r="NIP2" s="352"/>
      <c r="NIQ2" s="352"/>
      <c r="NIR2" s="352"/>
      <c r="NIS2" s="352"/>
      <c r="NIT2" s="352"/>
      <c r="NIU2" s="352"/>
      <c r="NIV2" s="352"/>
      <c r="NIW2" s="352"/>
      <c r="NIX2" s="352"/>
      <c r="NIY2" s="352"/>
      <c r="NIZ2" s="352"/>
      <c r="NJA2" s="352"/>
      <c r="NJB2" s="352"/>
      <c r="NJC2" s="352"/>
      <c r="NJD2" s="352"/>
      <c r="NJE2" s="352"/>
      <c r="NJF2" s="352"/>
      <c r="NJG2" s="352"/>
      <c r="NJH2" s="352"/>
      <c r="NJI2" s="352"/>
      <c r="NJJ2" s="352"/>
      <c r="NJK2" s="352"/>
      <c r="NJL2" s="352"/>
      <c r="NJM2" s="352"/>
      <c r="NJN2" s="352"/>
      <c r="NJO2" s="352"/>
      <c r="NJP2" s="352"/>
      <c r="NJQ2" s="352"/>
      <c r="NJR2" s="352"/>
      <c r="NJS2" s="352"/>
      <c r="NJT2" s="352"/>
      <c r="NJU2" s="352"/>
      <c r="NJV2" s="352"/>
      <c r="NJW2" s="352"/>
      <c r="NJX2" s="352"/>
      <c r="NJY2" s="352"/>
      <c r="NJZ2" s="352"/>
      <c r="NKA2" s="352"/>
      <c r="NKB2" s="352"/>
      <c r="NKC2" s="352"/>
      <c r="NKD2" s="352"/>
      <c r="NKE2" s="352"/>
      <c r="NKF2" s="352"/>
      <c r="NKG2" s="352"/>
      <c r="NKH2" s="352"/>
      <c r="NKI2" s="352"/>
      <c r="NKJ2" s="352"/>
      <c r="NKK2" s="352"/>
      <c r="NKL2" s="352"/>
      <c r="NKM2" s="352"/>
      <c r="NKN2" s="352"/>
      <c r="NKO2" s="352"/>
      <c r="NKP2" s="352"/>
      <c r="NKQ2" s="352"/>
      <c r="NKR2" s="352"/>
      <c r="NKS2" s="352"/>
      <c r="NKT2" s="352"/>
      <c r="NKU2" s="352"/>
      <c r="NKV2" s="352"/>
      <c r="NKW2" s="352"/>
      <c r="NKX2" s="352"/>
      <c r="NKY2" s="352"/>
      <c r="NKZ2" s="352"/>
      <c r="NLA2" s="352"/>
      <c r="NLB2" s="352"/>
      <c r="NLC2" s="352"/>
      <c r="NLD2" s="352"/>
      <c r="NLE2" s="352"/>
      <c r="NLF2" s="352"/>
      <c r="NLG2" s="352"/>
      <c r="NLH2" s="352"/>
      <c r="NLI2" s="352"/>
      <c r="NLJ2" s="352"/>
      <c r="NLK2" s="352"/>
      <c r="NLL2" s="352"/>
      <c r="NLM2" s="352"/>
      <c r="NLN2" s="352"/>
      <c r="NLO2" s="352"/>
      <c r="NLP2" s="352"/>
      <c r="NLQ2" s="352"/>
      <c r="NLR2" s="352"/>
      <c r="NLS2" s="352"/>
      <c r="NLT2" s="352"/>
      <c r="NLU2" s="352"/>
      <c r="NLV2" s="352"/>
      <c r="NLW2" s="352"/>
      <c r="NLX2" s="352"/>
      <c r="NLY2" s="352"/>
      <c r="NLZ2" s="352"/>
      <c r="NMA2" s="352"/>
      <c r="NMB2" s="352"/>
      <c r="NMC2" s="352"/>
      <c r="NMD2" s="352"/>
      <c r="NME2" s="352"/>
      <c r="NMF2" s="352"/>
      <c r="NMG2" s="352"/>
      <c r="NMH2" s="352"/>
      <c r="NMI2" s="352"/>
      <c r="NMJ2" s="352"/>
      <c r="NMK2" s="352"/>
      <c r="NML2" s="352"/>
      <c r="NMM2" s="352"/>
      <c r="NMN2" s="352"/>
      <c r="NMO2" s="352"/>
      <c r="NMP2" s="352"/>
      <c r="NMQ2" s="352"/>
      <c r="NMR2" s="352"/>
      <c r="NMS2" s="352"/>
      <c r="NMT2" s="352"/>
      <c r="NMU2" s="352"/>
      <c r="NMV2" s="352"/>
      <c r="NMW2" s="352"/>
      <c r="NMX2" s="352"/>
      <c r="NMY2" s="352"/>
      <c r="NMZ2" s="352"/>
      <c r="NNA2" s="352"/>
      <c r="NNB2" s="352"/>
      <c r="NNC2" s="352"/>
      <c r="NND2" s="352"/>
      <c r="NNE2" s="352"/>
      <c r="NNF2" s="352"/>
      <c r="NNG2" s="352"/>
      <c r="NNH2" s="352"/>
      <c r="NNI2" s="352"/>
      <c r="NNJ2" s="352"/>
      <c r="NNK2" s="352"/>
      <c r="NNL2" s="352"/>
      <c r="NNM2" s="352"/>
      <c r="NNN2" s="352"/>
      <c r="NNO2" s="352"/>
      <c r="NNP2" s="352"/>
      <c r="NNQ2" s="352"/>
      <c r="NNR2" s="352"/>
      <c r="NNS2" s="352"/>
      <c r="NNT2" s="352"/>
      <c r="NNU2" s="352"/>
      <c r="NNV2" s="352"/>
      <c r="NNW2" s="352"/>
      <c r="NNX2" s="352"/>
      <c r="NNY2" s="352"/>
      <c r="NNZ2" s="352"/>
      <c r="NOA2" s="352"/>
      <c r="NOB2" s="352"/>
      <c r="NOC2" s="352"/>
      <c r="NOD2" s="352"/>
      <c r="NOE2" s="352"/>
      <c r="NOF2" s="352"/>
      <c r="NOG2" s="352"/>
      <c r="NOH2" s="352"/>
      <c r="NOI2" s="352"/>
      <c r="NOJ2" s="352"/>
      <c r="NOK2" s="352"/>
      <c r="NOL2" s="352"/>
      <c r="NOM2" s="352"/>
      <c r="NON2" s="352"/>
      <c r="NOO2" s="352"/>
      <c r="NOP2" s="352"/>
      <c r="NOQ2" s="352"/>
      <c r="NOR2" s="352"/>
      <c r="NOS2" s="352"/>
      <c r="NOT2" s="352"/>
      <c r="NOU2" s="352"/>
      <c r="NOV2" s="352"/>
      <c r="NOW2" s="352"/>
      <c r="NOX2" s="352"/>
      <c r="NOY2" s="352"/>
      <c r="NOZ2" s="352"/>
      <c r="NPA2" s="352"/>
      <c r="NPB2" s="352"/>
      <c r="NPC2" s="352"/>
      <c r="NPD2" s="352"/>
      <c r="NPE2" s="352"/>
      <c r="NPF2" s="352"/>
      <c r="NPG2" s="352"/>
      <c r="NPH2" s="352"/>
      <c r="NPI2" s="352"/>
      <c r="NPJ2" s="352"/>
      <c r="NPK2" s="352"/>
      <c r="NPL2" s="352"/>
      <c r="NPM2" s="352"/>
      <c r="NPN2" s="352"/>
      <c r="NPO2" s="352"/>
      <c r="NPP2" s="352"/>
      <c r="NPQ2" s="352"/>
      <c r="NPR2" s="352"/>
      <c r="NPS2" s="352"/>
      <c r="NPT2" s="352"/>
      <c r="NPU2" s="352"/>
      <c r="NPV2" s="352"/>
      <c r="NPW2" s="352"/>
      <c r="NPX2" s="352"/>
      <c r="NPY2" s="352"/>
      <c r="NPZ2" s="352"/>
      <c r="NQA2" s="352"/>
      <c r="NQB2" s="352"/>
      <c r="NQC2" s="352"/>
      <c r="NQD2" s="352"/>
      <c r="NQE2" s="352"/>
      <c r="NQF2" s="352"/>
      <c r="NQG2" s="352"/>
      <c r="NQH2" s="352"/>
      <c r="NQI2" s="352"/>
      <c r="NQJ2" s="352"/>
      <c r="NQK2" s="352"/>
      <c r="NQL2" s="352"/>
      <c r="NQM2" s="352"/>
      <c r="NQN2" s="352"/>
      <c r="NQO2" s="352"/>
      <c r="NQP2" s="352"/>
      <c r="NQQ2" s="352"/>
      <c r="NQR2" s="352"/>
      <c r="NQS2" s="352"/>
      <c r="NQT2" s="352"/>
      <c r="NQU2" s="352"/>
      <c r="NQV2" s="352"/>
      <c r="NQW2" s="352"/>
      <c r="NQX2" s="352"/>
      <c r="NQY2" s="352"/>
      <c r="NQZ2" s="352"/>
      <c r="NRA2" s="352"/>
      <c r="NRB2" s="352"/>
      <c r="NRC2" s="352"/>
      <c r="NRD2" s="352"/>
      <c r="NRE2" s="352"/>
      <c r="NRF2" s="352"/>
      <c r="NRG2" s="352"/>
      <c r="NRH2" s="352"/>
      <c r="NRI2" s="352"/>
      <c r="NRJ2" s="352"/>
      <c r="NRK2" s="352"/>
      <c r="NRL2" s="352"/>
      <c r="NRM2" s="352"/>
      <c r="NRN2" s="352"/>
      <c r="NRO2" s="352"/>
      <c r="NRP2" s="352"/>
      <c r="NRQ2" s="352"/>
      <c r="NRR2" s="352"/>
      <c r="NRS2" s="352"/>
      <c r="NRT2" s="352"/>
      <c r="NRU2" s="352"/>
      <c r="NRV2" s="352"/>
      <c r="NRW2" s="352"/>
      <c r="NRX2" s="352"/>
      <c r="NRY2" s="352"/>
      <c r="NRZ2" s="352"/>
      <c r="NSA2" s="352"/>
      <c r="NSB2" s="352"/>
      <c r="NSC2" s="352"/>
      <c r="NSD2" s="352"/>
      <c r="NSE2" s="352"/>
      <c r="NSF2" s="352"/>
      <c r="NSG2" s="352"/>
      <c r="NSH2" s="352"/>
      <c r="NSI2" s="352"/>
      <c r="NSJ2" s="352"/>
      <c r="NSK2" s="352"/>
      <c r="NSL2" s="352"/>
      <c r="NSM2" s="352"/>
      <c r="NSN2" s="352"/>
      <c r="NSO2" s="352"/>
      <c r="NSP2" s="352"/>
      <c r="NSQ2" s="352"/>
      <c r="NSR2" s="352"/>
      <c r="NSS2" s="352"/>
      <c r="NST2" s="352"/>
      <c r="NSU2" s="352"/>
      <c r="NSV2" s="352"/>
      <c r="NSW2" s="352"/>
      <c r="NSX2" s="352"/>
      <c r="NSY2" s="352"/>
      <c r="NSZ2" s="352"/>
      <c r="NTA2" s="352"/>
      <c r="NTB2" s="352"/>
      <c r="NTC2" s="352"/>
      <c r="NTD2" s="352"/>
      <c r="NTE2" s="352"/>
      <c r="NTF2" s="352"/>
      <c r="NTG2" s="352"/>
      <c r="NTH2" s="352"/>
      <c r="NTI2" s="352"/>
      <c r="NTJ2" s="352"/>
      <c r="NTK2" s="352"/>
      <c r="NTL2" s="352"/>
      <c r="NTM2" s="352"/>
      <c r="NTN2" s="352"/>
      <c r="NTO2" s="352"/>
      <c r="NTP2" s="352"/>
      <c r="NTQ2" s="352"/>
      <c r="NTR2" s="352"/>
      <c r="NTS2" s="352"/>
      <c r="NTT2" s="352"/>
      <c r="NTU2" s="352"/>
      <c r="NTV2" s="352"/>
      <c r="NTW2" s="352"/>
      <c r="NTX2" s="352"/>
      <c r="NTY2" s="352"/>
      <c r="NTZ2" s="352"/>
      <c r="NUA2" s="352"/>
      <c r="NUB2" s="352"/>
      <c r="NUC2" s="352"/>
      <c r="NUD2" s="352"/>
      <c r="NUE2" s="352"/>
      <c r="NUF2" s="352"/>
      <c r="NUG2" s="352"/>
      <c r="NUH2" s="352"/>
      <c r="NUI2" s="352"/>
      <c r="NUJ2" s="352"/>
      <c r="NUK2" s="352"/>
      <c r="NUL2" s="352"/>
      <c r="NUM2" s="352"/>
      <c r="NUN2" s="352"/>
      <c r="NUO2" s="352"/>
      <c r="NUP2" s="352"/>
      <c r="NUQ2" s="352"/>
      <c r="NUR2" s="352"/>
      <c r="NUS2" s="352"/>
      <c r="NUT2" s="352"/>
      <c r="NUU2" s="352"/>
      <c r="NUV2" s="352"/>
      <c r="NUW2" s="352"/>
      <c r="NUX2" s="352"/>
      <c r="NUY2" s="352"/>
      <c r="NUZ2" s="352"/>
      <c r="NVA2" s="352"/>
      <c r="NVB2" s="352"/>
      <c r="NVC2" s="352"/>
      <c r="NVD2" s="352"/>
      <c r="NVE2" s="352"/>
      <c r="NVF2" s="352"/>
      <c r="NVG2" s="352"/>
      <c r="NVH2" s="352"/>
      <c r="NVI2" s="352"/>
      <c r="NVJ2" s="352"/>
      <c r="NVK2" s="352"/>
      <c r="NVL2" s="352"/>
      <c r="NVM2" s="352"/>
      <c r="NVN2" s="352"/>
      <c r="NVO2" s="352"/>
      <c r="NVP2" s="352"/>
      <c r="NVQ2" s="352"/>
      <c r="NVR2" s="352"/>
      <c r="NVS2" s="352"/>
      <c r="NVT2" s="352"/>
      <c r="NVU2" s="352"/>
      <c r="NVV2" s="352"/>
      <c r="NVW2" s="352"/>
      <c r="NVX2" s="352"/>
      <c r="NVY2" s="352"/>
      <c r="NVZ2" s="352"/>
      <c r="NWA2" s="352"/>
      <c r="NWB2" s="352"/>
      <c r="NWC2" s="352"/>
      <c r="NWD2" s="352"/>
      <c r="NWE2" s="352"/>
      <c r="NWF2" s="352"/>
      <c r="NWG2" s="352"/>
      <c r="NWH2" s="352"/>
      <c r="NWI2" s="352"/>
      <c r="NWJ2" s="352"/>
      <c r="NWK2" s="352"/>
      <c r="NWL2" s="352"/>
      <c r="NWM2" s="352"/>
      <c r="NWN2" s="352"/>
      <c r="NWO2" s="352"/>
      <c r="NWP2" s="352"/>
      <c r="NWQ2" s="352"/>
      <c r="NWR2" s="352"/>
      <c r="NWS2" s="352"/>
      <c r="NWT2" s="352"/>
      <c r="NWU2" s="352"/>
      <c r="NWV2" s="352"/>
      <c r="NWW2" s="352"/>
      <c r="NWX2" s="352"/>
      <c r="NWY2" s="352"/>
      <c r="NWZ2" s="352"/>
      <c r="NXA2" s="352"/>
      <c r="NXB2" s="352"/>
      <c r="NXC2" s="352"/>
      <c r="NXD2" s="352"/>
      <c r="NXE2" s="352"/>
      <c r="NXF2" s="352"/>
      <c r="NXG2" s="352"/>
      <c r="NXH2" s="352"/>
      <c r="NXI2" s="352"/>
      <c r="NXJ2" s="352"/>
      <c r="NXK2" s="352"/>
      <c r="NXL2" s="352"/>
      <c r="NXM2" s="352"/>
      <c r="NXN2" s="352"/>
      <c r="NXO2" s="352"/>
      <c r="NXP2" s="352"/>
      <c r="NXQ2" s="352"/>
      <c r="NXR2" s="352"/>
      <c r="NXS2" s="352"/>
      <c r="NXT2" s="352"/>
      <c r="NXU2" s="352"/>
      <c r="NXV2" s="352"/>
      <c r="NXW2" s="352"/>
      <c r="NXX2" s="352"/>
      <c r="NXY2" s="352"/>
      <c r="NXZ2" s="352"/>
      <c r="NYA2" s="352"/>
      <c r="NYB2" s="352"/>
      <c r="NYC2" s="352"/>
      <c r="NYD2" s="352"/>
      <c r="NYE2" s="352"/>
      <c r="NYF2" s="352"/>
      <c r="NYG2" s="352"/>
      <c r="NYH2" s="352"/>
      <c r="NYI2" s="352"/>
      <c r="NYJ2" s="352"/>
      <c r="NYK2" s="352"/>
      <c r="NYL2" s="352"/>
      <c r="NYM2" s="352"/>
      <c r="NYN2" s="352"/>
      <c r="NYO2" s="352"/>
      <c r="NYP2" s="352"/>
      <c r="NYQ2" s="352"/>
      <c r="NYR2" s="352"/>
      <c r="NYS2" s="352"/>
      <c r="NYT2" s="352"/>
      <c r="NYU2" s="352"/>
      <c r="NYV2" s="352"/>
      <c r="NYW2" s="352"/>
      <c r="NYX2" s="352"/>
      <c r="NYY2" s="352"/>
      <c r="NYZ2" s="352"/>
      <c r="NZA2" s="352"/>
      <c r="NZB2" s="352"/>
      <c r="NZC2" s="352"/>
      <c r="NZD2" s="352"/>
      <c r="NZE2" s="352"/>
      <c r="NZF2" s="352"/>
      <c r="NZG2" s="352"/>
      <c r="NZH2" s="352"/>
      <c r="NZI2" s="352"/>
      <c r="NZJ2" s="352"/>
      <c r="NZK2" s="352"/>
      <c r="NZL2" s="352"/>
      <c r="NZM2" s="352"/>
      <c r="NZN2" s="352"/>
      <c r="NZO2" s="352"/>
      <c r="NZP2" s="352"/>
      <c r="NZQ2" s="352"/>
      <c r="NZR2" s="352"/>
      <c r="NZS2" s="352"/>
      <c r="NZT2" s="352"/>
      <c r="NZU2" s="352"/>
      <c r="NZV2" s="352"/>
      <c r="NZW2" s="352"/>
      <c r="NZX2" s="352"/>
      <c r="NZY2" s="352"/>
      <c r="NZZ2" s="352"/>
      <c r="OAA2" s="352"/>
      <c r="OAB2" s="352"/>
      <c r="OAC2" s="352"/>
      <c r="OAD2" s="352"/>
      <c r="OAE2" s="352"/>
      <c r="OAF2" s="352"/>
      <c r="OAG2" s="352"/>
      <c r="OAH2" s="352"/>
      <c r="OAI2" s="352"/>
      <c r="OAJ2" s="352"/>
      <c r="OAK2" s="352"/>
      <c r="OAL2" s="352"/>
      <c r="OAM2" s="352"/>
      <c r="OAN2" s="352"/>
      <c r="OAO2" s="352"/>
      <c r="OAP2" s="352"/>
      <c r="OAQ2" s="352"/>
      <c r="OAR2" s="352"/>
      <c r="OAS2" s="352"/>
      <c r="OAT2" s="352"/>
      <c r="OAU2" s="352"/>
      <c r="OAV2" s="352"/>
      <c r="OAW2" s="352"/>
      <c r="OAX2" s="352"/>
      <c r="OAY2" s="352"/>
      <c r="OAZ2" s="352"/>
      <c r="OBA2" s="352"/>
      <c r="OBB2" s="352"/>
      <c r="OBC2" s="352"/>
      <c r="OBD2" s="352"/>
      <c r="OBE2" s="352"/>
      <c r="OBF2" s="352"/>
      <c r="OBG2" s="352"/>
      <c r="OBH2" s="352"/>
      <c r="OBI2" s="352"/>
      <c r="OBJ2" s="352"/>
      <c r="OBK2" s="352"/>
      <c r="OBL2" s="352"/>
      <c r="OBM2" s="352"/>
      <c r="OBN2" s="352"/>
      <c r="OBO2" s="352"/>
      <c r="OBP2" s="352"/>
      <c r="OBQ2" s="352"/>
      <c r="OBR2" s="352"/>
      <c r="OBS2" s="352"/>
      <c r="OBT2" s="352"/>
      <c r="OBU2" s="352"/>
      <c r="OBV2" s="352"/>
      <c r="OBW2" s="352"/>
      <c r="OBX2" s="352"/>
      <c r="OBY2" s="352"/>
      <c r="OBZ2" s="352"/>
      <c r="OCA2" s="352"/>
      <c r="OCB2" s="352"/>
      <c r="OCC2" s="352"/>
      <c r="OCD2" s="352"/>
      <c r="OCE2" s="352"/>
      <c r="OCF2" s="352"/>
      <c r="OCG2" s="352"/>
      <c r="OCH2" s="352"/>
      <c r="OCI2" s="352"/>
      <c r="OCJ2" s="352"/>
      <c r="OCK2" s="352"/>
      <c r="OCL2" s="352"/>
      <c r="OCM2" s="352"/>
      <c r="OCN2" s="352"/>
      <c r="OCO2" s="352"/>
      <c r="OCP2" s="352"/>
      <c r="OCQ2" s="352"/>
      <c r="OCR2" s="352"/>
      <c r="OCS2" s="352"/>
      <c r="OCT2" s="352"/>
      <c r="OCU2" s="352"/>
      <c r="OCV2" s="352"/>
      <c r="OCW2" s="352"/>
      <c r="OCX2" s="352"/>
      <c r="OCY2" s="352"/>
      <c r="OCZ2" s="352"/>
      <c r="ODA2" s="352"/>
      <c r="ODB2" s="352"/>
      <c r="ODC2" s="352"/>
      <c r="ODD2" s="352"/>
      <c r="ODE2" s="352"/>
      <c r="ODF2" s="352"/>
      <c r="ODG2" s="352"/>
      <c r="ODH2" s="352"/>
      <c r="ODI2" s="352"/>
      <c r="ODJ2" s="352"/>
      <c r="ODK2" s="352"/>
      <c r="ODL2" s="352"/>
      <c r="ODM2" s="352"/>
      <c r="ODN2" s="352"/>
      <c r="ODO2" s="352"/>
      <c r="ODP2" s="352"/>
      <c r="ODQ2" s="352"/>
      <c r="ODR2" s="352"/>
      <c r="ODS2" s="352"/>
      <c r="ODT2" s="352"/>
      <c r="ODU2" s="352"/>
      <c r="ODV2" s="352"/>
      <c r="ODW2" s="352"/>
      <c r="ODX2" s="352"/>
      <c r="ODY2" s="352"/>
      <c r="ODZ2" s="352"/>
      <c r="OEA2" s="352"/>
      <c r="OEB2" s="352"/>
      <c r="OEC2" s="352"/>
      <c r="OED2" s="352"/>
      <c r="OEE2" s="352"/>
      <c r="OEF2" s="352"/>
      <c r="OEG2" s="352"/>
      <c r="OEH2" s="352"/>
      <c r="OEI2" s="352"/>
      <c r="OEJ2" s="352"/>
      <c r="OEK2" s="352"/>
      <c r="OEL2" s="352"/>
      <c r="OEM2" s="352"/>
      <c r="OEN2" s="352"/>
      <c r="OEO2" s="352"/>
      <c r="OEP2" s="352"/>
      <c r="OEQ2" s="352"/>
      <c r="OER2" s="352"/>
      <c r="OES2" s="352"/>
      <c r="OET2" s="352"/>
      <c r="OEU2" s="352"/>
      <c r="OEV2" s="352"/>
      <c r="OEW2" s="352"/>
      <c r="OEX2" s="352"/>
      <c r="OEY2" s="352"/>
      <c r="OEZ2" s="352"/>
      <c r="OFA2" s="352"/>
      <c r="OFB2" s="352"/>
      <c r="OFC2" s="352"/>
      <c r="OFD2" s="352"/>
      <c r="OFE2" s="352"/>
      <c r="OFF2" s="352"/>
      <c r="OFG2" s="352"/>
      <c r="OFH2" s="352"/>
      <c r="OFI2" s="352"/>
      <c r="OFJ2" s="352"/>
      <c r="OFK2" s="352"/>
      <c r="OFL2" s="352"/>
      <c r="OFM2" s="352"/>
      <c r="OFN2" s="352"/>
      <c r="OFO2" s="352"/>
      <c r="OFP2" s="352"/>
      <c r="OFQ2" s="352"/>
      <c r="OFR2" s="352"/>
      <c r="OFS2" s="352"/>
      <c r="OFT2" s="352"/>
      <c r="OFU2" s="352"/>
      <c r="OFV2" s="352"/>
      <c r="OFW2" s="352"/>
      <c r="OFX2" s="352"/>
      <c r="OFY2" s="352"/>
      <c r="OFZ2" s="352"/>
      <c r="OGA2" s="352"/>
      <c r="OGB2" s="352"/>
      <c r="OGC2" s="352"/>
      <c r="OGD2" s="352"/>
      <c r="OGE2" s="352"/>
      <c r="OGF2" s="352"/>
      <c r="OGG2" s="352"/>
      <c r="OGH2" s="352"/>
      <c r="OGI2" s="352"/>
      <c r="OGJ2" s="352"/>
      <c r="OGK2" s="352"/>
      <c r="OGL2" s="352"/>
      <c r="OGM2" s="352"/>
      <c r="OGN2" s="352"/>
      <c r="OGO2" s="352"/>
      <c r="OGP2" s="352"/>
      <c r="OGQ2" s="352"/>
      <c r="OGR2" s="352"/>
      <c r="OGS2" s="352"/>
      <c r="OGT2" s="352"/>
      <c r="OGU2" s="352"/>
      <c r="OGV2" s="352"/>
      <c r="OGW2" s="352"/>
      <c r="OGX2" s="352"/>
      <c r="OGY2" s="352"/>
      <c r="OGZ2" s="352"/>
      <c r="OHA2" s="352"/>
      <c r="OHB2" s="352"/>
      <c r="OHC2" s="352"/>
      <c r="OHD2" s="352"/>
      <c r="OHE2" s="352"/>
      <c r="OHF2" s="352"/>
      <c r="OHG2" s="352"/>
      <c r="OHH2" s="352"/>
      <c r="OHI2" s="352"/>
      <c r="OHJ2" s="352"/>
      <c r="OHK2" s="352"/>
      <c r="OHL2" s="352"/>
      <c r="OHM2" s="352"/>
      <c r="OHN2" s="352"/>
      <c r="OHO2" s="352"/>
      <c r="OHP2" s="352"/>
      <c r="OHQ2" s="352"/>
      <c r="OHR2" s="352"/>
      <c r="OHS2" s="352"/>
      <c r="OHT2" s="352"/>
      <c r="OHU2" s="352"/>
      <c r="OHV2" s="352"/>
      <c r="OHW2" s="352"/>
      <c r="OHX2" s="352"/>
      <c r="OHY2" s="352"/>
      <c r="OHZ2" s="352"/>
      <c r="OIA2" s="352"/>
      <c r="OIB2" s="352"/>
      <c r="OIC2" s="352"/>
      <c r="OID2" s="352"/>
      <c r="OIE2" s="352"/>
      <c r="OIF2" s="352"/>
      <c r="OIG2" s="352"/>
      <c r="OIH2" s="352"/>
      <c r="OII2" s="352"/>
      <c r="OIJ2" s="352"/>
      <c r="OIK2" s="352"/>
      <c r="OIL2" s="352"/>
      <c r="OIM2" s="352"/>
      <c r="OIN2" s="352"/>
      <c r="OIO2" s="352"/>
      <c r="OIP2" s="352"/>
      <c r="OIQ2" s="352"/>
      <c r="OIR2" s="352"/>
      <c r="OIS2" s="352"/>
      <c r="OIT2" s="352"/>
      <c r="OIU2" s="352"/>
      <c r="OIV2" s="352"/>
      <c r="OIW2" s="352"/>
      <c r="OIX2" s="352"/>
      <c r="OIY2" s="352"/>
      <c r="OIZ2" s="352"/>
      <c r="OJA2" s="352"/>
      <c r="OJB2" s="352"/>
      <c r="OJC2" s="352"/>
      <c r="OJD2" s="352"/>
      <c r="OJE2" s="352"/>
      <c r="OJF2" s="352"/>
      <c r="OJG2" s="352"/>
      <c r="OJH2" s="352"/>
      <c r="OJI2" s="352"/>
      <c r="OJJ2" s="352"/>
      <c r="OJK2" s="352"/>
      <c r="OJL2" s="352"/>
      <c r="OJM2" s="352"/>
      <c r="OJN2" s="352"/>
      <c r="OJO2" s="352"/>
      <c r="OJP2" s="352"/>
      <c r="OJQ2" s="352"/>
      <c r="OJR2" s="352"/>
      <c r="OJS2" s="352"/>
      <c r="OJT2" s="352"/>
      <c r="OJU2" s="352"/>
      <c r="OJV2" s="352"/>
      <c r="OJW2" s="352"/>
      <c r="OJX2" s="352"/>
      <c r="OJY2" s="352"/>
      <c r="OJZ2" s="352"/>
      <c r="OKA2" s="352"/>
      <c r="OKB2" s="352"/>
      <c r="OKC2" s="352"/>
      <c r="OKD2" s="352"/>
      <c r="OKE2" s="352"/>
      <c r="OKF2" s="352"/>
      <c r="OKG2" s="352"/>
      <c r="OKH2" s="352"/>
      <c r="OKI2" s="352"/>
      <c r="OKJ2" s="352"/>
      <c r="OKK2" s="352"/>
      <c r="OKL2" s="352"/>
      <c r="OKM2" s="352"/>
      <c r="OKN2" s="352"/>
      <c r="OKO2" s="352"/>
      <c r="OKP2" s="352"/>
      <c r="OKQ2" s="352"/>
      <c r="OKR2" s="352"/>
      <c r="OKS2" s="352"/>
      <c r="OKT2" s="352"/>
      <c r="OKU2" s="352"/>
      <c r="OKV2" s="352"/>
      <c r="OKW2" s="352"/>
      <c r="OKX2" s="352"/>
      <c r="OKY2" s="352"/>
      <c r="OKZ2" s="352"/>
      <c r="OLA2" s="352"/>
      <c r="OLB2" s="352"/>
      <c r="OLC2" s="352"/>
      <c r="OLD2" s="352"/>
      <c r="OLE2" s="352"/>
      <c r="OLF2" s="352"/>
      <c r="OLG2" s="352"/>
      <c r="OLH2" s="352"/>
      <c r="OLI2" s="352"/>
      <c r="OLJ2" s="352"/>
      <c r="OLK2" s="352"/>
      <c r="OLL2" s="352"/>
      <c r="OLM2" s="352"/>
      <c r="OLN2" s="352"/>
      <c r="OLO2" s="352"/>
      <c r="OLP2" s="352"/>
      <c r="OLQ2" s="352"/>
      <c r="OLR2" s="352"/>
      <c r="OLS2" s="352"/>
      <c r="OLT2" s="352"/>
      <c r="OLU2" s="352"/>
      <c r="OLV2" s="352"/>
      <c r="OLW2" s="352"/>
      <c r="OLX2" s="352"/>
      <c r="OLY2" s="352"/>
      <c r="OLZ2" s="352"/>
      <c r="OMA2" s="352"/>
      <c r="OMB2" s="352"/>
      <c r="OMC2" s="352"/>
      <c r="OMD2" s="352"/>
      <c r="OME2" s="352"/>
      <c r="OMF2" s="352"/>
      <c r="OMG2" s="352"/>
      <c r="OMH2" s="352"/>
      <c r="OMI2" s="352"/>
      <c r="OMJ2" s="352"/>
      <c r="OMK2" s="352"/>
      <c r="OML2" s="352"/>
      <c r="OMM2" s="352"/>
      <c r="OMN2" s="352"/>
      <c r="OMO2" s="352"/>
      <c r="OMP2" s="352"/>
      <c r="OMQ2" s="352"/>
      <c r="OMR2" s="352"/>
      <c r="OMS2" s="352"/>
      <c r="OMT2" s="352"/>
      <c r="OMU2" s="352"/>
      <c r="OMV2" s="352"/>
      <c r="OMW2" s="352"/>
      <c r="OMX2" s="352"/>
      <c r="OMY2" s="352"/>
      <c r="OMZ2" s="352"/>
      <c r="ONA2" s="352"/>
      <c r="ONB2" s="352"/>
      <c r="ONC2" s="352"/>
      <c r="OND2" s="352"/>
      <c r="ONE2" s="352"/>
      <c r="ONF2" s="352"/>
      <c r="ONG2" s="352"/>
      <c r="ONH2" s="352"/>
      <c r="ONI2" s="352"/>
      <c r="ONJ2" s="352"/>
      <c r="ONK2" s="352"/>
      <c r="ONL2" s="352"/>
      <c r="ONM2" s="352"/>
      <c r="ONN2" s="352"/>
      <c r="ONO2" s="352"/>
      <c r="ONP2" s="352"/>
      <c r="ONQ2" s="352"/>
      <c r="ONR2" s="352"/>
      <c r="ONS2" s="352"/>
      <c r="ONT2" s="352"/>
      <c r="ONU2" s="352"/>
      <c r="ONV2" s="352"/>
      <c r="ONW2" s="352"/>
      <c r="ONX2" s="352"/>
      <c r="ONY2" s="352"/>
      <c r="ONZ2" s="352"/>
      <c r="OOA2" s="352"/>
      <c r="OOB2" s="352"/>
      <c r="OOC2" s="352"/>
      <c r="OOD2" s="352"/>
      <c r="OOE2" s="352"/>
      <c r="OOF2" s="352"/>
      <c r="OOG2" s="352"/>
      <c r="OOH2" s="352"/>
      <c r="OOI2" s="352"/>
      <c r="OOJ2" s="352"/>
      <c r="OOK2" s="352"/>
      <c r="OOL2" s="352"/>
      <c r="OOM2" s="352"/>
      <c r="OON2" s="352"/>
      <c r="OOO2" s="352"/>
      <c r="OOP2" s="352"/>
      <c r="OOQ2" s="352"/>
      <c r="OOR2" s="352"/>
      <c r="OOS2" s="352"/>
      <c r="OOT2" s="352"/>
      <c r="OOU2" s="352"/>
      <c r="OOV2" s="352"/>
      <c r="OOW2" s="352"/>
      <c r="OOX2" s="352"/>
      <c r="OOY2" s="352"/>
      <c r="OOZ2" s="352"/>
      <c r="OPA2" s="352"/>
      <c r="OPB2" s="352"/>
      <c r="OPC2" s="352"/>
      <c r="OPD2" s="352"/>
      <c r="OPE2" s="352"/>
      <c r="OPF2" s="352"/>
      <c r="OPG2" s="352"/>
      <c r="OPH2" s="352"/>
      <c r="OPI2" s="352"/>
      <c r="OPJ2" s="352"/>
      <c r="OPK2" s="352"/>
      <c r="OPL2" s="352"/>
      <c r="OPM2" s="352"/>
      <c r="OPN2" s="352"/>
      <c r="OPO2" s="352"/>
      <c r="OPP2" s="352"/>
      <c r="OPQ2" s="352"/>
      <c r="OPR2" s="352"/>
      <c r="OPS2" s="352"/>
      <c r="OPT2" s="352"/>
      <c r="OPU2" s="352"/>
      <c r="OPV2" s="352"/>
      <c r="OPW2" s="352"/>
      <c r="OPX2" s="352"/>
      <c r="OPY2" s="352"/>
      <c r="OPZ2" s="352"/>
      <c r="OQA2" s="352"/>
      <c r="OQB2" s="352"/>
      <c r="OQC2" s="352"/>
      <c r="OQD2" s="352"/>
      <c r="OQE2" s="352"/>
      <c r="OQF2" s="352"/>
      <c r="OQG2" s="352"/>
      <c r="OQH2" s="352"/>
      <c r="OQI2" s="352"/>
      <c r="OQJ2" s="352"/>
      <c r="OQK2" s="352"/>
      <c r="OQL2" s="352"/>
      <c r="OQM2" s="352"/>
      <c r="OQN2" s="352"/>
      <c r="OQO2" s="352"/>
      <c r="OQP2" s="352"/>
      <c r="OQQ2" s="352"/>
      <c r="OQR2" s="352"/>
      <c r="OQS2" s="352"/>
      <c r="OQT2" s="352"/>
      <c r="OQU2" s="352"/>
      <c r="OQV2" s="352"/>
      <c r="OQW2" s="352"/>
      <c r="OQX2" s="352"/>
      <c r="OQY2" s="352"/>
      <c r="OQZ2" s="352"/>
      <c r="ORA2" s="352"/>
      <c r="ORB2" s="352"/>
      <c r="ORC2" s="352"/>
      <c r="ORD2" s="352"/>
      <c r="ORE2" s="352"/>
      <c r="ORF2" s="352"/>
      <c r="ORG2" s="352"/>
      <c r="ORH2" s="352"/>
      <c r="ORI2" s="352"/>
      <c r="ORJ2" s="352"/>
      <c r="ORK2" s="352"/>
      <c r="ORL2" s="352"/>
      <c r="ORM2" s="352"/>
      <c r="ORN2" s="352"/>
      <c r="ORO2" s="352"/>
      <c r="ORP2" s="352"/>
      <c r="ORQ2" s="352"/>
      <c r="ORR2" s="352"/>
      <c r="ORS2" s="352"/>
      <c r="ORT2" s="352"/>
      <c r="ORU2" s="352"/>
      <c r="ORV2" s="352"/>
      <c r="ORW2" s="352"/>
      <c r="ORX2" s="352"/>
      <c r="ORY2" s="352"/>
      <c r="ORZ2" s="352"/>
      <c r="OSA2" s="352"/>
      <c r="OSB2" s="352"/>
      <c r="OSC2" s="352"/>
      <c r="OSD2" s="352"/>
      <c r="OSE2" s="352"/>
      <c r="OSF2" s="352"/>
      <c r="OSG2" s="352"/>
      <c r="OSH2" s="352"/>
      <c r="OSI2" s="352"/>
      <c r="OSJ2" s="352"/>
      <c r="OSK2" s="352"/>
      <c r="OSL2" s="352"/>
      <c r="OSM2" s="352"/>
      <c r="OSN2" s="352"/>
      <c r="OSO2" s="352"/>
      <c r="OSP2" s="352"/>
      <c r="OSQ2" s="352"/>
      <c r="OSR2" s="352"/>
      <c r="OSS2" s="352"/>
      <c r="OST2" s="352"/>
      <c r="OSU2" s="352"/>
      <c r="OSV2" s="352"/>
      <c r="OSW2" s="352"/>
      <c r="OSX2" s="352"/>
      <c r="OSY2" s="352"/>
      <c r="OSZ2" s="352"/>
      <c r="OTA2" s="352"/>
      <c r="OTB2" s="352"/>
      <c r="OTC2" s="352"/>
      <c r="OTD2" s="352"/>
      <c r="OTE2" s="352"/>
      <c r="OTF2" s="352"/>
      <c r="OTG2" s="352"/>
      <c r="OTH2" s="352"/>
      <c r="OTI2" s="352"/>
      <c r="OTJ2" s="352"/>
      <c r="OTK2" s="352"/>
      <c r="OTL2" s="352"/>
      <c r="OTM2" s="352"/>
      <c r="OTN2" s="352"/>
      <c r="OTO2" s="352"/>
      <c r="OTP2" s="352"/>
      <c r="OTQ2" s="352"/>
      <c r="OTR2" s="352"/>
      <c r="OTS2" s="352"/>
      <c r="OTT2" s="352"/>
      <c r="OTU2" s="352"/>
      <c r="OTV2" s="352"/>
      <c r="OTW2" s="352"/>
      <c r="OTX2" s="352"/>
      <c r="OTY2" s="352"/>
      <c r="OTZ2" s="352"/>
      <c r="OUA2" s="352"/>
      <c r="OUB2" s="352"/>
      <c r="OUC2" s="352"/>
      <c r="OUD2" s="352"/>
      <c r="OUE2" s="352"/>
      <c r="OUF2" s="352"/>
      <c r="OUG2" s="352"/>
      <c r="OUH2" s="352"/>
      <c r="OUI2" s="352"/>
      <c r="OUJ2" s="352"/>
      <c r="OUK2" s="352"/>
      <c r="OUL2" s="352"/>
      <c r="OUM2" s="352"/>
      <c r="OUN2" s="352"/>
      <c r="OUO2" s="352"/>
      <c r="OUP2" s="352"/>
      <c r="OUQ2" s="352"/>
      <c r="OUR2" s="352"/>
      <c r="OUS2" s="352"/>
      <c r="OUT2" s="352"/>
      <c r="OUU2" s="352"/>
      <c r="OUV2" s="352"/>
      <c r="OUW2" s="352"/>
      <c r="OUX2" s="352"/>
      <c r="OUY2" s="352"/>
      <c r="OUZ2" s="352"/>
      <c r="OVA2" s="352"/>
      <c r="OVB2" s="352"/>
      <c r="OVC2" s="352"/>
      <c r="OVD2" s="352"/>
      <c r="OVE2" s="352"/>
      <c r="OVF2" s="352"/>
      <c r="OVG2" s="352"/>
      <c r="OVH2" s="352"/>
      <c r="OVI2" s="352"/>
      <c r="OVJ2" s="352"/>
      <c r="OVK2" s="352"/>
      <c r="OVL2" s="352"/>
      <c r="OVM2" s="352"/>
      <c r="OVN2" s="352"/>
      <c r="OVO2" s="352"/>
      <c r="OVP2" s="352"/>
      <c r="OVQ2" s="352"/>
      <c r="OVR2" s="352"/>
      <c r="OVS2" s="352"/>
      <c r="OVT2" s="352"/>
      <c r="OVU2" s="352"/>
      <c r="OVV2" s="352"/>
      <c r="OVW2" s="352"/>
      <c r="OVX2" s="352"/>
      <c r="OVY2" s="352"/>
      <c r="OVZ2" s="352"/>
      <c r="OWA2" s="352"/>
      <c r="OWB2" s="352"/>
      <c r="OWC2" s="352"/>
      <c r="OWD2" s="352"/>
      <c r="OWE2" s="352"/>
      <c r="OWF2" s="352"/>
      <c r="OWG2" s="352"/>
      <c r="OWH2" s="352"/>
      <c r="OWI2" s="352"/>
      <c r="OWJ2" s="352"/>
      <c r="OWK2" s="352"/>
      <c r="OWL2" s="352"/>
      <c r="OWM2" s="352"/>
      <c r="OWN2" s="352"/>
      <c r="OWO2" s="352"/>
      <c r="OWP2" s="352"/>
      <c r="OWQ2" s="352"/>
      <c r="OWR2" s="352"/>
      <c r="OWS2" s="352"/>
      <c r="OWT2" s="352"/>
      <c r="OWU2" s="352"/>
      <c r="OWV2" s="352"/>
      <c r="OWW2" s="352"/>
      <c r="OWX2" s="352"/>
      <c r="OWY2" s="352"/>
      <c r="OWZ2" s="352"/>
      <c r="OXA2" s="352"/>
      <c r="OXB2" s="352"/>
      <c r="OXC2" s="352"/>
      <c r="OXD2" s="352"/>
      <c r="OXE2" s="352"/>
      <c r="OXF2" s="352"/>
      <c r="OXG2" s="352"/>
      <c r="OXH2" s="352"/>
      <c r="OXI2" s="352"/>
      <c r="OXJ2" s="352"/>
      <c r="OXK2" s="352"/>
      <c r="OXL2" s="352"/>
      <c r="OXM2" s="352"/>
      <c r="OXN2" s="352"/>
      <c r="OXO2" s="352"/>
      <c r="OXP2" s="352"/>
      <c r="OXQ2" s="352"/>
      <c r="OXR2" s="352"/>
      <c r="OXS2" s="352"/>
      <c r="OXT2" s="352"/>
      <c r="OXU2" s="352"/>
      <c r="OXV2" s="352"/>
      <c r="OXW2" s="352"/>
      <c r="OXX2" s="352"/>
      <c r="OXY2" s="352"/>
      <c r="OXZ2" s="352"/>
      <c r="OYA2" s="352"/>
      <c r="OYB2" s="352"/>
      <c r="OYC2" s="352"/>
      <c r="OYD2" s="352"/>
      <c r="OYE2" s="352"/>
      <c r="OYF2" s="352"/>
      <c r="OYG2" s="352"/>
      <c r="OYH2" s="352"/>
      <c r="OYI2" s="352"/>
      <c r="OYJ2" s="352"/>
      <c r="OYK2" s="352"/>
      <c r="OYL2" s="352"/>
      <c r="OYM2" s="352"/>
      <c r="OYN2" s="352"/>
      <c r="OYO2" s="352"/>
      <c r="OYP2" s="352"/>
      <c r="OYQ2" s="352"/>
      <c r="OYR2" s="352"/>
      <c r="OYS2" s="352"/>
      <c r="OYT2" s="352"/>
      <c r="OYU2" s="352"/>
      <c r="OYV2" s="352"/>
      <c r="OYW2" s="352"/>
      <c r="OYX2" s="352"/>
      <c r="OYY2" s="352"/>
      <c r="OYZ2" s="352"/>
      <c r="OZA2" s="352"/>
      <c r="OZB2" s="352"/>
      <c r="OZC2" s="352"/>
      <c r="OZD2" s="352"/>
      <c r="OZE2" s="352"/>
      <c r="OZF2" s="352"/>
      <c r="OZG2" s="352"/>
      <c r="OZH2" s="352"/>
      <c r="OZI2" s="352"/>
      <c r="OZJ2" s="352"/>
      <c r="OZK2" s="352"/>
      <c r="OZL2" s="352"/>
      <c r="OZM2" s="352"/>
      <c r="OZN2" s="352"/>
      <c r="OZO2" s="352"/>
      <c r="OZP2" s="352"/>
      <c r="OZQ2" s="352"/>
      <c r="OZR2" s="352"/>
      <c r="OZS2" s="352"/>
      <c r="OZT2" s="352"/>
      <c r="OZU2" s="352"/>
      <c r="OZV2" s="352"/>
      <c r="OZW2" s="352"/>
      <c r="OZX2" s="352"/>
      <c r="OZY2" s="352"/>
      <c r="OZZ2" s="352"/>
      <c r="PAA2" s="352"/>
      <c r="PAB2" s="352"/>
      <c r="PAC2" s="352"/>
      <c r="PAD2" s="352"/>
      <c r="PAE2" s="352"/>
      <c r="PAF2" s="352"/>
      <c r="PAG2" s="352"/>
      <c r="PAH2" s="352"/>
      <c r="PAI2" s="352"/>
      <c r="PAJ2" s="352"/>
      <c r="PAK2" s="352"/>
      <c r="PAL2" s="352"/>
      <c r="PAM2" s="352"/>
      <c r="PAN2" s="352"/>
      <c r="PAO2" s="352"/>
      <c r="PAP2" s="352"/>
      <c r="PAQ2" s="352"/>
      <c r="PAR2" s="352"/>
      <c r="PAS2" s="352"/>
      <c r="PAT2" s="352"/>
      <c r="PAU2" s="352"/>
      <c r="PAV2" s="352"/>
      <c r="PAW2" s="352"/>
      <c r="PAX2" s="352"/>
      <c r="PAY2" s="352"/>
      <c r="PAZ2" s="352"/>
      <c r="PBA2" s="352"/>
      <c r="PBB2" s="352"/>
      <c r="PBC2" s="352"/>
      <c r="PBD2" s="352"/>
      <c r="PBE2" s="352"/>
      <c r="PBF2" s="352"/>
      <c r="PBG2" s="352"/>
      <c r="PBH2" s="352"/>
      <c r="PBI2" s="352"/>
      <c r="PBJ2" s="352"/>
      <c r="PBK2" s="352"/>
      <c r="PBL2" s="352"/>
      <c r="PBM2" s="352"/>
      <c r="PBN2" s="352"/>
      <c r="PBO2" s="352"/>
      <c r="PBP2" s="352"/>
      <c r="PBQ2" s="352"/>
      <c r="PBR2" s="352"/>
      <c r="PBS2" s="352"/>
      <c r="PBT2" s="352"/>
      <c r="PBU2" s="352"/>
      <c r="PBV2" s="352"/>
      <c r="PBW2" s="352"/>
      <c r="PBX2" s="352"/>
      <c r="PBY2" s="352"/>
      <c r="PBZ2" s="352"/>
      <c r="PCA2" s="352"/>
      <c r="PCB2" s="352"/>
      <c r="PCC2" s="352"/>
      <c r="PCD2" s="352"/>
      <c r="PCE2" s="352"/>
      <c r="PCF2" s="352"/>
      <c r="PCG2" s="352"/>
      <c r="PCH2" s="352"/>
      <c r="PCI2" s="352"/>
      <c r="PCJ2" s="352"/>
      <c r="PCK2" s="352"/>
      <c r="PCL2" s="352"/>
      <c r="PCM2" s="352"/>
      <c r="PCN2" s="352"/>
      <c r="PCO2" s="352"/>
      <c r="PCP2" s="352"/>
      <c r="PCQ2" s="352"/>
      <c r="PCR2" s="352"/>
      <c r="PCS2" s="352"/>
      <c r="PCT2" s="352"/>
      <c r="PCU2" s="352"/>
      <c r="PCV2" s="352"/>
      <c r="PCW2" s="352"/>
      <c r="PCX2" s="352"/>
      <c r="PCY2" s="352"/>
      <c r="PCZ2" s="352"/>
      <c r="PDA2" s="352"/>
      <c r="PDB2" s="352"/>
      <c r="PDC2" s="352"/>
      <c r="PDD2" s="352"/>
      <c r="PDE2" s="352"/>
      <c r="PDF2" s="352"/>
      <c r="PDG2" s="352"/>
      <c r="PDH2" s="352"/>
      <c r="PDI2" s="352"/>
      <c r="PDJ2" s="352"/>
      <c r="PDK2" s="352"/>
      <c r="PDL2" s="352"/>
      <c r="PDM2" s="352"/>
      <c r="PDN2" s="352"/>
      <c r="PDO2" s="352"/>
      <c r="PDP2" s="352"/>
      <c r="PDQ2" s="352"/>
      <c r="PDR2" s="352"/>
      <c r="PDS2" s="352"/>
      <c r="PDT2" s="352"/>
      <c r="PDU2" s="352"/>
      <c r="PDV2" s="352"/>
      <c r="PDW2" s="352"/>
      <c r="PDX2" s="352"/>
      <c r="PDY2" s="352"/>
      <c r="PDZ2" s="352"/>
      <c r="PEA2" s="352"/>
      <c r="PEB2" s="352"/>
      <c r="PEC2" s="352"/>
      <c r="PED2" s="352"/>
      <c r="PEE2" s="352"/>
      <c r="PEF2" s="352"/>
      <c r="PEG2" s="352"/>
      <c r="PEH2" s="352"/>
      <c r="PEI2" s="352"/>
      <c r="PEJ2" s="352"/>
      <c r="PEK2" s="352"/>
      <c r="PEL2" s="352"/>
      <c r="PEM2" s="352"/>
      <c r="PEN2" s="352"/>
      <c r="PEO2" s="352"/>
      <c r="PEP2" s="352"/>
      <c r="PEQ2" s="352"/>
      <c r="PER2" s="352"/>
      <c r="PES2" s="352"/>
      <c r="PET2" s="352"/>
      <c r="PEU2" s="352"/>
      <c r="PEV2" s="352"/>
      <c r="PEW2" s="352"/>
      <c r="PEX2" s="352"/>
      <c r="PEY2" s="352"/>
      <c r="PEZ2" s="352"/>
      <c r="PFA2" s="352"/>
      <c r="PFB2" s="352"/>
      <c r="PFC2" s="352"/>
      <c r="PFD2" s="352"/>
      <c r="PFE2" s="352"/>
      <c r="PFF2" s="352"/>
      <c r="PFG2" s="352"/>
      <c r="PFH2" s="352"/>
      <c r="PFI2" s="352"/>
      <c r="PFJ2" s="352"/>
      <c r="PFK2" s="352"/>
      <c r="PFL2" s="352"/>
      <c r="PFM2" s="352"/>
      <c r="PFN2" s="352"/>
      <c r="PFO2" s="352"/>
      <c r="PFP2" s="352"/>
      <c r="PFQ2" s="352"/>
      <c r="PFR2" s="352"/>
      <c r="PFS2" s="352"/>
      <c r="PFT2" s="352"/>
      <c r="PFU2" s="352"/>
      <c r="PFV2" s="352"/>
      <c r="PFW2" s="352"/>
      <c r="PFX2" s="352"/>
      <c r="PFY2" s="352"/>
      <c r="PFZ2" s="352"/>
      <c r="PGA2" s="352"/>
      <c r="PGB2" s="352"/>
      <c r="PGC2" s="352"/>
      <c r="PGD2" s="352"/>
      <c r="PGE2" s="352"/>
      <c r="PGF2" s="352"/>
      <c r="PGG2" s="352"/>
      <c r="PGH2" s="352"/>
      <c r="PGI2" s="352"/>
      <c r="PGJ2" s="352"/>
      <c r="PGK2" s="352"/>
      <c r="PGL2" s="352"/>
      <c r="PGM2" s="352"/>
      <c r="PGN2" s="352"/>
      <c r="PGO2" s="352"/>
      <c r="PGP2" s="352"/>
      <c r="PGQ2" s="352"/>
      <c r="PGR2" s="352"/>
      <c r="PGS2" s="352"/>
      <c r="PGT2" s="352"/>
      <c r="PGU2" s="352"/>
      <c r="PGV2" s="352"/>
      <c r="PGW2" s="352"/>
      <c r="PGX2" s="352"/>
      <c r="PGY2" s="352"/>
      <c r="PGZ2" s="352"/>
      <c r="PHA2" s="352"/>
      <c r="PHB2" s="352"/>
      <c r="PHC2" s="352"/>
      <c r="PHD2" s="352"/>
      <c r="PHE2" s="352"/>
      <c r="PHF2" s="352"/>
      <c r="PHG2" s="352"/>
      <c r="PHH2" s="352"/>
      <c r="PHI2" s="352"/>
      <c r="PHJ2" s="352"/>
      <c r="PHK2" s="352"/>
      <c r="PHL2" s="352"/>
      <c r="PHM2" s="352"/>
      <c r="PHN2" s="352"/>
      <c r="PHO2" s="352"/>
      <c r="PHP2" s="352"/>
      <c r="PHQ2" s="352"/>
      <c r="PHR2" s="352"/>
      <c r="PHS2" s="352"/>
      <c r="PHT2" s="352"/>
      <c r="PHU2" s="352"/>
      <c r="PHV2" s="352"/>
      <c r="PHW2" s="352"/>
      <c r="PHX2" s="352"/>
      <c r="PHY2" s="352"/>
      <c r="PHZ2" s="352"/>
      <c r="PIA2" s="352"/>
      <c r="PIB2" s="352"/>
      <c r="PIC2" s="352"/>
      <c r="PID2" s="352"/>
      <c r="PIE2" s="352"/>
      <c r="PIF2" s="352"/>
      <c r="PIG2" s="352"/>
      <c r="PIH2" s="352"/>
      <c r="PII2" s="352"/>
      <c r="PIJ2" s="352"/>
      <c r="PIK2" s="352"/>
      <c r="PIL2" s="352"/>
      <c r="PIM2" s="352"/>
      <c r="PIN2" s="352"/>
      <c r="PIO2" s="352"/>
      <c r="PIP2" s="352"/>
      <c r="PIQ2" s="352"/>
      <c r="PIR2" s="352"/>
      <c r="PIS2" s="352"/>
      <c r="PIT2" s="352"/>
      <c r="PIU2" s="352"/>
      <c r="PIV2" s="352"/>
      <c r="PIW2" s="352"/>
      <c r="PIX2" s="352"/>
      <c r="PIY2" s="352"/>
      <c r="PIZ2" s="352"/>
      <c r="PJA2" s="352"/>
      <c r="PJB2" s="352"/>
      <c r="PJC2" s="352"/>
      <c r="PJD2" s="352"/>
      <c r="PJE2" s="352"/>
      <c r="PJF2" s="352"/>
      <c r="PJG2" s="352"/>
      <c r="PJH2" s="352"/>
      <c r="PJI2" s="352"/>
      <c r="PJJ2" s="352"/>
      <c r="PJK2" s="352"/>
      <c r="PJL2" s="352"/>
      <c r="PJM2" s="352"/>
      <c r="PJN2" s="352"/>
      <c r="PJO2" s="352"/>
      <c r="PJP2" s="352"/>
      <c r="PJQ2" s="352"/>
      <c r="PJR2" s="352"/>
      <c r="PJS2" s="352"/>
      <c r="PJT2" s="352"/>
      <c r="PJU2" s="352"/>
      <c r="PJV2" s="352"/>
      <c r="PJW2" s="352"/>
      <c r="PJX2" s="352"/>
      <c r="PJY2" s="352"/>
      <c r="PJZ2" s="352"/>
      <c r="PKA2" s="352"/>
      <c r="PKB2" s="352"/>
      <c r="PKC2" s="352"/>
      <c r="PKD2" s="352"/>
      <c r="PKE2" s="352"/>
      <c r="PKF2" s="352"/>
      <c r="PKG2" s="352"/>
      <c r="PKH2" s="352"/>
      <c r="PKI2" s="352"/>
      <c r="PKJ2" s="352"/>
      <c r="PKK2" s="352"/>
      <c r="PKL2" s="352"/>
      <c r="PKM2" s="352"/>
      <c r="PKN2" s="352"/>
      <c r="PKO2" s="352"/>
      <c r="PKP2" s="352"/>
      <c r="PKQ2" s="352"/>
      <c r="PKR2" s="352"/>
      <c r="PKS2" s="352"/>
      <c r="PKT2" s="352"/>
      <c r="PKU2" s="352"/>
      <c r="PKV2" s="352"/>
      <c r="PKW2" s="352"/>
      <c r="PKX2" s="352"/>
      <c r="PKY2" s="352"/>
      <c r="PKZ2" s="352"/>
      <c r="PLA2" s="352"/>
      <c r="PLB2" s="352"/>
      <c r="PLC2" s="352"/>
      <c r="PLD2" s="352"/>
      <c r="PLE2" s="352"/>
      <c r="PLF2" s="352"/>
      <c r="PLG2" s="352"/>
      <c r="PLH2" s="352"/>
      <c r="PLI2" s="352"/>
      <c r="PLJ2" s="352"/>
      <c r="PLK2" s="352"/>
      <c r="PLL2" s="352"/>
      <c r="PLM2" s="352"/>
      <c r="PLN2" s="352"/>
      <c r="PLO2" s="352"/>
      <c r="PLP2" s="352"/>
      <c r="PLQ2" s="352"/>
      <c r="PLR2" s="352"/>
      <c r="PLS2" s="352"/>
      <c r="PLT2" s="352"/>
      <c r="PLU2" s="352"/>
      <c r="PLV2" s="352"/>
      <c r="PLW2" s="352"/>
      <c r="PLX2" s="352"/>
      <c r="PLY2" s="352"/>
      <c r="PLZ2" s="352"/>
      <c r="PMA2" s="352"/>
      <c r="PMB2" s="352"/>
      <c r="PMC2" s="352"/>
      <c r="PMD2" s="352"/>
      <c r="PME2" s="352"/>
      <c r="PMF2" s="352"/>
      <c r="PMG2" s="352"/>
      <c r="PMH2" s="352"/>
      <c r="PMI2" s="352"/>
      <c r="PMJ2" s="352"/>
      <c r="PMK2" s="352"/>
      <c r="PML2" s="352"/>
      <c r="PMM2" s="352"/>
      <c r="PMN2" s="352"/>
      <c r="PMO2" s="352"/>
      <c r="PMP2" s="352"/>
      <c r="PMQ2" s="352"/>
      <c r="PMR2" s="352"/>
      <c r="PMS2" s="352"/>
      <c r="PMT2" s="352"/>
      <c r="PMU2" s="352"/>
      <c r="PMV2" s="352"/>
      <c r="PMW2" s="352"/>
      <c r="PMX2" s="352"/>
      <c r="PMY2" s="352"/>
      <c r="PMZ2" s="352"/>
      <c r="PNA2" s="352"/>
      <c r="PNB2" s="352"/>
      <c r="PNC2" s="352"/>
      <c r="PND2" s="352"/>
      <c r="PNE2" s="352"/>
      <c r="PNF2" s="352"/>
      <c r="PNG2" s="352"/>
      <c r="PNH2" s="352"/>
      <c r="PNI2" s="352"/>
      <c r="PNJ2" s="352"/>
      <c r="PNK2" s="352"/>
      <c r="PNL2" s="352"/>
      <c r="PNM2" s="352"/>
      <c r="PNN2" s="352"/>
      <c r="PNO2" s="352"/>
      <c r="PNP2" s="352"/>
      <c r="PNQ2" s="352"/>
      <c r="PNR2" s="352"/>
      <c r="PNS2" s="352"/>
      <c r="PNT2" s="352"/>
      <c r="PNU2" s="352"/>
      <c r="PNV2" s="352"/>
      <c r="PNW2" s="352"/>
      <c r="PNX2" s="352"/>
      <c r="PNY2" s="352"/>
      <c r="PNZ2" s="352"/>
      <c r="POA2" s="352"/>
      <c r="POB2" s="352"/>
      <c r="POC2" s="352"/>
      <c r="POD2" s="352"/>
      <c r="POE2" s="352"/>
      <c r="POF2" s="352"/>
      <c r="POG2" s="352"/>
      <c r="POH2" s="352"/>
      <c r="POI2" s="352"/>
      <c r="POJ2" s="352"/>
      <c r="POK2" s="352"/>
      <c r="POL2" s="352"/>
      <c r="POM2" s="352"/>
      <c r="PON2" s="352"/>
      <c r="POO2" s="352"/>
      <c r="POP2" s="352"/>
      <c r="POQ2" s="352"/>
      <c r="POR2" s="352"/>
      <c r="POS2" s="352"/>
      <c r="POT2" s="352"/>
      <c r="POU2" s="352"/>
      <c r="POV2" s="352"/>
      <c r="POW2" s="352"/>
      <c r="POX2" s="352"/>
      <c r="POY2" s="352"/>
      <c r="POZ2" s="352"/>
      <c r="PPA2" s="352"/>
      <c r="PPB2" s="352"/>
      <c r="PPC2" s="352"/>
      <c r="PPD2" s="352"/>
      <c r="PPE2" s="352"/>
      <c r="PPF2" s="352"/>
      <c r="PPG2" s="352"/>
      <c r="PPH2" s="352"/>
      <c r="PPI2" s="352"/>
      <c r="PPJ2" s="352"/>
      <c r="PPK2" s="352"/>
      <c r="PPL2" s="352"/>
      <c r="PPM2" s="352"/>
      <c r="PPN2" s="352"/>
      <c r="PPO2" s="352"/>
      <c r="PPP2" s="352"/>
      <c r="PPQ2" s="352"/>
      <c r="PPR2" s="352"/>
      <c r="PPS2" s="352"/>
      <c r="PPT2" s="352"/>
      <c r="PPU2" s="352"/>
      <c r="PPV2" s="352"/>
      <c r="PPW2" s="352"/>
      <c r="PPX2" s="352"/>
      <c r="PPY2" s="352"/>
      <c r="PPZ2" s="352"/>
      <c r="PQA2" s="352"/>
      <c r="PQB2" s="352"/>
      <c r="PQC2" s="352"/>
      <c r="PQD2" s="352"/>
      <c r="PQE2" s="352"/>
      <c r="PQF2" s="352"/>
      <c r="PQG2" s="352"/>
      <c r="PQH2" s="352"/>
      <c r="PQI2" s="352"/>
      <c r="PQJ2" s="352"/>
      <c r="PQK2" s="352"/>
      <c r="PQL2" s="352"/>
      <c r="PQM2" s="352"/>
      <c r="PQN2" s="352"/>
      <c r="PQO2" s="352"/>
      <c r="PQP2" s="352"/>
      <c r="PQQ2" s="352"/>
      <c r="PQR2" s="352"/>
      <c r="PQS2" s="352"/>
      <c r="PQT2" s="352"/>
      <c r="PQU2" s="352"/>
      <c r="PQV2" s="352"/>
      <c r="PQW2" s="352"/>
      <c r="PQX2" s="352"/>
      <c r="PQY2" s="352"/>
      <c r="PQZ2" s="352"/>
      <c r="PRA2" s="352"/>
      <c r="PRB2" s="352"/>
      <c r="PRC2" s="352"/>
      <c r="PRD2" s="352"/>
      <c r="PRE2" s="352"/>
      <c r="PRF2" s="352"/>
      <c r="PRG2" s="352"/>
      <c r="PRH2" s="352"/>
      <c r="PRI2" s="352"/>
      <c r="PRJ2" s="352"/>
      <c r="PRK2" s="352"/>
      <c r="PRL2" s="352"/>
      <c r="PRM2" s="352"/>
      <c r="PRN2" s="352"/>
      <c r="PRO2" s="352"/>
      <c r="PRP2" s="352"/>
      <c r="PRQ2" s="352"/>
      <c r="PRR2" s="352"/>
      <c r="PRS2" s="352"/>
      <c r="PRT2" s="352"/>
      <c r="PRU2" s="352"/>
      <c r="PRV2" s="352"/>
      <c r="PRW2" s="352"/>
      <c r="PRX2" s="352"/>
      <c r="PRY2" s="352"/>
      <c r="PRZ2" s="352"/>
      <c r="PSA2" s="352"/>
      <c r="PSB2" s="352"/>
      <c r="PSC2" s="352"/>
      <c r="PSD2" s="352"/>
      <c r="PSE2" s="352"/>
      <c r="PSF2" s="352"/>
      <c r="PSG2" s="352"/>
      <c r="PSH2" s="352"/>
      <c r="PSI2" s="352"/>
      <c r="PSJ2" s="352"/>
      <c r="PSK2" s="352"/>
      <c r="PSL2" s="352"/>
      <c r="PSM2" s="352"/>
      <c r="PSN2" s="352"/>
      <c r="PSO2" s="352"/>
      <c r="PSP2" s="352"/>
      <c r="PSQ2" s="352"/>
      <c r="PSR2" s="352"/>
      <c r="PSS2" s="352"/>
      <c r="PST2" s="352"/>
      <c r="PSU2" s="352"/>
      <c r="PSV2" s="352"/>
      <c r="PSW2" s="352"/>
      <c r="PSX2" s="352"/>
      <c r="PSY2" s="352"/>
      <c r="PSZ2" s="352"/>
      <c r="PTA2" s="352"/>
      <c r="PTB2" s="352"/>
      <c r="PTC2" s="352"/>
      <c r="PTD2" s="352"/>
      <c r="PTE2" s="352"/>
      <c r="PTF2" s="352"/>
      <c r="PTG2" s="352"/>
      <c r="PTH2" s="352"/>
      <c r="PTI2" s="352"/>
      <c r="PTJ2" s="352"/>
      <c r="PTK2" s="352"/>
      <c r="PTL2" s="352"/>
      <c r="PTM2" s="352"/>
      <c r="PTN2" s="352"/>
      <c r="PTO2" s="352"/>
      <c r="PTP2" s="352"/>
      <c r="PTQ2" s="352"/>
      <c r="PTR2" s="352"/>
      <c r="PTS2" s="352"/>
      <c r="PTT2" s="352"/>
      <c r="PTU2" s="352"/>
      <c r="PTV2" s="352"/>
      <c r="PTW2" s="352"/>
      <c r="PTX2" s="352"/>
      <c r="PTY2" s="352"/>
      <c r="PTZ2" s="352"/>
      <c r="PUA2" s="352"/>
      <c r="PUB2" s="352"/>
      <c r="PUC2" s="352"/>
      <c r="PUD2" s="352"/>
      <c r="PUE2" s="352"/>
      <c r="PUF2" s="352"/>
      <c r="PUG2" s="352"/>
      <c r="PUH2" s="352"/>
      <c r="PUI2" s="352"/>
      <c r="PUJ2" s="352"/>
      <c r="PUK2" s="352"/>
      <c r="PUL2" s="352"/>
      <c r="PUM2" s="352"/>
      <c r="PUN2" s="352"/>
      <c r="PUO2" s="352"/>
      <c r="PUP2" s="352"/>
      <c r="PUQ2" s="352"/>
      <c r="PUR2" s="352"/>
      <c r="PUS2" s="352"/>
      <c r="PUT2" s="352"/>
      <c r="PUU2" s="352"/>
      <c r="PUV2" s="352"/>
      <c r="PUW2" s="352"/>
      <c r="PUX2" s="352"/>
      <c r="PUY2" s="352"/>
      <c r="PUZ2" s="352"/>
      <c r="PVA2" s="352"/>
      <c r="PVB2" s="352"/>
      <c r="PVC2" s="352"/>
      <c r="PVD2" s="352"/>
      <c r="PVE2" s="352"/>
      <c r="PVF2" s="352"/>
      <c r="PVG2" s="352"/>
      <c r="PVH2" s="352"/>
      <c r="PVI2" s="352"/>
      <c r="PVJ2" s="352"/>
      <c r="PVK2" s="352"/>
      <c r="PVL2" s="352"/>
      <c r="PVM2" s="352"/>
      <c r="PVN2" s="352"/>
      <c r="PVO2" s="352"/>
      <c r="PVP2" s="352"/>
      <c r="PVQ2" s="352"/>
      <c r="PVR2" s="352"/>
      <c r="PVS2" s="352"/>
      <c r="PVT2" s="352"/>
      <c r="PVU2" s="352"/>
      <c r="PVV2" s="352"/>
      <c r="PVW2" s="352"/>
      <c r="PVX2" s="352"/>
      <c r="PVY2" s="352"/>
      <c r="PVZ2" s="352"/>
      <c r="PWA2" s="352"/>
      <c r="PWB2" s="352"/>
      <c r="PWC2" s="352"/>
      <c r="PWD2" s="352"/>
      <c r="PWE2" s="352"/>
      <c r="PWF2" s="352"/>
      <c r="PWG2" s="352"/>
      <c r="PWH2" s="352"/>
      <c r="PWI2" s="352"/>
      <c r="PWJ2" s="352"/>
      <c r="PWK2" s="352"/>
      <c r="PWL2" s="352"/>
      <c r="PWM2" s="352"/>
      <c r="PWN2" s="352"/>
      <c r="PWO2" s="352"/>
      <c r="PWP2" s="352"/>
      <c r="PWQ2" s="352"/>
      <c r="PWR2" s="352"/>
      <c r="PWS2" s="352"/>
      <c r="PWT2" s="352"/>
      <c r="PWU2" s="352"/>
      <c r="PWV2" s="352"/>
      <c r="PWW2" s="352"/>
      <c r="PWX2" s="352"/>
      <c r="PWY2" s="352"/>
      <c r="PWZ2" s="352"/>
      <c r="PXA2" s="352"/>
      <c r="PXB2" s="352"/>
      <c r="PXC2" s="352"/>
      <c r="PXD2" s="352"/>
      <c r="PXE2" s="352"/>
      <c r="PXF2" s="352"/>
      <c r="PXG2" s="352"/>
      <c r="PXH2" s="352"/>
      <c r="PXI2" s="352"/>
      <c r="PXJ2" s="352"/>
      <c r="PXK2" s="352"/>
      <c r="PXL2" s="352"/>
      <c r="PXM2" s="352"/>
      <c r="PXN2" s="352"/>
      <c r="PXO2" s="352"/>
      <c r="PXP2" s="352"/>
      <c r="PXQ2" s="352"/>
      <c r="PXR2" s="352"/>
      <c r="PXS2" s="352"/>
      <c r="PXT2" s="352"/>
      <c r="PXU2" s="352"/>
      <c r="PXV2" s="352"/>
      <c r="PXW2" s="352"/>
      <c r="PXX2" s="352"/>
      <c r="PXY2" s="352"/>
      <c r="PXZ2" s="352"/>
      <c r="PYA2" s="352"/>
      <c r="PYB2" s="352"/>
      <c r="PYC2" s="352"/>
      <c r="PYD2" s="352"/>
      <c r="PYE2" s="352"/>
      <c r="PYF2" s="352"/>
      <c r="PYG2" s="352"/>
      <c r="PYH2" s="352"/>
      <c r="PYI2" s="352"/>
      <c r="PYJ2" s="352"/>
      <c r="PYK2" s="352"/>
      <c r="PYL2" s="352"/>
      <c r="PYM2" s="352"/>
      <c r="PYN2" s="352"/>
      <c r="PYO2" s="352"/>
      <c r="PYP2" s="352"/>
      <c r="PYQ2" s="352"/>
      <c r="PYR2" s="352"/>
      <c r="PYS2" s="352"/>
      <c r="PYT2" s="352"/>
      <c r="PYU2" s="352"/>
      <c r="PYV2" s="352"/>
      <c r="PYW2" s="352"/>
      <c r="PYX2" s="352"/>
      <c r="PYY2" s="352"/>
      <c r="PYZ2" s="352"/>
      <c r="PZA2" s="352"/>
      <c r="PZB2" s="352"/>
      <c r="PZC2" s="352"/>
      <c r="PZD2" s="352"/>
      <c r="PZE2" s="352"/>
      <c r="PZF2" s="352"/>
      <c r="PZG2" s="352"/>
      <c r="PZH2" s="352"/>
      <c r="PZI2" s="352"/>
      <c r="PZJ2" s="352"/>
      <c r="PZK2" s="352"/>
      <c r="PZL2" s="352"/>
      <c r="PZM2" s="352"/>
      <c r="PZN2" s="352"/>
      <c r="PZO2" s="352"/>
      <c r="PZP2" s="352"/>
      <c r="PZQ2" s="352"/>
      <c r="PZR2" s="352"/>
      <c r="PZS2" s="352"/>
      <c r="PZT2" s="352"/>
      <c r="PZU2" s="352"/>
      <c r="PZV2" s="352"/>
      <c r="PZW2" s="352"/>
      <c r="PZX2" s="352"/>
      <c r="PZY2" s="352"/>
      <c r="PZZ2" s="352"/>
      <c r="QAA2" s="352"/>
      <c r="QAB2" s="352"/>
      <c r="QAC2" s="352"/>
      <c r="QAD2" s="352"/>
      <c r="QAE2" s="352"/>
      <c r="QAF2" s="352"/>
      <c r="QAG2" s="352"/>
      <c r="QAH2" s="352"/>
      <c r="QAI2" s="352"/>
      <c r="QAJ2" s="352"/>
      <c r="QAK2" s="352"/>
      <c r="QAL2" s="352"/>
      <c r="QAM2" s="352"/>
      <c r="QAN2" s="352"/>
      <c r="QAO2" s="352"/>
      <c r="QAP2" s="352"/>
      <c r="QAQ2" s="352"/>
      <c r="QAR2" s="352"/>
      <c r="QAS2" s="352"/>
      <c r="QAT2" s="352"/>
      <c r="QAU2" s="352"/>
      <c r="QAV2" s="352"/>
      <c r="QAW2" s="352"/>
      <c r="QAX2" s="352"/>
      <c r="QAY2" s="352"/>
      <c r="QAZ2" s="352"/>
      <c r="QBA2" s="352"/>
      <c r="QBB2" s="352"/>
      <c r="QBC2" s="352"/>
      <c r="QBD2" s="352"/>
      <c r="QBE2" s="352"/>
      <c r="QBF2" s="352"/>
      <c r="QBG2" s="352"/>
      <c r="QBH2" s="352"/>
      <c r="QBI2" s="352"/>
      <c r="QBJ2" s="352"/>
      <c r="QBK2" s="352"/>
      <c r="QBL2" s="352"/>
      <c r="QBM2" s="352"/>
      <c r="QBN2" s="352"/>
      <c r="QBO2" s="352"/>
      <c r="QBP2" s="352"/>
      <c r="QBQ2" s="352"/>
      <c r="QBR2" s="352"/>
      <c r="QBS2" s="352"/>
      <c r="QBT2" s="352"/>
      <c r="QBU2" s="352"/>
      <c r="QBV2" s="352"/>
      <c r="QBW2" s="352"/>
      <c r="QBX2" s="352"/>
      <c r="QBY2" s="352"/>
      <c r="QBZ2" s="352"/>
      <c r="QCA2" s="352"/>
      <c r="QCB2" s="352"/>
      <c r="QCC2" s="352"/>
      <c r="QCD2" s="352"/>
      <c r="QCE2" s="352"/>
      <c r="QCF2" s="352"/>
      <c r="QCG2" s="352"/>
      <c r="QCH2" s="352"/>
      <c r="QCI2" s="352"/>
      <c r="QCJ2" s="352"/>
      <c r="QCK2" s="352"/>
      <c r="QCL2" s="352"/>
      <c r="QCM2" s="352"/>
      <c r="QCN2" s="352"/>
      <c r="QCO2" s="352"/>
      <c r="QCP2" s="352"/>
      <c r="QCQ2" s="352"/>
      <c r="QCR2" s="352"/>
      <c r="QCS2" s="352"/>
      <c r="QCT2" s="352"/>
      <c r="QCU2" s="352"/>
      <c r="QCV2" s="352"/>
      <c r="QCW2" s="352"/>
      <c r="QCX2" s="352"/>
      <c r="QCY2" s="352"/>
      <c r="QCZ2" s="352"/>
      <c r="QDA2" s="352"/>
      <c r="QDB2" s="352"/>
      <c r="QDC2" s="352"/>
      <c r="QDD2" s="352"/>
      <c r="QDE2" s="352"/>
      <c r="QDF2" s="352"/>
      <c r="QDG2" s="352"/>
      <c r="QDH2" s="352"/>
      <c r="QDI2" s="352"/>
      <c r="QDJ2" s="352"/>
      <c r="QDK2" s="352"/>
      <c r="QDL2" s="352"/>
      <c r="QDM2" s="352"/>
      <c r="QDN2" s="352"/>
      <c r="QDO2" s="352"/>
      <c r="QDP2" s="352"/>
      <c r="QDQ2" s="352"/>
      <c r="QDR2" s="352"/>
      <c r="QDS2" s="352"/>
      <c r="QDT2" s="352"/>
      <c r="QDU2" s="352"/>
      <c r="QDV2" s="352"/>
      <c r="QDW2" s="352"/>
      <c r="QDX2" s="352"/>
      <c r="QDY2" s="352"/>
      <c r="QDZ2" s="352"/>
      <c r="QEA2" s="352"/>
      <c r="QEB2" s="352"/>
      <c r="QEC2" s="352"/>
      <c r="QED2" s="352"/>
      <c r="QEE2" s="352"/>
      <c r="QEF2" s="352"/>
      <c r="QEG2" s="352"/>
      <c r="QEH2" s="352"/>
      <c r="QEI2" s="352"/>
      <c r="QEJ2" s="352"/>
      <c r="QEK2" s="352"/>
      <c r="QEL2" s="352"/>
      <c r="QEM2" s="352"/>
      <c r="QEN2" s="352"/>
      <c r="QEO2" s="352"/>
      <c r="QEP2" s="352"/>
      <c r="QEQ2" s="352"/>
      <c r="QER2" s="352"/>
      <c r="QES2" s="352"/>
      <c r="QET2" s="352"/>
      <c r="QEU2" s="352"/>
      <c r="QEV2" s="352"/>
      <c r="QEW2" s="352"/>
      <c r="QEX2" s="352"/>
      <c r="QEY2" s="352"/>
      <c r="QEZ2" s="352"/>
      <c r="QFA2" s="352"/>
      <c r="QFB2" s="352"/>
      <c r="QFC2" s="352"/>
      <c r="QFD2" s="352"/>
      <c r="QFE2" s="352"/>
      <c r="QFF2" s="352"/>
      <c r="QFG2" s="352"/>
      <c r="QFH2" s="352"/>
      <c r="QFI2" s="352"/>
      <c r="QFJ2" s="352"/>
      <c r="QFK2" s="352"/>
      <c r="QFL2" s="352"/>
      <c r="QFM2" s="352"/>
      <c r="QFN2" s="352"/>
      <c r="QFO2" s="352"/>
      <c r="QFP2" s="352"/>
      <c r="QFQ2" s="352"/>
      <c r="QFR2" s="352"/>
      <c r="QFS2" s="352"/>
      <c r="QFT2" s="352"/>
      <c r="QFU2" s="352"/>
      <c r="QFV2" s="352"/>
      <c r="QFW2" s="352"/>
      <c r="QFX2" s="352"/>
      <c r="QFY2" s="352"/>
      <c r="QFZ2" s="352"/>
      <c r="QGA2" s="352"/>
      <c r="QGB2" s="352"/>
      <c r="QGC2" s="352"/>
      <c r="QGD2" s="352"/>
      <c r="QGE2" s="352"/>
      <c r="QGF2" s="352"/>
      <c r="QGG2" s="352"/>
      <c r="QGH2" s="352"/>
      <c r="QGI2" s="352"/>
      <c r="QGJ2" s="352"/>
      <c r="QGK2" s="352"/>
      <c r="QGL2" s="352"/>
      <c r="QGM2" s="352"/>
      <c r="QGN2" s="352"/>
      <c r="QGO2" s="352"/>
      <c r="QGP2" s="352"/>
      <c r="QGQ2" s="352"/>
      <c r="QGR2" s="352"/>
      <c r="QGS2" s="352"/>
      <c r="QGT2" s="352"/>
      <c r="QGU2" s="352"/>
      <c r="QGV2" s="352"/>
      <c r="QGW2" s="352"/>
      <c r="QGX2" s="352"/>
      <c r="QGY2" s="352"/>
      <c r="QGZ2" s="352"/>
      <c r="QHA2" s="352"/>
      <c r="QHB2" s="352"/>
      <c r="QHC2" s="352"/>
      <c r="QHD2" s="352"/>
      <c r="QHE2" s="352"/>
      <c r="QHF2" s="352"/>
      <c r="QHG2" s="352"/>
      <c r="QHH2" s="352"/>
      <c r="QHI2" s="352"/>
      <c r="QHJ2" s="352"/>
      <c r="QHK2" s="352"/>
      <c r="QHL2" s="352"/>
      <c r="QHM2" s="352"/>
      <c r="QHN2" s="352"/>
      <c r="QHO2" s="352"/>
      <c r="QHP2" s="352"/>
      <c r="QHQ2" s="352"/>
      <c r="QHR2" s="352"/>
      <c r="QHS2" s="352"/>
      <c r="QHT2" s="352"/>
      <c r="QHU2" s="352"/>
      <c r="QHV2" s="352"/>
      <c r="QHW2" s="352"/>
      <c r="QHX2" s="352"/>
      <c r="QHY2" s="352"/>
      <c r="QHZ2" s="352"/>
      <c r="QIA2" s="352"/>
      <c r="QIB2" s="352"/>
      <c r="QIC2" s="352"/>
      <c r="QID2" s="352"/>
      <c r="QIE2" s="352"/>
      <c r="QIF2" s="352"/>
      <c r="QIG2" s="352"/>
      <c r="QIH2" s="352"/>
      <c r="QII2" s="352"/>
      <c r="QIJ2" s="352"/>
      <c r="QIK2" s="352"/>
      <c r="QIL2" s="352"/>
      <c r="QIM2" s="352"/>
      <c r="QIN2" s="352"/>
      <c r="QIO2" s="352"/>
      <c r="QIP2" s="352"/>
      <c r="QIQ2" s="352"/>
      <c r="QIR2" s="352"/>
      <c r="QIS2" s="352"/>
      <c r="QIT2" s="352"/>
      <c r="QIU2" s="352"/>
      <c r="QIV2" s="352"/>
      <c r="QIW2" s="352"/>
      <c r="QIX2" s="352"/>
      <c r="QIY2" s="352"/>
      <c r="QIZ2" s="352"/>
      <c r="QJA2" s="352"/>
      <c r="QJB2" s="352"/>
      <c r="QJC2" s="352"/>
      <c r="QJD2" s="352"/>
      <c r="QJE2" s="352"/>
      <c r="QJF2" s="352"/>
      <c r="QJG2" s="352"/>
      <c r="QJH2" s="352"/>
      <c r="QJI2" s="352"/>
      <c r="QJJ2" s="352"/>
      <c r="QJK2" s="352"/>
      <c r="QJL2" s="352"/>
      <c r="QJM2" s="352"/>
      <c r="QJN2" s="352"/>
      <c r="QJO2" s="352"/>
      <c r="QJP2" s="352"/>
      <c r="QJQ2" s="352"/>
      <c r="QJR2" s="352"/>
      <c r="QJS2" s="352"/>
      <c r="QJT2" s="352"/>
      <c r="QJU2" s="352"/>
      <c r="QJV2" s="352"/>
      <c r="QJW2" s="352"/>
      <c r="QJX2" s="352"/>
      <c r="QJY2" s="352"/>
      <c r="QJZ2" s="352"/>
      <c r="QKA2" s="352"/>
      <c r="QKB2" s="352"/>
      <c r="QKC2" s="352"/>
      <c r="QKD2" s="352"/>
      <c r="QKE2" s="352"/>
      <c r="QKF2" s="352"/>
      <c r="QKG2" s="352"/>
      <c r="QKH2" s="352"/>
      <c r="QKI2" s="352"/>
      <c r="QKJ2" s="352"/>
      <c r="QKK2" s="352"/>
      <c r="QKL2" s="352"/>
      <c r="QKM2" s="352"/>
      <c r="QKN2" s="352"/>
      <c r="QKO2" s="352"/>
      <c r="QKP2" s="352"/>
      <c r="QKQ2" s="352"/>
      <c r="QKR2" s="352"/>
      <c r="QKS2" s="352"/>
      <c r="QKT2" s="352"/>
      <c r="QKU2" s="352"/>
      <c r="QKV2" s="352"/>
      <c r="QKW2" s="352"/>
      <c r="QKX2" s="352"/>
      <c r="QKY2" s="352"/>
      <c r="QKZ2" s="352"/>
      <c r="QLA2" s="352"/>
      <c r="QLB2" s="352"/>
      <c r="QLC2" s="352"/>
      <c r="QLD2" s="352"/>
      <c r="QLE2" s="352"/>
      <c r="QLF2" s="352"/>
      <c r="QLG2" s="352"/>
      <c r="QLH2" s="352"/>
      <c r="QLI2" s="352"/>
      <c r="QLJ2" s="352"/>
      <c r="QLK2" s="352"/>
      <c r="QLL2" s="352"/>
      <c r="QLM2" s="352"/>
      <c r="QLN2" s="352"/>
      <c r="QLO2" s="352"/>
      <c r="QLP2" s="352"/>
      <c r="QLQ2" s="352"/>
      <c r="QLR2" s="352"/>
      <c r="QLS2" s="352"/>
      <c r="QLT2" s="352"/>
      <c r="QLU2" s="352"/>
      <c r="QLV2" s="352"/>
      <c r="QLW2" s="352"/>
      <c r="QLX2" s="352"/>
      <c r="QLY2" s="352"/>
      <c r="QLZ2" s="352"/>
      <c r="QMA2" s="352"/>
      <c r="QMB2" s="352"/>
      <c r="QMC2" s="352"/>
      <c r="QMD2" s="352"/>
      <c r="QME2" s="352"/>
      <c r="QMF2" s="352"/>
      <c r="QMG2" s="352"/>
      <c r="QMH2" s="352"/>
      <c r="QMI2" s="352"/>
      <c r="QMJ2" s="352"/>
      <c r="QMK2" s="352"/>
      <c r="QML2" s="352"/>
      <c r="QMM2" s="352"/>
      <c r="QMN2" s="352"/>
      <c r="QMO2" s="352"/>
      <c r="QMP2" s="352"/>
      <c r="QMQ2" s="352"/>
      <c r="QMR2" s="352"/>
      <c r="QMS2" s="352"/>
      <c r="QMT2" s="352"/>
      <c r="QMU2" s="352"/>
      <c r="QMV2" s="352"/>
      <c r="QMW2" s="352"/>
      <c r="QMX2" s="352"/>
      <c r="QMY2" s="352"/>
      <c r="QMZ2" s="352"/>
      <c r="QNA2" s="352"/>
      <c r="QNB2" s="352"/>
      <c r="QNC2" s="352"/>
      <c r="QND2" s="352"/>
      <c r="QNE2" s="352"/>
      <c r="QNF2" s="352"/>
      <c r="QNG2" s="352"/>
      <c r="QNH2" s="352"/>
      <c r="QNI2" s="352"/>
      <c r="QNJ2" s="352"/>
      <c r="QNK2" s="352"/>
      <c r="QNL2" s="352"/>
      <c r="QNM2" s="352"/>
      <c r="QNN2" s="352"/>
      <c r="QNO2" s="352"/>
      <c r="QNP2" s="352"/>
      <c r="QNQ2" s="352"/>
      <c r="QNR2" s="352"/>
      <c r="QNS2" s="352"/>
      <c r="QNT2" s="352"/>
      <c r="QNU2" s="352"/>
      <c r="QNV2" s="352"/>
      <c r="QNW2" s="352"/>
      <c r="QNX2" s="352"/>
      <c r="QNY2" s="352"/>
      <c r="QNZ2" s="352"/>
      <c r="QOA2" s="352"/>
      <c r="QOB2" s="352"/>
      <c r="QOC2" s="352"/>
      <c r="QOD2" s="352"/>
      <c r="QOE2" s="352"/>
      <c r="QOF2" s="352"/>
      <c r="QOG2" s="352"/>
      <c r="QOH2" s="352"/>
      <c r="QOI2" s="352"/>
      <c r="QOJ2" s="352"/>
      <c r="QOK2" s="352"/>
      <c r="QOL2" s="352"/>
      <c r="QOM2" s="352"/>
      <c r="QON2" s="352"/>
      <c r="QOO2" s="352"/>
      <c r="QOP2" s="352"/>
      <c r="QOQ2" s="352"/>
      <c r="QOR2" s="352"/>
      <c r="QOS2" s="352"/>
      <c r="QOT2" s="352"/>
      <c r="QOU2" s="352"/>
      <c r="QOV2" s="352"/>
      <c r="QOW2" s="352"/>
      <c r="QOX2" s="352"/>
      <c r="QOY2" s="352"/>
      <c r="QOZ2" s="352"/>
      <c r="QPA2" s="352"/>
      <c r="QPB2" s="352"/>
      <c r="QPC2" s="352"/>
      <c r="QPD2" s="352"/>
      <c r="QPE2" s="352"/>
      <c r="QPF2" s="352"/>
      <c r="QPG2" s="352"/>
      <c r="QPH2" s="352"/>
      <c r="QPI2" s="352"/>
      <c r="QPJ2" s="352"/>
      <c r="QPK2" s="352"/>
      <c r="QPL2" s="352"/>
      <c r="QPM2" s="352"/>
      <c r="QPN2" s="352"/>
      <c r="QPO2" s="352"/>
      <c r="QPP2" s="352"/>
      <c r="QPQ2" s="352"/>
      <c r="QPR2" s="352"/>
      <c r="QPS2" s="352"/>
      <c r="QPT2" s="352"/>
      <c r="QPU2" s="352"/>
      <c r="QPV2" s="352"/>
      <c r="QPW2" s="352"/>
      <c r="QPX2" s="352"/>
      <c r="QPY2" s="352"/>
      <c r="QPZ2" s="352"/>
      <c r="QQA2" s="352"/>
      <c r="QQB2" s="352"/>
      <c r="QQC2" s="352"/>
      <c r="QQD2" s="352"/>
      <c r="QQE2" s="352"/>
      <c r="QQF2" s="352"/>
      <c r="QQG2" s="352"/>
      <c r="QQH2" s="352"/>
      <c r="QQI2" s="352"/>
      <c r="QQJ2" s="352"/>
      <c r="QQK2" s="352"/>
      <c r="QQL2" s="352"/>
      <c r="QQM2" s="352"/>
      <c r="QQN2" s="352"/>
      <c r="QQO2" s="352"/>
      <c r="QQP2" s="352"/>
      <c r="QQQ2" s="352"/>
      <c r="QQR2" s="352"/>
      <c r="QQS2" s="352"/>
      <c r="QQT2" s="352"/>
      <c r="QQU2" s="352"/>
      <c r="QQV2" s="352"/>
      <c r="QQW2" s="352"/>
      <c r="QQX2" s="352"/>
      <c r="QQY2" s="352"/>
      <c r="QQZ2" s="352"/>
      <c r="QRA2" s="352"/>
      <c r="QRB2" s="352"/>
      <c r="QRC2" s="352"/>
      <c r="QRD2" s="352"/>
      <c r="QRE2" s="352"/>
      <c r="QRF2" s="352"/>
      <c r="QRG2" s="352"/>
      <c r="QRH2" s="352"/>
      <c r="QRI2" s="352"/>
      <c r="QRJ2" s="352"/>
      <c r="QRK2" s="352"/>
      <c r="QRL2" s="352"/>
      <c r="QRM2" s="352"/>
      <c r="QRN2" s="352"/>
      <c r="QRO2" s="352"/>
      <c r="QRP2" s="352"/>
      <c r="QRQ2" s="352"/>
      <c r="QRR2" s="352"/>
      <c r="QRS2" s="352"/>
      <c r="QRT2" s="352"/>
      <c r="QRU2" s="352"/>
      <c r="QRV2" s="352"/>
      <c r="QRW2" s="352"/>
      <c r="QRX2" s="352"/>
      <c r="QRY2" s="352"/>
      <c r="QRZ2" s="352"/>
      <c r="QSA2" s="352"/>
      <c r="QSB2" s="352"/>
      <c r="QSC2" s="352"/>
      <c r="QSD2" s="352"/>
      <c r="QSE2" s="352"/>
      <c r="QSF2" s="352"/>
      <c r="QSG2" s="352"/>
      <c r="QSH2" s="352"/>
      <c r="QSI2" s="352"/>
      <c r="QSJ2" s="352"/>
      <c r="QSK2" s="352"/>
      <c r="QSL2" s="352"/>
      <c r="QSM2" s="352"/>
      <c r="QSN2" s="352"/>
      <c r="QSO2" s="352"/>
      <c r="QSP2" s="352"/>
      <c r="QSQ2" s="352"/>
      <c r="QSR2" s="352"/>
      <c r="QSS2" s="352"/>
      <c r="QST2" s="352"/>
      <c r="QSU2" s="352"/>
      <c r="QSV2" s="352"/>
      <c r="QSW2" s="352"/>
      <c r="QSX2" s="352"/>
      <c r="QSY2" s="352"/>
      <c r="QSZ2" s="352"/>
      <c r="QTA2" s="352"/>
      <c r="QTB2" s="352"/>
      <c r="QTC2" s="352"/>
      <c r="QTD2" s="352"/>
      <c r="QTE2" s="352"/>
      <c r="QTF2" s="352"/>
      <c r="QTG2" s="352"/>
      <c r="QTH2" s="352"/>
      <c r="QTI2" s="352"/>
      <c r="QTJ2" s="352"/>
      <c r="QTK2" s="352"/>
      <c r="QTL2" s="352"/>
      <c r="QTM2" s="352"/>
      <c r="QTN2" s="352"/>
      <c r="QTO2" s="352"/>
      <c r="QTP2" s="352"/>
      <c r="QTQ2" s="352"/>
      <c r="QTR2" s="352"/>
      <c r="QTS2" s="352"/>
      <c r="QTT2" s="352"/>
      <c r="QTU2" s="352"/>
      <c r="QTV2" s="352"/>
      <c r="QTW2" s="352"/>
      <c r="QTX2" s="352"/>
      <c r="QTY2" s="352"/>
      <c r="QTZ2" s="352"/>
      <c r="QUA2" s="352"/>
      <c r="QUB2" s="352"/>
      <c r="QUC2" s="352"/>
      <c r="QUD2" s="352"/>
      <c r="QUE2" s="352"/>
      <c r="QUF2" s="352"/>
      <c r="QUG2" s="352"/>
      <c r="QUH2" s="352"/>
      <c r="QUI2" s="352"/>
      <c r="QUJ2" s="352"/>
      <c r="QUK2" s="352"/>
      <c r="QUL2" s="352"/>
      <c r="QUM2" s="352"/>
      <c r="QUN2" s="352"/>
      <c r="QUO2" s="352"/>
      <c r="QUP2" s="352"/>
      <c r="QUQ2" s="352"/>
      <c r="QUR2" s="352"/>
      <c r="QUS2" s="352"/>
      <c r="QUT2" s="352"/>
      <c r="QUU2" s="352"/>
      <c r="QUV2" s="352"/>
      <c r="QUW2" s="352"/>
      <c r="QUX2" s="352"/>
      <c r="QUY2" s="352"/>
      <c r="QUZ2" s="352"/>
      <c r="QVA2" s="352"/>
      <c r="QVB2" s="352"/>
      <c r="QVC2" s="352"/>
      <c r="QVD2" s="352"/>
      <c r="QVE2" s="352"/>
      <c r="QVF2" s="352"/>
      <c r="QVG2" s="352"/>
      <c r="QVH2" s="352"/>
      <c r="QVI2" s="352"/>
      <c r="QVJ2" s="352"/>
      <c r="QVK2" s="352"/>
      <c r="QVL2" s="352"/>
      <c r="QVM2" s="352"/>
      <c r="QVN2" s="352"/>
      <c r="QVO2" s="352"/>
      <c r="QVP2" s="352"/>
      <c r="QVQ2" s="352"/>
      <c r="QVR2" s="352"/>
      <c r="QVS2" s="352"/>
      <c r="QVT2" s="352"/>
      <c r="QVU2" s="352"/>
      <c r="QVV2" s="352"/>
      <c r="QVW2" s="352"/>
      <c r="QVX2" s="352"/>
      <c r="QVY2" s="352"/>
      <c r="QVZ2" s="352"/>
      <c r="QWA2" s="352"/>
      <c r="QWB2" s="352"/>
      <c r="QWC2" s="352"/>
      <c r="QWD2" s="352"/>
      <c r="QWE2" s="352"/>
      <c r="QWF2" s="352"/>
      <c r="QWG2" s="352"/>
      <c r="QWH2" s="352"/>
      <c r="QWI2" s="352"/>
      <c r="QWJ2" s="352"/>
      <c r="QWK2" s="352"/>
      <c r="QWL2" s="352"/>
      <c r="QWM2" s="352"/>
      <c r="QWN2" s="352"/>
      <c r="QWO2" s="352"/>
      <c r="QWP2" s="352"/>
      <c r="QWQ2" s="352"/>
      <c r="QWR2" s="352"/>
      <c r="QWS2" s="352"/>
      <c r="QWT2" s="352"/>
      <c r="QWU2" s="352"/>
      <c r="QWV2" s="352"/>
      <c r="QWW2" s="352"/>
      <c r="QWX2" s="352"/>
      <c r="QWY2" s="352"/>
      <c r="QWZ2" s="352"/>
      <c r="QXA2" s="352"/>
      <c r="QXB2" s="352"/>
      <c r="QXC2" s="352"/>
      <c r="QXD2" s="352"/>
      <c r="QXE2" s="352"/>
      <c r="QXF2" s="352"/>
      <c r="QXG2" s="352"/>
      <c r="QXH2" s="352"/>
      <c r="QXI2" s="352"/>
      <c r="QXJ2" s="352"/>
      <c r="QXK2" s="352"/>
      <c r="QXL2" s="352"/>
      <c r="QXM2" s="352"/>
      <c r="QXN2" s="352"/>
      <c r="QXO2" s="352"/>
      <c r="QXP2" s="352"/>
      <c r="QXQ2" s="352"/>
      <c r="QXR2" s="352"/>
      <c r="QXS2" s="352"/>
      <c r="QXT2" s="352"/>
      <c r="QXU2" s="352"/>
      <c r="QXV2" s="352"/>
      <c r="QXW2" s="352"/>
      <c r="QXX2" s="352"/>
      <c r="QXY2" s="352"/>
      <c r="QXZ2" s="352"/>
      <c r="QYA2" s="352"/>
      <c r="QYB2" s="352"/>
      <c r="QYC2" s="352"/>
      <c r="QYD2" s="352"/>
      <c r="QYE2" s="352"/>
      <c r="QYF2" s="352"/>
      <c r="QYG2" s="352"/>
      <c r="QYH2" s="352"/>
      <c r="QYI2" s="352"/>
      <c r="QYJ2" s="352"/>
      <c r="QYK2" s="352"/>
      <c r="QYL2" s="352"/>
      <c r="QYM2" s="352"/>
      <c r="QYN2" s="352"/>
      <c r="QYO2" s="352"/>
      <c r="QYP2" s="352"/>
      <c r="QYQ2" s="352"/>
      <c r="QYR2" s="352"/>
      <c r="QYS2" s="352"/>
      <c r="QYT2" s="352"/>
      <c r="QYU2" s="352"/>
      <c r="QYV2" s="352"/>
      <c r="QYW2" s="352"/>
      <c r="QYX2" s="352"/>
      <c r="QYY2" s="352"/>
      <c r="QYZ2" s="352"/>
      <c r="QZA2" s="352"/>
      <c r="QZB2" s="352"/>
      <c r="QZC2" s="352"/>
      <c r="QZD2" s="352"/>
      <c r="QZE2" s="352"/>
      <c r="QZF2" s="352"/>
      <c r="QZG2" s="352"/>
      <c r="QZH2" s="352"/>
      <c r="QZI2" s="352"/>
      <c r="QZJ2" s="352"/>
      <c r="QZK2" s="352"/>
      <c r="QZL2" s="352"/>
      <c r="QZM2" s="352"/>
      <c r="QZN2" s="352"/>
      <c r="QZO2" s="352"/>
      <c r="QZP2" s="352"/>
      <c r="QZQ2" s="352"/>
      <c r="QZR2" s="352"/>
      <c r="QZS2" s="352"/>
      <c r="QZT2" s="352"/>
      <c r="QZU2" s="352"/>
      <c r="QZV2" s="352"/>
      <c r="QZW2" s="352"/>
      <c r="QZX2" s="352"/>
      <c r="QZY2" s="352"/>
      <c r="QZZ2" s="352"/>
      <c r="RAA2" s="352"/>
      <c r="RAB2" s="352"/>
      <c r="RAC2" s="352"/>
      <c r="RAD2" s="352"/>
      <c r="RAE2" s="352"/>
      <c r="RAF2" s="352"/>
      <c r="RAG2" s="352"/>
      <c r="RAH2" s="352"/>
      <c r="RAI2" s="352"/>
      <c r="RAJ2" s="352"/>
      <c r="RAK2" s="352"/>
      <c r="RAL2" s="352"/>
      <c r="RAM2" s="352"/>
      <c r="RAN2" s="352"/>
      <c r="RAO2" s="352"/>
      <c r="RAP2" s="352"/>
      <c r="RAQ2" s="352"/>
      <c r="RAR2" s="352"/>
      <c r="RAS2" s="352"/>
      <c r="RAT2" s="352"/>
      <c r="RAU2" s="352"/>
      <c r="RAV2" s="352"/>
      <c r="RAW2" s="352"/>
      <c r="RAX2" s="352"/>
      <c r="RAY2" s="352"/>
      <c r="RAZ2" s="352"/>
      <c r="RBA2" s="352"/>
      <c r="RBB2" s="352"/>
      <c r="RBC2" s="352"/>
      <c r="RBD2" s="352"/>
      <c r="RBE2" s="352"/>
      <c r="RBF2" s="352"/>
      <c r="RBG2" s="352"/>
      <c r="RBH2" s="352"/>
      <c r="RBI2" s="352"/>
      <c r="RBJ2" s="352"/>
      <c r="RBK2" s="352"/>
      <c r="RBL2" s="352"/>
      <c r="RBM2" s="352"/>
      <c r="RBN2" s="352"/>
      <c r="RBO2" s="352"/>
      <c r="RBP2" s="352"/>
      <c r="RBQ2" s="352"/>
      <c r="RBR2" s="352"/>
      <c r="RBS2" s="352"/>
      <c r="RBT2" s="352"/>
      <c r="RBU2" s="352"/>
      <c r="RBV2" s="352"/>
      <c r="RBW2" s="352"/>
      <c r="RBX2" s="352"/>
      <c r="RBY2" s="352"/>
      <c r="RBZ2" s="352"/>
      <c r="RCA2" s="352"/>
      <c r="RCB2" s="352"/>
      <c r="RCC2" s="352"/>
      <c r="RCD2" s="352"/>
      <c r="RCE2" s="352"/>
      <c r="RCF2" s="352"/>
      <c r="RCG2" s="352"/>
      <c r="RCH2" s="352"/>
      <c r="RCI2" s="352"/>
      <c r="RCJ2" s="352"/>
      <c r="RCK2" s="352"/>
      <c r="RCL2" s="352"/>
      <c r="RCM2" s="352"/>
      <c r="RCN2" s="352"/>
      <c r="RCO2" s="352"/>
      <c r="RCP2" s="352"/>
      <c r="RCQ2" s="352"/>
      <c r="RCR2" s="352"/>
      <c r="RCS2" s="352"/>
      <c r="RCT2" s="352"/>
      <c r="RCU2" s="352"/>
      <c r="RCV2" s="352"/>
      <c r="RCW2" s="352"/>
      <c r="RCX2" s="352"/>
      <c r="RCY2" s="352"/>
      <c r="RCZ2" s="352"/>
      <c r="RDA2" s="352"/>
      <c r="RDB2" s="352"/>
      <c r="RDC2" s="352"/>
      <c r="RDD2" s="352"/>
      <c r="RDE2" s="352"/>
      <c r="RDF2" s="352"/>
      <c r="RDG2" s="352"/>
      <c r="RDH2" s="352"/>
      <c r="RDI2" s="352"/>
      <c r="RDJ2" s="352"/>
      <c r="RDK2" s="352"/>
      <c r="RDL2" s="352"/>
      <c r="RDM2" s="352"/>
      <c r="RDN2" s="352"/>
      <c r="RDO2" s="352"/>
      <c r="RDP2" s="352"/>
      <c r="RDQ2" s="352"/>
      <c r="RDR2" s="352"/>
      <c r="RDS2" s="352"/>
      <c r="RDT2" s="352"/>
      <c r="RDU2" s="352"/>
      <c r="RDV2" s="352"/>
      <c r="RDW2" s="352"/>
      <c r="RDX2" s="352"/>
      <c r="RDY2" s="352"/>
      <c r="RDZ2" s="352"/>
      <c r="REA2" s="352"/>
      <c r="REB2" s="352"/>
      <c r="REC2" s="352"/>
      <c r="RED2" s="352"/>
      <c r="REE2" s="352"/>
      <c r="REF2" s="352"/>
      <c r="REG2" s="352"/>
      <c r="REH2" s="352"/>
      <c r="REI2" s="352"/>
      <c r="REJ2" s="352"/>
      <c r="REK2" s="352"/>
      <c r="REL2" s="352"/>
      <c r="REM2" s="352"/>
      <c r="REN2" s="352"/>
      <c r="REO2" s="352"/>
      <c r="REP2" s="352"/>
      <c r="REQ2" s="352"/>
      <c r="RER2" s="352"/>
      <c r="RES2" s="352"/>
      <c r="RET2" s="352"/>
      <c r="REU2" s="352"/>
      <c r="REV2" s="352"/>
      <c r="REW2" s="352"/>
      <c r="REX2" s="352"/>
      <c r="REY2" s="352"/>
      <c r="REZ2" s="352"/>
      <c r="RFA2" s="352"/>
      <c r="RFB2" s="352"/>
      <c r="RFC2" s="352"/>
      <c r="RFD2" s="352"/>
      <c r="RFE2" s="352"/>
      <c r="RFF2" s="352"/>
      <c r="RFG2" s="352"/>
      <c r="RFH2" s="352"/>
      <c r="RFI2" s="352"/>
      <c r="RFJ2" s="352"/>
      <c r="RFK2" s="352"/>
      <c r="RFL2" s="352"/>
      <c r="RFM2" s="352"/>
      <c r="RFN2" s="352"/>
      <c r="RFO2" s="352"/>
      <c r="RFP2" s="352"/>
      <c r="RFQ2" s="352"/>
      <c r="RFR2" s="352"/>
      <c r="RFS2" s="352"/>
      <c r="RFT2" s="352"/>
      <c r="RFU2" s="352"/>
      <c r="RFV2" s="352"/>
      <c r="RFW2" s="352"/>
      <c r="RFX2" s="352"/>
      <c r="RFY2" s="352"/>
      <c r="RFZ2" s="352"/>
      <c r="RGA2" s="352"/>
      <c r="RGB2" s="352"/>
      <c r="RGC2" s="352"/>
      <c r="RGD2" s="352"/>
      <c r="RGE2" s="352"/>
      <c r="RGF2" s="352"/>
      <c r="RGG2" s="352"/>
      <c r="RGH2" s="352"/>
      <c r="RGI2" s="352"/>
      <c r="RGJ2" s="352"/>
      <c r="RGK2" s="352"/>
      <c r="RGL2" s="352"/>
      <c r="RGM2" s="352"/>
      <c r="RGN2" s="352"/>
      <c r="RGO2" s="352"/>
      <c r="RGP2" s="352"/>
      <c r="RGQ2" s="352"/>
      <c r="RGR2" s="352"/>
      <c r="RGS2" s="352"/>
      <c r="RGT2" s="352"/>
      <c r="RGU2" s="352"/>
      <c r="RGV2" s="352"/>
      <c r="RGW2" s="352"/>
      <c r="RGX2" s="352"/>
      <c r="RGY2" s="352"/>
      <c r="RGZ2" s="352"/>
      <c r="RHA2" s="352"/>
      <c r="RHB2" s="352"/>
      <c r="RHC2" s="352"/>
      <c r="RHD2" s="352"/>
      <c r="RHE2" s="352"/>
      <c r="RHF2" s="352"/>
      <c r="RHG2" s="352"/>
      <c r="RHH2" s="352"/>
      <c r="RHI2" s="352"/>
      <c r="RHJ2" s="352"/>
      <c r="RHK2" s="352"/>
      <c r="RHL2" s="352"/>
      <c r="RHM2" s="352"/>
      <c r="RHN2" s="352"/>
      <c r="RHO2" s="352"/>
      <c r="RHP2" s="352"/>
      <c r="RHQ2" s="352"/>
      <c r="RHR2" s="352"/>
      <c r="RHS2" s="352"/>
      <c r="RHT2" s="352"/>
      <c r="RHU2" s="352"/>
      <c r="RHV2" s="352"/>
      <c r="RHW2" s="352"/>
      <c r="RHX2" s="352"/>
      <c r="RHY2" s="352"/>
      <c r="RHZ2" s="352"/>
      <c r="RIA2" s="352"/>
      <c r="RIB2" s="352"/>
      <c r="RIC2" s="352"/>
      <c r="RID2" s="352"/>
      <c r="RIE2" s="352"/>
      <c r="RIF2" s="352"/>
      <c r="RIG2" s="352"/>
      <c r="RIH2" s="352"/>
      <c r="RII2" s="352"/>
      <c r="RIJ2" s="352"/>
      <c r="RIK2" s="352"/>
      <c r="RIL2" s="352"/>
      <c r="RIM2" s="352"/>
      <c r="RIN2" s="352"/>
      <c r="RIO2" s="352"/>
      <c r="RIP2" s="352"/>
      <c r="RIQ2" s="352"/>
      <c r="RIR2" s="352"/>
      <c r="RIS2" s="352"/>
      <c r="RIT2" s="352"/>
      <c r="RIU2" s="352"/>
      <c r="RIV2" s="352"/>
      <c r="RIW2" s="352"/>
      <c r="RIX2" s="352"/>
      <c r="RIY2" s="352"/>
      <c r="RIZ2" s="352"/>
      <c r="RJA2" s="352"/>
      <c r="RJB2" s="352"/>
      <c r="RJC2" s="352"/>
      <c r="RJD2" s="352"/>
      <c r="RJE2" s="352"/>
      <c r="RJF2" s="352"/>
      <c r="RJG2" s="352"/>
      <c r="RJH2" s="352"/>
      <c r="RJI2" s="352"/>
      <c r="RJJ2" s="352"/>
      <c r="RJK2" s="352"/>
      <c r="RJL2" s="352"/>
      <c r="RJM2" s="352"/>
      <c r="RJN2" s="352"/>
      <c r="RJO2" s="352"/>
      <c r="RJP2" s="352"/>
      <c r="RJQ2" s="352"/>
      <c r="RJR2" s="352"/>
      <c r="RJS2" s="352"/>
      <c r="RJT2" s="352"/>
      <c r="RJU2" s="352"/>
      <c r="RJV2" s="352"/>
      <c r="RJW2" s="352"/>
      <c r="RJX2" s="352"/>
      <c r="RJY2" s="352"/>
      <c r="RJZ2" s="352"/>
      <c r="RKA2" s="352"/>
      <c r="RKB2" s="352"/>
      <c r="RKC2" s="352"/>
      <c r="RKD2" s="352"/>
      <c r="RKE2" s="352"/>
      <c r="RKF2" s="352"/>
      <c r="RKG2" s="352"/>
      <c r="RKH2" s="352"/>
      <c r="RKI2" s="352"/>
      <c r="RKJ2" s="352"/>
      <c r="RKK2" s="352"/>
      <c r="RKL2" s="352"/>
      <c r="RKM2" s="352"/>
      <c r="RKN2" s="352"/>
      <c r="RKO2" s="352"/>
      <c r="RKP2" s="352"/>
      <c r="RKQ2" s="352"/>
      <c r="RKR2" s="352"/>
      <c r="RKS2" s="352"/>
      <c r="RKT2" s="352"/>
      <c r="RKU2" s="352"/>
      <c r="RKV2" s="352"/>
      <c r="RKW2" s="352"/>
      <c r="RKX2" s="352"/>
      <c r="RKY2" s="352"/>
      <c r="RKZ2" s="352"/>
      <c r="RLA2" s="352"/>
      <c r="RLB2" s="352"/>
      <c r="RLC2" s="352"/>
      <c r="RLD2" s="352"/>
      <c r="RLE2" s="352"/>
      <c r="RLF2" s="352"/>
      <c r="RLG2" s="352"/>
      <c r="RLH2" s="352"/>
      <c r="RLI2" s="352"/>
      <c r="RLJ2" s="352"/>
      <c r="RLK2" s="352"/>
      <c r="RLL2" s="352"/>
      <c r="RLM2" s="352"/>
      <c r="RLN2" s="352"/>
      <c r="RLO2" s="352"/>
      <c r="RLP2" s="352"/>
      <c r="RLQ2" s="352"/>
      <c r="RLR2" s="352"/>
      <c r="RLS2" s="352"/>
      <c r="RLT2" s="352"/>
      <c r="RLU2" s="352"/>
      <c r="RLV2" s="352"/>
      <c r="RLW2" s="352"/>
      <c r="RLX2" s="352"/>
      <c r="RLY2" s="352"/>
      <c r="RLZ2" s="352"/>
      <c r="RMA2" s="352"/>
      <c r="RMB2" s="352"/>
      <c r="RMC2" s="352"/>
      <c r="RMD2" s="352"/>
      <c r="RME2" s="352"/>
      <c r="RMF2" s="352"/>
      <c r="RMG2" s="352"/>
      <c r="RMH2" s="352"/>
      <c r="RMI2" s="352"/>
      <c r="RMJ2" s="352"/>
      <c r="RMK2" s="352"/>
      <c r="RML2" s="352"/>
      <c r="RMM2" s="352"/>
      <c r="RMN2" s="352"/>
      <c r="RMO2" s="352"/>
      <c r="RMP2" s="352"/>
      <c r="RMQ2" s="352"/>
      <c r="RMR2" s="352"/>
      <c r="RMS2" s="352"/>
      <c r="RMT2" s="352"/>
      <c r="RMU2" s="352"/>
      <c r="RMV2" s="352"/>
      <c r="RMW2" s="352"/>
      <c r="RMX2" s="352"/>
      <c r="RMY2" s="352"/>
      <c r="RMZ2" s="352"/>
      <c r="RNA2" s="352"/>
      <c r="RNB2" s="352"/>
      <c r="RNC2" s="352"/>
      <c r="RND2" s="352"/>
      <c r="RNE2" s="352"/>
      <c r="RNF2" s="352"/>
      <c r="RNG2" s="352"/>
      <c r="RNH2" s="352"/>
      <c r="RNI2" s="352"/>
      <c r="RNJ2" s="352"/>
      <c r="RNK2" s="352"/>
      <c r="RNL2" s="352"/>
      <c r="RNM2" s="352"/>
      <c r="RNN2" s="352"/>
      <c r="RNO2" s="352"/>
      <c r="RNP2" s="352"/>
      <c r="RNQ2" s="352"/>
      <c r="RNR2" s="352"/>
      <c r="RNS2" s="352"/>
      <c r="RNT2" s="352"/>
      <c r="RNU2" s="352"/>
      <c r="RNV2" s="352"/>
      <c r="RNW2" s="352"/>
      <c r="RNX2" s="352"/>
      <c r="RNY2" s="352"/>
      <c r="RNZ2" s="352"/>
      <c r="ROA2" s="352"/>
      <c r="ROB2" s="352"/>
      <c r="ROC2" s="352"/>
      <c r="ROD2" s="352"/>
      <c r="ROE2" s="352"/>
      <c r="ROF2" s="352"/>
      <c r="ROG2" s="352"/>
      <c r="ROH2" s="352"/>
      <c r="ROI2" s="352"/>
      <c r="ROJ2" s="352"/>
      <c r="ROK2" s="352"/>
      <c r="ROL2" s="352"/>
      <c r="ROM2" s="352"/>
      <c r="RON2" s="352"/>
      <c r="ROO2" s="352"/>
      <c r="ROP2" s="352"/>
      <c r="ROQ2" s="352"/>
      <c r="ROR2" s="352"/>
      <c r="ROS2" s="352"/>
      <c r="ROT2" s="352"/>
      <c r="ROU2" s="352"/>
      <c r="ROV2" s="352"/>
      <c r="ROW2" s="352"/>
      <c r="ROX2" s="352"/>
      <c r="ROY2" s="352"/>
      <c r="ROZ2" s="352"/>
      <c r="RPA2" s="352"/>
      <c r="RPB2" s="352"/>
      <c r="RPC2" s="352"/>
      <c r="RPD2" s="352"/>
      <c r="RPE2" s="352"/>
      <c r="RPF2" s="352"/>
      <c r="RPG2" s="352"/>
      <c r="RPH2" s="352"/>
      <c r="RPI2" s="352"/>
      <c r="RPJ2" s="352"/>
      <c r="RPK2" s="352"/>
      <c r="RPL2" s="352"/>
      <c r="RPM2" s="352"/>
      <c r="RPN2" s="352"/>
      <c r="RPO2" s="352"/>
      <c r="RPP2" s="352"/>
      <c r="RPQ2" s="352"/>
      <c r="RPR2" s="352"/>
      <c r="RPS2" s="352"/>
      <c r="RPT2" s="352"/>
      <c r="RPU2" s="352"/>
      <c r="RPV2" s="352"/>
      <c r="RPW2" s="352"/>
      <c r="RPX2" s="352"/>
      <c r="RPY2" s="352"/>
      <c r="RPZ2" s="352"/>
      <c r="RQA2" s="352"/>
      <c r="RQB2" s="352"/>
      <c r="RQC2" s="352"/>
      <c r="RQD2" s="352"/>
      <c r="RQE2" s="352"/>
      <c r="RQF2" s="352"/>
      <c r="RQG2" s="352"/>
      <c r="RQH2" s="352"/>
      <c r="RQI2" s="352"/>
      <c r="RQJ2" s="352"/>
      <c r="RQK2" s="352"/>
      <c r="RQL2" s="352"/>
      <c r="RQM2" s="352"/>
      <c r="RQN2" s="352"/>
      <c r="RQO2" s="352"/>
      <c r="RQP2" s="352"/>
      <c r="RQQ2" s="352"/>
      <c r="RQR2" s="352"/>
      <c r="RQS2" s="352"/>
      <c r="RQT2" s="352"/>
      <c r="RQU2" s="352"/>
      <c r="RQV2" s="352"/>
      <c r="RQW2" s="352"/>
      <c r="RQX2" s="352"/>
      <c r="RQY2" s="352"/>
      <c r="RQZ2" s="352"/>
      <c r="RRA2" s="352"/>
      <c r="RRB2" s="352"/>
      <c r="RRC2" s="352"/>
      <c r="RRD2" s="352"/>
      <c r="RRE2" s="352"/>
      <c r="RRF2" s="352"/>
      <c r="RRG2" s="352"/>
      <c r="RRH2" s="352"/>
      <c r="RRI2" s="352"/>
      <c r="RRJ2" s="352"/>
      <c r="RRK2" s="352"/>
      <c r="RRL2" s="352"/>
      <c r="RRM2" s="352"/>
      <c r="RRN2" s="352"/>
      <c r="RRO2" s="352"/>
      <c r="RRP2" s="352"/>
      <c r="RRQ2" s="352"/>
      <c r="RRR2" s="352"/>
      <c r="RRS2" s="352"/>
      <c r="RRT2" s="352"/>
      <c r="RRU2" s="352"/>
      <c r="RRV2" s="352"/>
      <c r="RRW2" s="352"/>
      <c r="RRX2" s="352"/>
      <c r="RRY2" s="352"/>
      <c r="RRZ2" s="352"/>
      <c r="RSA2" s="352"/>
      <c r="RSB2" s="352"/>
      <c r="RSC2" s="352"/>
      <c r="RSD2" s="352"/>
      <c r="RSE2" s="352"/>
      <c r="RSF2" s="352"/>
      <c r="RSG2" s="352"/>
      <c r="RSH2" s="352"/>
      <c r="RSI2" s="352"/>
      <c r="RSJ2" s="352"/>
      <c r="RSK2" s="352"/>
      <c r="RSL2" s="352"/>
      <c r="RSM2" s="352"/>
      <c r="RSN2" s="352"/>
      <c r="RSO2" s="352"/>
      <c r="RSP2" s="352"/>
      <c r="RSQ2" s="352"/>
      <c r="RSR2" s="352"/>
      <c r="RSS2" s="352"/>
      <c r="RST2" s="352"/>
      <c r="RSU2" s="352"/>
      <c r="RSV2" s="352"/>
      <c r="RSW2" s="352"/>
      <c r="RSX2" s="352"/>
      <c r="RSY2" s="352"/>
      <c r="RSZ2" s="352"/>
      <c r="RTA2" s="352"/>
      <c r="RTB2" s="352"/>
      <c r="RTC2" s="352"/>
      <c r="RTD2" s="352"/>
      <c r="RTE2" s="352"/>
      <c r="RTF2" s="352"/>
      <c r="RTG2" s="352"/>
      <c r="RTH2" s="352"/>
      <c r="RTI2" s="352"/>
      <c r="RTJ2" s="352"/>
      <c r="RTK2" s="352"/>
      <c r="RTL2" s="352"/>
      <c r="RTM2" s="352"/>
      <c r="RTN2" s="352"/>
      <c r="RTO2" s="352"/>
      <c r="RTP2" s="352"/>
      <c r="RTQ2" s="352"/>
      <c r="RTR2" s="352"/>
      <c r="RTS2" s="352"/>
      <c r="RTT2" s="352"/>
      <c r="RTU2" s="352"/>
      <c r="RTV2" s="352"/>
      <c r="RTW2" s="352"/>
      <c r="RTX2" s="352"/>
      <c r="RTY2" s="352"/>
      <c r="RTZ2" s="352"/>
      <c r="RUA2" s="352"/>
      <c r="RUB2" s="352"/>
      <c r="RUC2" s="352"/>
      <c r="RUD2" s="352"/>
      <c r="RUE2" s="352"/>
      <c r="RUF2" s="352"/>
      <c r="RUG2" s="352"/>
      <c r="RUH2" s="352"/>
      <c r="RUI2" s="352"/>
      <c r="RUJ2" s="352"/>
      <c r="RUK2" s="352"/>
      <c r="RUL2" s="352"/>
      <c r="RUM2" s="352"/>
      <c r="RUN2" s="352"/>
      <c r="RUO2" s="352"/>
      <c r="RUP2" s="352"/>
      <c r="RUQ2" s="352"/>
      <c r="RUR2" s="352"/>
      <c r="RUS2" s="352"/>
      <c r="RUT2" s="352"/>
      <c r="RUU2" s="352"/>
      <c r="RUV2" s="352"/>
      <c r="RUW2" s="352"/>
      <c r="RUX2" s="352"/>
      <c r="RUY2" s="352"/>
      <c r="RUZ2" s="352"/>
      <c r="RVA2" s="352"/>
      <c r="RVB2" s="352"/>
      <c r="RVC2" s="352"/>
      <c r="RVD2" s="352"/>
      <c r="RVE2" s="352"/>
      <c r="RVF2" s="352"/>
      <c r="RVG2" s="352"/>
      <c r="RVH2" s="352"/>
      <c r="RVI2" s="352"/>
      <c r="RVJ2" s="352"/>
      <c r="RVK2" s="352"/>
      <c r="RVL2" s="352"/>
      <c r="RVM2" s="352"/>
      <c r="RVN2" s="352"/>
      <c r="RVO2" s="352"/>
      <c r="RVP2" s="352"/>
      <c r="RVQ2" s="352"/>
      <c r="RVR2" s="352"/>
      <c r="RVS2" s="352"/>
      <c r="RVT2" s="352"/>
      <c r="RVU2" s="352"/>
      <c r="RVV2" s="352"/>
      <c r="RVW2" s="352"/>
      <c r="RVX2" s="352"/>
      <c r="RVY2" s="352"/>
      <c r="RVZ2" s="352"/>
      <c r="RWA2" s="352"/>
      <c r="RWB2" s="352"/>
      <c r="RWC2" s="352"/>
      <c r="RWD2" s="352"/>
      <c r="RWE2" s="352"/>
      <c r="RWF2" s="352"/>
      <c r="RWG2" s="352"/>
      <c r="RWH2" s="352"/>
      <c r="RWI2" s="352"/>
      <c r="RWJ2" s="352"/>
      <c r="RWK2" s="352"/>
      <c r="RWL2" s="352"/>
      <c r="RWM2" s="352"/>
      <c r="RWN2" s="352"/>
      <c r="RWO2" s="352"/>
      <c r="RWP2" s="352"/>
      <c r="RWQ2" s="352"/>
      <c r="RWR2" s="352"/>
      <c r="RWS2" s="352"/>
      <c r="RWT2" s="352"/>
      <c r="RWU2" s="352"/>
      <c r="RWV2" s="352"/>
      <c r="RWW2" s="352"/>
      <c r="RWX2" s="352"/>
      <c r="RWY2" s="352"/>
      <c r="RWZ2" s="352"/>
      <c r="RXA2" s="352"/>
      <c r="RXB2" s="352"/>
      <c r="RXC2" s="352"/>
      <c r="RXD2" s="352"/>
      <c r="RXE2" s="352"/>
      <c r="RXF2" s="352"/>
      <c r="RXG2" s="352"/>
      <c r="RXH2" s="352"/>
      <c r="RXI2" s="352"/>
      <c r="RXJ2" s="352"/>
      <c r="RXK2" s="352"/>
      <c r="RXL2" s="352"/>
      <c r="RXM2" s="352"/>
      <c r="RXN2" s="352"/>
      <c r="RXO2" s="352"/>
      <c r="RXP2" s="352"/>
      <c r="RXQ2" s="352"/>
      <c r="RXR2" s="352"/>
      <c r="RXS2" s="352"/>
      <c r="RXT2" s="352"/>
      <c r="RXU2" s="352"/>
      <c r="RXV2" s="352"/>
      <c r="RXW2" s="352"/>
      <c r="RXX2" s="352"/>
      <c r="RXY2" s="352"/>
      <c r="RXZ2" s="352"/>
      <c r="RYA2" s="352"/>
      <c r="RYB2" s="352"/>
      <c r="RYC2" s="352"/>
      <c r="RYD2" s="352"/>
      <c r="RYE2" s="352"/>
      <c r="RYF2" s="352"/>
      <c r="RYG2" s="352"/>
      <c r="RYH2" s="352"/>
      <c r="RYI2" s="352"/>
      <c r="RYJ2" s="352"/>
      <c r="RYK2" s="352"/>
      <c r="RYL2" s="352"/>
      <c r="RYM2" s="352"/>
      <c r="RYN2" s="352"/>
      <c r="RYO2" s="352"/>
      <c r="RYP2" s="352"/>
      <c r="RYQ2" s="352"/>
      <c r="RYR2" s="352"/>
      <c r="RYS2" s="352"/>
      <c r="RYT2" s="352"/>
      <c r="RYU2" s="352"/>
      <c r="RYV2" s="352"/>
      <c r="RYW2" s="352"/>
      <c r="RYX2" s="352"/>
      <c r="RYY2" s="352"/>
      <c r="RYZ2" s="352"/>
      <c r="RZA2" s="352"/>
      <c r="RZB2" s="352"/>
      <c r="RZC2" s="352"/>
      <c r="RZD2" s="352"/>
      <c r="RZE2" s="352"/>
      <c r="RZF2" s="352"/>
      <c r="RZG2" s="352"/>
      <c r="RZH2" s="352"/>
      <c r="RZI2" s="352"/>
      <c r="RZJ2" s="352"/>
      <c r="RZK2" s="352"/>
      <c r="RZL2" s="352"/>
      <c r="RZM2" s="352"/>
      <c r="RZN2" s="352"/>
      <c r="RZO2" s="352"/>
      <c r="RZP2" s="352"/>
      <c r="RZQ2" s="352"/>
      <c r="RZR2" s="352"/>
      <c r="RZS2" s="352"/>
      <c r="RZT2" s="352"/>
      <c r="RZU2" s="352"/>
      <c r="RZV2" s="352"/>
      <c r="RZW2" s="352"/>
      <c r="RZX2" s="352"/>
      <c r="RZY2" s="352"/>
      <c r="RZZ2" s="352"/>
      <c r="SAA2" s="352"/>
      <c r="SAB2" s="352"/>
      <c r="SAC2" s="352"/>
      <c r="SAD2" s="352"/>
      <c r="SAE2" s="352"/>
      <c r="SAF2" s="352"/>
      <c r="SAG2" s="352"/>
      <c r="SAH2" s="352"/>
      <c r="SAI2" s="352"/>
      <c r="SAJ2" s="352"/>
      <c r="SAK2" s="352"/>
      <c r="SAL2" s="352"/>
      <c r="SAM2" s="352"/>
      <c r="SAN2" s="352"/>
      <c r="SAO2" s="352"/>
      <c r="SAP2" s="352"/>
      <c r="SAQ2" s="352"/>
      <c r="SAR2" s="352"/>
      <c r="SAS2" s="352"/>
      <c r="SAT2" s="352"/>
      <c r="SAU2" s="352"/>
      <c r="SAV2" s="352"/>
      <c r="SAW2" s="352"/>
      <c r="SAX2" s="352"/>
      <c r="SAY2" s="352"/>
      <c r="SAZ2" s="352"/>
      <c r="SBA2" s="352"/>
      <c r="SBB2" s="352"/>
      <c r="SBC2" s="352"/>
      <c r="SBD2" s="352"/>
      <c r="SBE2" s="352"/>
      <c r="SBF2" s="352"/>
      <c r="SBG2" s="352"/>
      <c r="SBH2" s="352"/>
      <c r="SBI2" s="352"/>
      <c r="SBJ2" s="352"/>
      <c r="SBK2" s="352"/>
      <c r="SBL2" s="352"/>
      <c r="SBM2" s="352"/>
      <c r="SBN2" s="352"/>
      <c r="SBO2" s="352"/>
      <c r="SBP2" s="352"/>
      <c r="SBQ2" s="352"/>
      <c r="SBR2" s="352"/>
      <c r="SBS2" s="352"/>
      <c r="SBT2" s="352"/>
      <c r="SBU2" s="352"/>
      <c r="SBV2" s="352"/>
      <c r="SBW2" s="352"/>
      <c r="SBX2" s="352"/>
      <c r="SBY2" s="352"/>
      <c r="SBZ2" s="352"/>
      <c r="SCA2" s="352"/>
      <c r="SCB2" s="352"/>
      <c r="SCC2" s="352"/>
      <c r="SCD2" s="352"/>
      <c r="SCE2" s="352"/>
      <c r="SCF2" s="352"/>
      <c r="SCG2" s="352"/>
      <c r="SCH2" s="352"/>
      <c r="SCI2" s="352"/>
      <c r="SCJ2" s="352"/>
      <c r="SCK2" s="352"/>
      <c r="SCL2" s="352"/>
      <c r="SCM2" s="352"/>
      <c r="SCN2" s="352"/>
      <c r="SCO2" s="352"/>
      <c r="SCP2" s="352"/>
      <c r="SCQ2" s="352"/>
      <c r="SCR2" s="352"/>
      <c r="SCS2" s="352"/>
      <c r="SCT2" s="352"/>
      <c r="SCU2" s="352"/>
      <c r="SCV2" s="352"/>
      <c r="SCW2" s="352"/>
      <c r="SCX2" s="352"/>
      <c r="SCY2" s="352"/>
      <c r="SCZ2" s="352"/>
      <c r="SDA2" s="352"/>
      <c r="SDB2" s="352"/>
      <c r="SDC2" s="352"/>
      <c r="SDD2" s="352"/>
      <c r="SDE2" s="352"/>
      <c r="SDF2" s="352"/>
      <c r="SDG2" s="352"/>
      <c r="SDH2" s="352"/>
      <c r="SDI2" s="352"/>
      <c r="SDJ2" s="352"/>
      <c r="SDK2" s="352"/>
      <c r="SDL2" s="352"/>
      <c r="SDM2" s="352"/>
      <c r="SDN2" s="352"/>
      <c r="SDO2" s="352"/>
      <c r="SDP2" s="352"/>
      <c r="SDQ2" s="352"/>
      <c r="SDR2" s="352"/>
      <c r="SDS2" s="352"/>
      <c r="SDT2" s="352"/>
      <c r="SDU2" s="352"/>
      <c r="SDV2" s="352"/>
      <c r="SDW2" s="352"/>
      <c r="SDX2" s="352"/>
      <c r="SDY2" s="352"/>
      <c r="SDZ2" s="352"/>
      <c r="SEA2" s="352"/>
      <c r="SEB2" s="352"/>
      <c r="SEC2" s="352"/>
      <c r="SED2" s="352"/>
      <c r="SEE2" s="352"/>
      <c r="SEF2" s="352"/>
      <c r="SEG2" s="352"/>
      <c r="SEH2" s="352"/>
      <c r="SEI2" s="352"/>
      <c r="SEJ2" s="352"/>
      <c r="SEK2" s="352"/>
      <c r="SEL2" s="352"/>
      <c r="SEM2" s="352"/>
      <c r="SEN2" s="352"/>
      <c r="SEO2" s="352"/>
      <c r="SEP2" s="352"/>
      <c r="SEQ2" s="352"/>
      <c r="SER2" s="352"/>
      <c r="SES2" s="352"/>
      <c r="SET2" s="352"/>
      <c r="SEU2" s="352"/>
      <c r="SEV2" s="352"/>
      <c r="SEW2" s="352"/>
      <c r="SEX2" s="352"/>
      <c r="SEY2" s="352"/>
      <c r="SEZ2" s="352"/>
      <c r="SFA2" s="352"/>
      <c r="SFB2" s="352"/>
      <c r="SFC2" s="352"/>
      <c r="SFD2" s="352"/>
      <c r="SFE2" s="352"/>
      <c r="SFF2" s="352"/>
      <c r="SFG2" s="352"/>
      <c r="SFH2" s="352"/>
      <c r="SFI2" s="352"/>
      <c r="SFJ2" s="352"/>
      <c r="SFK2" s="352"/>
      <c r="SFL2" s="352"/>
      <c r="SFM2" s="352"/>
      <c r="SFN2" s="352"/>
      <c r="SFO2" s="352"/>
      <c r="SFP2" s="352"/>
      <c r="SFQ2" s="352"/>
      <c r="SFR2" s="352"/>
      <c r="SFS2" s="352"/>
      <c r="SFT2" s="352"/>
      <c r="SFU2" s="352"/>
      <c r="SFV2" s="352"/>
      <c r="SFW2" s="352"/>
      <c r="SFX2" s="352"/>
      <c r="SFY2" s="352"/>
      <c r="SFZ2" s="352"/>
      <c r="SGA2" s="352"/>
      <c r="SGB2" s="352"/>
      <c r="SGC2" s="352"/>
      <c r="SGD2" s="352"/>
      <c r="SGE2" s="352"/>
      <c r="SGF2" s="352"/>
      <c r="SGG2" s="352"/>
      <c r="SGH2" s="352"/>
      <c r="SGI2" s="352"/>
      <c r="SGJ2" s="352"/>
      <c r="SGK2" s="352"/>
      <c r="SGL2" s="352"/>
      <c r="SGM2" s="352"/>
      <c r="SGN2" s="352"/>
      <c r="SGO2" s="352"/>
      <c r="SGP2" s="352"/>
      <c r="SGQ2" s="352"/>
      <c r="SGR2" s="352"/>
      <c r="SGS2" s="352"/>
      <c r="SGT2" s="352"/>
      <c r="SGU2" s="352"/>
      <c r="SGV2" s="352"/>
      <c r="SGW2" s="352"/>
      <c r="SGX2" s="352"/>
      <c r="SGY2" s="352"/>
      <c r="SGZ2" s="352"/>
      <c r="SHA2" s="352"/>
      <c r="SHB2" s="352"/>
      <c r="SHC2" s="352"/>
      <c r="SHD2" s="352"/>
      <c r="SHE2" s="352"/>
      <c r="SHF2" s="352"/>
      <c r="SHG2" s="352"/>
      <c r="SHH2" s="352"/>
      <c r="SHI2" s="352"/>
      <c r="SHJ2" s="352"/>
      <c r="SHK2" s="352"/>
      <c r="SHL2" s="352"/>
      <c r="SHM2" s="352"/>
      <c r="SHN2" s="352"/>
      <c r="SHO2" s="352"/>
      <c r="SHP2" s="352"/>
      <c r="SHQ2" s="352"/>
      <c r="SHR2" s="352"/>
      <c r="SHS2" s="352"/>
      <c r="SHT2" s="352"/>
      <c r="SHU2" s="352"/>
      <c r="SHV2" s="352"/>
      <c r="SHW2" s="352"/>
      <c r="SHX2" s="352"/>
      <c r="SHY2" s="352"/>
      <c r="SHZ2" s="352"/>
      <c r="SIA2" s="352"/>
      <c r="SIB2" s="352"/>
      <c r="SIC2" s="352"/>
      <c r="SID2" s="352"/>
      <c r="SIE2" s="352"/>
      <c r="SIF2" s="352"/>
      <c r="SIG2" s="352"/>
      <c r="SIH2" s="352"/>
      <c r="SII2" s="352"/>
      <c r="SIJ2" s="352"/>
      <c r="SIK2" s="352"/>
      <c r="SIL2" s="352"/>
      <c r="SIM2" s="352"/>
      <c r="SIN2" s="352"/>
      <c r="SIO2" s="352"/>
      <c r="SIP2" s="352"/>
      <c r="SIQ2" s="352"/>
      <c r="SIR2" s="352"/>
      <c r="SIS2" s="352"/>
      <c r="SIT2" s="352"/>
      <c r="SIU2" s="352"/>
      <c r="SIV2" s="352"/>
      <c r="SIW2" s="352"/>
      <c r="SIX2" s="352"/>
      <c r="SIY2" s="352"/>
      <c r="SIZ2" s="352"/>
      <c r="SJA2" s="352"/>
      <c r="SJB2" s="352"/>
      <c r="SJC2" s="352"/>
      <c r="SJD2" s="352"/>
      <c r="SJE2" s="352"/>
      <c r="SJF2" s="352"/>
      <c r="SJG2" s="352"/>
      <c r="SJH2" s="352"/>
      <c r="SJI2" s="352"/>
      <c r="SJJ2" s="352"/>
      <c r="SJK2" s="352"/>
      <c r="SJL2" s="352"/>
      <c r="SJM2" s="352"/>
      <c r="SJN2" s="352"/>
      <c r="SJO2" s="352"/>
      <c r="SJP2" s="352"/>
      <c r="SJQ2" s="352"/>
      <c r="SJR2" s="352"/>
      <c r="SJS2" s="352"/>
      <c r="SJT2" s="352"/>
      <c r="SJU2" s="352"/>
      <c r="SJV2" s="352"/>
      <c r="SJW2" s="352"/>
      <c r="SJX2" s="352"/>
      <c r="SJY2" s="352"/>
      <c r="SJZ2" s="352"/>
      <c r="SKA2" s="352"/>
      <c r="SKB2" s="352"/>
      <c r="SKC2" s="352"/>
      <c r="SKD2" s="352"/>
      <c r="SKE2" s="352"/>
      <c r="SKF2" s="352"/>
      <c r="SKG2" s="352"/>
      <c r="SKH2" s="352"/>
      <c r="SKI2" s="352"/>
      <c r="SKJ2" s="352"/>
      <c r="SKK2" s="352"/>
      <c r="SKL2" s="352"/>
      <c r="SKM2" s="352"/>
      <c r="SKN2" s="352"/>
      <c r="SKO2" s="352"/>
      <c r="SKP2" s="352"/>
      <c r="SKQ2" s="352"/>
      <c r="SKR2" s="352"/>
      <c r="SKS2" s="352"/>
      <c r="SKT2" s="352"/>
      <c r="SKU2" s="352"/>
      <c r="SKV2" s="352"/>
      <c r="SKW2" s="352"/>
      <c r="SKX2" s="352"/>
      <c r="SKY2" s="352"/>
      <c r="SKZ2" s="352"/>
      <c r="SLA2" s="352"/>
      <c r="SLB2" s="352"/>
      <c r="SLC2" s="352"/>
      <c r="SLD2" s="352"/>
      <c r="SLE2" s="352"/>
      <c r="SLF2" s="352"/>
      <c r="SLG2" s="352"/>
      <c r="SLH2" s="352"/>
      <c r="SLI2" s="352"/>
      <c r="SLJ2" s="352"/>
      <c r="SLK2" s="352"/>
      <c r="SLL2" s="352"/>
      <c r="SLM2" s="352"/>
      <c r="SLN2" s="352"/>
      <c r="SLO2" s="352"/>
      <c r="SLP2" s="352"/>
      <c r="SLQ2" s="352"/>
      <c r="SLR2" s="352"/>
      <c r="SLS2" s="352"/>
      <c r="SLT2" s="352"/>
      <c r="SLU2" s="352"/>
      <c r="SLV2" s="352"/>
      <c r="SLW2" s="352"/>
      <c r="SLX2" s="352"/>
      <c r="SLY2" s="352"/>
      <c r="SLZ2" s="352"/>
      <c r="SMA2" s="352"/>
      <c r="SMB2" s="352"/>
      <c r="SMC2" s="352"/>
      <c r="SMD2" s="352"/>
      <c r="SME2" s="352"/>
      <c r="SMF2" s="352"/>
      <c r="SMG2" s="352"/>
      <c r="SMH2" s="352"/>
      <c r="SMI2" s="352"/>
      <c r="SMJ2" s="352"/>
      <c r="SMK2" s="352"/>
      <c r="SML2" s="352"/>
      <c r="SMM2" s="352"/>
      <c r="SMN2" s="352"/>
      <c r="SMO2" s="352"/>
      <c r="SMP2" s="352"/>
      <c r="SMQ2" s="352"/>
      <c r="SMR2" s="352"/>
      <c r="SMS2" s="352"/>
      <c r="SMT2" s="352"/>
      <c r="SMU2" s="352"/>
      <c r="SMV2" s="352"/>
      <c r="SMW2" s="352"/>
      <c r="SMX2" s="352"/>
      <c r="SMY2" s="352"/>
      <c r="SMZ2" s="352"/>
      <c r="SNA2" s="352"/>
      <c r="SNB2" s="352"/>
      <c r="SNC2" s="352"/>
      <c r="SND2" s="352"/>
      <c r="SNE2" s="352"/>
      <c r="SNF2" s="352"/>
      <c r="SNG2" s="352"/>
      <c r="SNH2" s="352"/>
      <c r="SNI2" s="352"/>
      <c r="SNJ2" s="352"/>
      <c r="SNK2" s="352"/>
      <c r="SNL2" s="352"/>
      <c r="SNM2" s="352"/>
      <c r="SNN2" s="352"/>
      <c r="SNO2" s="352"/>
      <c r="SNP2" s="352"/>
      <c r="SNQ2" s="352"/>
      <c r="SNR2" s="352"/>
      <c r="SNS2" s="352"/>
      <c r="SNT2" s="352"/>
      <c r="SNU2" s="352"/>
      <c r="SNV2" s="352"/>
      <c r="SNW2" s="352"/>
      <c r="SNX2" s="352"/>
      <c r="SNY2" s="352"/>
      <c r="SNZ2" s="352"/>
      <c r="SOA2" s="352"/>
      <c r="SOB2" s="352"/>
      <c r="SOC2" s="352"/>
      <c r="SOD2" s="352"/>
      <c r="SOE2" s="352"/>
      <c r="SOF2" s="352"/>
      <c r="SOG2" s="352"/>
      <c r="SOH2" s="352"/>
      <c r="SOI2" s="352"/>
      <c r="SOJ2" s="352"/>
      <c r="SOK2" s="352"/>
      <c r="SOL2" s="352"/>
      <c r="SOM2" s="352"/>
      <c r="SON2" s="352"/>
      <c r="SOO2" s="352"/>
      <c r="SOP2" s="352"/>
      <c r="SOQ2" s="352"/>
      <c r="SOR2" s="352"/>
      <c r="SOS2" s="352"/>
      <c r="SOT2" s="352"/>
      <c r="SOU2" s="352"/>
      <c r="SOV2" s="352"/>
      <c r="SOW2" s="352"/>
      <c r="SOX2" s="352"/>
      <c r="SOY2" s="352"/>
      <c r="SOZ2" s="352"/>
      <c r="SPA2" s="352"/>
      <c r="SPB2" s="352"/>
      <c r="SPC2" s="352"/>
      <c r="SPD2" s="352"/>
      <c r="SPE2" s="352"/>
      <c r="SPF2" s="352"/>
      <c r="SPG2" s="352"/>
      <c r="SPH2" s="352"/>
      <c r="SPI2" s="352"/>
      <c r="SPJ2" s="352"/>
      <c r="SPK2" s="352"/>
      <c r="SPL2" s="352"/>
      <c r="SPM2" s="352"/>
      <c r="SPN2" s="352"/>
      <c r="SPO2" s="352"/>
      <c r="SPP2" s="352"/>
      <c r="SPQ2" s="352"/>
      <c r="SPR2" s="352"/>
      <c r="SPS2" s="352"/>
      <c r="SPT2" s="352"/>
      <c r="SPU2" s="352"/>
      <c r="SPV2" s="352"/>
      <c r="SPW2" s="352"/>
      <c r="SPX2" s="352"/>
      <c r="SPY2" s="352"/>
      <c r="SPZ2" s="352"/>
      <c r="SQA2" s="352"/>
      <c r="SQB2" s="352"/>
      <c r="SQC2" s="352"/>
      <c r="SQD2" s="352"/>
      <c r="SQE2" s="352"/>
      <c r="SQF2" s="352"/>
      <c r="SQG2" s="352"/>
      <c r="SQH2" s="352"/>
      <c r="SQI2" s="352"/>
      <c r="SQJ2" s="352"/>
      <c r="SQK2" s="352"/>
      <c r="SQL2" s="352"/>
      <c r="SQM2" s="352"/>
      <c r="SQN2" s="352"/>
      <c r="SQO2" s="352"/>
      <c r="SQP2" s="352"/>
      <c r="SQQ2" s="352"/>
      <c r="SQR2" s="352"/>
      <c r="SQS2" s="352"/>
      <c r="SQT2" s="352"/>
      <c r="SQU2" s="352"/>
      <c r="SQV2" s="352"/>
      <c r="SQW2" s="352"/>
      <c r="SQX2" s="352"/>
      <c r="SQY2" s="352"/>
      <c r="SQZ2" s="352"/>
      <c r="SRA2" s="352"/>
      <c r="SRB2" s="352"/>
      <c r="SRC2" s="352"/>
      <c r="SRD2" s="352"/>
      <c r="SRE2" s="352"/>
      <c r="SRF2" s="352"/>
      <c r="SRG2" s="352"/>
      <c r="SRH2" s="352"/>
      <c r="SRI2" s="352"/>
      <c r="SRJ2" s="352"/>
      <c r="SRK2" s="352"/>
      <c r="SRL2" s="352"/>
      <c r="SRM2" s="352"/>
      <c r="SRN2" s="352"/>
      <c r="SRO2" s="352"/>
      <c r="SRP2" s="352"/>
      <c r="SRQ2" s="352"/>
      <c r="SRR2" s="352"/>
      <c r="SRS2" s="352"/>
      <c r="SRT2" s="352"/>
      <c r="SRU2" s="352"/>
      <c r="SRV2" s="352"/>
      <c r="SRW2" s="352"/>
      <c r="SRX2" s="352"/>
      <c r="SRY2" s="352"/>
      <c r="SRZ2" s="352"/>
      <c r="SSA2" s="352"/>
      <c r="SSB2" s="352"/>
      <c r="SSC2" s="352"/>
      <c r="SSD2" s="352"/>
      <c r="SSE2" s="352"/>
      <c r="SSF2" s="352"/>
      <c r="SSG2" s="352"/>
      <c r="SSH2" s="352"/>
      <c r="SSI2" s="352"/>
      <c r="SSJ2" s="352"/>
      <c r="SSK2" s="352"/>
      <c r="SSL2" s="352"/>
      <c r="SSM2" s="352"/>
      <c r="SSN2" s="352"/>
      <c r="SSO2" s="352"/>
      <c r="SSP2" s="352"/>
      <c r="SSQ2" s="352"/>
      <c r="SSR2" s="352"/>
      <c r="SSS2" s="352"/>
      <c r="SST2" s="352"/>
      <c r="SSU2" s="352"/>
      <c r="SSV2" s="352"/>
      <c r="SSW2" s="352"/>
      <c r="SSX2" s="352"/>
      <c r="SSY2" s="352"/>
      <c r="SSZ2" s="352"/>
      <c r="STA2" s="352"/>
      <c r="STB2" s="352"/>
      <c r="STC2" s="352"/>
      <c r="STD2" s="352"/>
      <c r="STE2" s="352"/>
      <c r="STF2" s="352"/>
      <c r="STG2" s="352"/>
      <c r="STH2" s="352"/>
      <c r="STI2" s="352"/>
      <c r="STJ2" s="352"/>
      <c r="STK2" s="352"/>
      <c r="STL2" s="352"/>
      <c r="STM2" s="352"/>
      <c r="STN2" s="352"/>
      <c r="STO2" s="352"/>
      <c r="STP2" s="352"/>
      <c r="STQ2" s="352"/>
      <c r="STR2" s="352"/>
      <c r="STS2" s="352"/>
      <c r="STT2" s="352"/>
      <c r="STU2" s="352"/>
      <c r="STV2" s="352"/>
      <c r="STW2" s="352"/>
      <c r="STX2" s="352"/>
      <c r="STY2" s="352"/>
      <c r="STZ2" s="352"/>
      <c r="SUA2" s="352"/>
      <c r="SUB2" s="352"/>
      <c r="SUC2" s="352"/>
      <c r="SUD2" s="352"/>
      <c r="SUE2" s="352"/>
      <c r="SUF2" s="352"/>
      <c r="SUG2" s="352"/>
      <c r="SUH2" s="352"/>
      <c r="SUI2" s="352"/>
      <c r="SUJ2" s="352"/>
      <c r="SUK2" s="352"/>
      <c r="SUL2" s="352"/>
      <c r="SUM2" s="352"/>
      <c r="SUN2" s="352"/>
      <c r="SUO2" s="352"/>
      <c r="SUP2" s="352"/>
      <c r="SUQ2" s="352"/>
      <c r="SUR2" s="352"/>
      <c r="SUS2" s="352"/>
      <c r="SUT2" s="352"/>
      <c r="SUU2" s="352"/>
      <c r="SUV2" s="352"/>
      <c r="SUW2" s="352"/>
      <c r="SUX2" s="352"/>
      <c r="SUY2" s="352"/>
      <c r="SUZ2" s="352"/>
      <c r="SVA2" s="352"/>
      <c r="SVB2" s="352"/>
      <c r="SVC2" s="352"/>
      <c r="SVD2" s="352"/>
      <c r="SVE2" s="352"/>
      <c r="SVF2" s="352"/>
      <c r="SVG2" s="352"/>
      <c r="SVH2" s="352"/>
      <c r="SVI2" s="352"/>
      <c r="SVJ2" s="352"/>
      <c r="SVK2" s="352"/>
      <c r="SVL2" s="352"/>
      <c r="SVM2" s="352"/>
      <c r="SVN2" s="352"/>
      <c r="SVO2" s="352"/>
      <c r="SVP2" s="352"/>
      <c r="SVQ2" s="352"/>
      <c r="SVR2" s="352"/>
      <c r="SVS2" s="352"/>
      <c r="SVT2" s="352"/>
      <c r="SVU2" s="352"/>
      <c r="SVV2" s="352"/>
      <c r="SVW2" s="352"/>
      <c r="SVX2" s="352"/>
      <c r="SVY2" s="352"/>
      <c r="SVZ2" s="352"/>
      <c r="SWA2" s="352"/>
      <c r="SWB2" s="352"/>
      <c r="SWC2" s="352"/>
      <c r="SWD2" s="352"/>
      <c r="SWE2" s="352"/>
      <c r="SWF2" s="352"/>
      <c r="SWG2" s="352"/>
      <c r="SWH2" s="352"/>
      <c r="SWI2" s="352"/>
      <c r="SWJ2" s="352"/>
      <c r="SWK2" s="352"/>
      <c r="SWL2" s="352"/>
      <c r="SWM2" s="352"/>
      <c r="SWN2" s="352"/>
      <c r="SWO2" s="352"/>
      <c r="SWP2" s="352"/>
      <c r="SWQ2" s="352"/>
      <c r="SWR2" s="352"/>
      <c r="SWS2" s="352"/>
      <c r="SWT2" s="352"/>
      <c r="SWU2" s="352"/>
      <c r="SWV2" s="352"/>
      <c r="SWW2" s="352"/>
      <c r="SWX2" s="352"/>
      <c r="SWY2" s="352"/>
      <c r="SWZ2" s="352"/>
      <c r="SXA2" s="352"/>
      <c r="SXB2" s="352"/>
      <c r="SXC2" s="352"/>
      <c r="SXD2" s="352"/>
      <c r="SXE2" s="352"/>
      <c r="SXF2" s="352"/>
      <c r="SXG2" s="352"/>
      <c r="SXH2" s="352"/>
      <c r="SXI2" s="352"/>
      <c r="SXJ2" s="352"/>
      <c r="SXK2" s="352"/>
      <c r="SXL2" s="352"/>
      <c r="SXM2" s="352"/>
      <c r="SXN2" s="352"/>
      <c r="SXO2" s="352"/>
      <c r="SXP2" s="352"/>
      <c r="SXQ2" s="352"/>
      <c r="SXR2" s="352"/>
      <c r="SXS2" s="352"/>
      <c r="SXT2" s="352"/>
      <c r="SXU2" s="352"/>
      <c r="SXV2" s="352"/>
      <c r="SXW2" s="352"/>
      <c r="SXX2" s="352"/>
      <c r="SXY2" s="352"/>
      <c r="SXZ2" s="352"/>
      <c r="SYA2" s="352"/>
      <c r="SYB2" s="352"/>
      <c r="SYC2" s="352"/>
      <c r="SYD2" s="352"/>
      <c r="SYE2" s="352"/>
      <c r="SYF2" s="352"/>
      <c r="SYG2" s="352"/>
      <c r="SYH2" s="352"/>
      <c r="SYI2" s="352"/>
      <c r="SYJ2" s="352"/>
      <c r="SYK2" s="352"/>
      <c r="SYL2" s="352"/>
      <c r="SYM2" s="352"/>
      <c r="SYN2" s="352"/>
      <c r="SYO2" s="352"/>
      <c r="SYP2" s="352"/>
      <c r="SYQ2" s="352"/>
      <c r="SYR2" s="352"/>
      <c r="SYS2" s="352"/>
      <c r="SYT2" s="352"/>
      <c r="SYU2" s="352"/>
      <c r="SYV2" s="352"/>
      <c r="SYW2" s="352"/>
      <c r="SYX2" s="352"/>
      <c r="SYY2" s="352"/>
      <c r="SYZ2" s="352"/>
      <c r="SZA2" s="352"/>
      <c r="SZB2" s="352"/>
      <c r="SZC2" s="352"/>
      <c r="SZD2" s="352"/>
      <c r="SZE2" s="352"/>
      <c r="SZF2" s="352"/>
      <c r="SZG2" s="352"/>
      <c r="SZH2" s="352"/>
      <c r="SZI2" s="352"/>
      <c r="SZJ2" s="352"/>
      <c r="SZK2" s="352"/>
      <c r="SZL2" s="352"/>
      <c r="SZM2" s="352"/>
      <c r="SZN2" s="352"/>
      <c r="SZO2" s="352"/>
      <c r="SZP2" s="352"/>
      <c r="SZQ2" s="352"/>
      <c r="SZR2" s="352"/>
      <c r="SZS2" s="352"/>
      <c r="SZT2" s="352"/>
      <c r="SZU2" s="352"/>
      <c r="SZV2" s="352"/>
      <c r="SZW2" s="352"/>
      <c r="SZX2" s="352"/>
      <c r="SZY2" s="352"/>
      <c r="SZZ2" s="352"/>
      <c r="TAA2" s="352"/>
      <c r="TAB2" s="352"/>
      <c r="TAC2" s="352"/>
      <c r="TAD2" s="352"/>
      <c r="TAE2" s="352"/>
      <c r="TAF2" s="352"/>
      <c r="TAG2" s="352"/>
      <c r="TAH2" s="352"/>
      <c r="TAI2" s="352"/>
      <c r="TAJ2" s="352"/>
      <c r="TAK2" s="352"/>
      <c r="TAL2" s="352"/>
      <c r="TAM2" s="352"/>
      <c r="TAN2" s="352"/>
      <c r="TAO2" s="352"/>
      <c r="TAP2" s="352"/>
      <c r="TAQ2" s="352"/>
      <c r="TAR2" s="352"/>
      <c r="TAS2" s="352"/>
      <c r="TAT2" s="352"/>
      <c r="TAU2" s="352"/>
      <c r="TAV2" s="352"/>
      <c r="TAW2" s="352"/>
      <c r="TAX2" s="352"/>
      <c r="TAY2" s="352"/>
      <c r="TAZ2" s="352"/>
      <c r="TBA2" s="352"/>
      <c r="TBB2" s="352"/>
      <c r="TBC2" s="352"/>
      <c r="TBD2" s="352"/>
      <c r="TBE2" s="352"/>
      <c r="TBF2" s="352"/>
      <c r="TBG2" s="352"/>
      <c r="TBH2" s="352"/>
      <c r="TBI2" s="352"/>
      <c r="TBJ2" s="352"/>
      <c r="TBK2" s="352"/>
      <c r="TBL2" s="352"/>
      <c r="TBM2" s="352"/>
      <c r="TBN2" s="352"/>
      <c r="TBO2" s="352"/>
      <c r="TBP2" s="352"/>
      <c r="TBQ2" s="352"/>
      <c r="TBR2" s="352"/>
      <c r="TBS2" s="352"/>
      <c r="TBT2" s="352"/>
      <c r="TBU2" s="352"/>
      <c r="TBV2" s="352"/>
      <c r="TBW2" s="352"/>
      <c r="TBX2" s="352"/>
      <c r="TBY2" s="352"/>
      <c r="TBZ2" s="352"/>
      <c r="TCA2" s="352"/>
      <c r="TCB2" s="352"/>
      <c r="TCC2" s="352"/>
      <c r="TCD2" s="352"/>
      <c r="TCE2" s="352"/>
      <c r="TCF2" s="352"/>
      <c r="TCG2" s="352"/>
      <c r="TCH2" s="352"/>
      <c r="TCI2" s="352"/>
      <c r="TCJ2" s="352"/>
      <c r="TCK2" s="352"/>
      <c r="TCL2" s="352"/>
      <c r="TCM2" s="352"/>
      <c r="TCN2" s="352"/>
      <c r="TCO2" s="352"/>
      <c r="TCP2" s="352"/>
      <c r="TCQ2" s="352"/>
      <c r="TCR2" s="352"/>
      <c r="TCS2" s="352"/>
      <c r="TCT2" s="352"/>
      <c r="TCU2" s="352"/>
      <c r="TCV2" s="352"/>
      <c r="TCW2" s="352"/>
      <c r="TCX2" s="352"/>
      <c r="TCY2" s="352"/>
      <c r="TCZ2" s="352"/>
      <c r="TDA2" s="352"/>
      <c r="TDB2" s="352"/>
      <c r="TDC2" s="352"/>
      <c r="TDD2" s="352"/>
      <c r="TDE2" s="352"/>
      <c r="TDF2" s="352"/>
      <c r="TDG2" s="352"/>
      <c r="TDH2" s="352"/>
      <c r="TDI2" s="352"/>
      <c r="TDJ2" s="352"/>
      <c r="TDK2" s="352"/>
      <c r="TDL2" s="352"/>
      <c r="TDM2" s="352"/>
      <c r="TDN2" s="352"/>
      <c r="TDO2" s="352"/>
      <c r="TDP2" s="352"/>
      <c r="TDQ2" s="352"/>
      <c r="TDR2" s="352"/>
      <c r="TDS2" s="352"/>
      <c r="TDT2" s="352"/>
      <c r="TDU2" s="352"/>
      <c r="TDV2" s="352"/>
      <c r="TDW2" s="352"/>
      <c r="TDX2" s="352"/>
      <c r="TDY2" s="352"/>
      <c r="TDZ2" s="352"/>
      <c r="TEA2" s="352"/>
      <c r="TEB2" s="352"/>
      <c r="TEC2" s="352"/>
      <c r="TED2" s="352"/>
      <c r="TEE2" s="352"/>
      <c r="TEF2" s="352"/>
      <c r="TEG2" s="352"/>
      <c r="TEH2" s="352"/>
      <c r="TEI2" s="352"/>
      <c r="TEJ2" s="352"/>
      <c r="TEK2" s="352"/>
      <c r="TEL2" s="352"/>
      <c r="TEM2" s="352"/>
      <c r="TEN2" s="352"/>
      <c r="TEO2" s="352"/>
      <c r="TEP2" s="352"/>
      <c r="TEQ2" s="352"/>
      <c r="TER2" s="352"/>
      <c r="TES2" s="352"/>
      <c r="TET2" s="352"/>
      <c r="TEU2" s="352"/>
      <c r="TEV2" s="352"/>
      <c r="TEW2" s="352"/>
      <c r="TEX2" s="352"/>
      <c r="TEY2" s="352"/>
      <c r="TEZ2" s="352"/>
      <c r="TFA2" s="352"/>
      <c r="TFB2" s="352"/>
      <c r="TFC2" s="352"/>
      <c r="TFD2" s="352"/>
      <c r="TFE2" s="352"/>
      <c r="TFF2" s="352"/>
      <c r="TFG2" s="352"/>
      <c r="TFH2" s="352"/>
      <c r="TFI2" s="352"/>
      <c r="TFJ2" s="352"/>
      <c r="TFK2" s="352"/>
      <c r="TFL2" s="352"/>
      <c r="TFM2" s="352"/>
      <c r="TFN2" s="352"/>
      <c r="TFO2" s="352"/>
      <c r="TFP2" s="352"/>
      <c r="TFQ2" s="352"/>
      <c r="TFR2" s="352"/>
      <c r="TFS2" s="352"/>
      <c r="TFT2" s="352"/>
      <c r="TFU2" s="352"/>
      <c r="TFV2" s="352"/>
      <c r="TFW2" s="352"/>
      <c r="TFX2" s="352"/>
      <c r="TFY2" s="352"/>
      <c r="TFZ2" s="352"/>
      <c r="TGA2" s="352"/>
      <c r="TGB2" s="352"/>
      <c r="TGC2" s="352"/>
      <c r="TGD2" s="352"/>
      <c r="TGE2" s="352"/>
      <c r="TGF2" s="352"/>
      <c r="TGG2" s="352"/>
      <c r="TGH2" s="352"/>
      <c r="TGI2" s="352"/>
      <c r="TGJ2" s="352"/>
      <c r="TGK2" s="352"/>
      <c r="TGL2" s="352"/>
      <c r="TGM2" s="352"/>
      <c r="TGN2" s="352"/>
      <c r="TGO2" s="352"/>
      <c r="TGP2" s="352"/>
      <c r="TGQ2" s="352"/>
      <c r="TGR2" s="352"/>
      <c r="TGS2" s="352"/>
      <c r="TGT2" s="352"/>
      <c r="TGU2" s="352"/>
      <c r="TGV2" s="352"/>
      <c r="TGW2" s="352"/>
      <c r="TGX2" s="352"/>
      <c r="TGY2" s="352"/>
      <c r="TGZ2" s="352"/>
      <c r="THA2" s="352"/>
      <c r="THB2" s="352"/>
      <c r="THC2" s="352"/>
      <c r="THD2" s="352"/>
      <c r="THE2" s="352"/>
      <c r="THF2" s="352"/>
      <c r="THG2" s="352"/>
      <c r="THH2" s="352"/>
      <c r="THI2" s="352"/>
      <c r="THJ2" s="352"/>
      <c r="THK2" s="352"/>
      <c r="THL2" s="352"/>
      <c r="THM2" s="352"/>
      <c r="THN2" s="352"/>
      <c r="THO2" s="352"/>
      <c r="THP2" s="352"/>
      <c r="THQ2" s="352"/>
      <c r="THR2" s="352"/>
      <c r="THS2" s="352"/>
      <c r="THT2" s="352"/>
      <c r="THU2" s="352"/>
      <c r="THV2" s="352"/>
      <c r="THW2" s="352"/>
      <c r="THX2" s="352"/>
      <c r="THY2" s="352"/>
      <c r="THZ2" s="352"/>
      <c r="TIA2" s="352"/>
      <c r="TIB2" s="352"/>
      <c r="TIC2" s="352"/>
      <c r="TID2" s="352"/>
      <c r="TIE2" s="352"/>
      <c r="TIF2" s="352"/>
      <c r="TIG2" s="352"/>
      <c r="TIH2" s="352"/>
      <c r="TII2" s="352"/>
      <c r="TIJ2" s="352"/>
      <c r="TIK2" s="352"/>
      <c r="TIL2" s="352"/>
      <c r="TIM2" s="352"/>
      <c r="TIN2" s="352"/>
      <c r="TIO2" s="352"/>
      <c r="TIP2" s="352"/>
      <c r="TIQ2" s="352"/>
      <c r="TIR2" s="352"/>
      <c r="TIS2" s="352"/>
      <c r="TIT2" s="352"/>
      <c r="TIU2" s="352"/>
      <c r="TIV2" s="352"/>
      <c r="TIW2" s="352"/>
      <c r="TIX2" s="352"/>
      <c r="TIY2" s="352"/>
      <c r="TIZ2" s="352"/>
      <c r="TJA2" s="352"/>
      <c r="TJB2" s="352"/>
      <c r="TJC2" s="352"/>
      <c r="TJD2" s="352"/>
      <c r="TJE2" s="352"/>
      <c r="TJF2" s="352"/>
      <c r="TJG2" s="352"/>
      <c r="TJH2" s="352"/>
      <c r="TJI2" s="352"/>
      <c r="TJJ2" s="352"/>
      <c r="TJK2" s="352"/>
      <c r="TJL2" s="352"/>
      <c r="TJM2" s="352"/>
      <c r="TJN2" s="352"/>
      <c r="TJO2" s="352"/>
      <c r="TJP2" s="352"/>
      <c r="TJQ2" s="352"/>
      <c r="TJR2" s="352"/>
      <c r="TJS2" s="352"/>
      <c r="TJT2" s="352"/>
      <c r="TJU2" s="352"/>
      <c r="TJV2" s="352"/>
      <c r="TJW2" s="352"/>
      <c r="TJX2" s="352"/>
      <c r="TJY2" s="352"/>
      <c r="TJZ2" s="352"/>
      <c r="TKA2" s="352"/>
      <c r="TKB2" s="352"/>
      <c r="TKC2" s="352"/>
      <c r="TKD2" s="352"/>
      <c r="TKE2" s="352"/>
      <c r="TKF2" s="352"/>
      <c r="TKG2" s="352"/>
      <c r="TKH2" s="352"/>
      <c r="TKI2" s="352"/>
      <c r="TKJ2" s="352"/>
      <c r="TKK2" s="352"/>
      <c r="TKL2" s="352"/>
      <c r="TKM2" s="352"/>
      <c r="TKN2" s="352"/>
      <c r="TKO2" s="352"/>
      <c r="TKP2" s="352"/>
      <c r="TKQ2" s="352"/>
      <c r="TKR2" s="352"/>
      <c r="TKS2" s="352"/>
      <c r="TKT2" s="352"/>
      <c r="TKU2" s="352"/>
      <c r="TKV2" s="352"/>
      <c r="TKW2" s="352"/>
      <c r="TKX2" s="352"/>
      <c r="TKY2" s="352"/>
      <c r="TKZ2" s="352"/>
      <c r="TLA2" s="352"/>
      <c r="TLB2" s="352"/>
      <c r="TLC2" s="352"/>
      <c r="TLD2" s="352"/>
      <c r="TLE2" s="352"/>
      <c r="TLF2" s="352"/>
      <c r="TLG2" s="352"/>
      <c r="TLH2" s="352"/>
      <c r="TLI2" s="352"/>
      <c r="TLJ2" s="352"/>
      <c r="TLK2" s="352"/>
      <c r="TLL2" s="352"/>
      <c r="TLM2" s="352"/>
      <c r="TLN2" s="352"/>
      <c r="TLO2" s="352"/>
      <c r="TLP2" s="352"/>
      <c r="TLQ2" s="352"/>
      <c r="TLR2" s="352"/>
      <c r="TLS2" s="352"/>
      <c r="TLT2" s="352"/>
      <c r="TLU2" s="352"/>
      <c r="TLV2" s="352"/>
      <c r="TLW2" s="352"/>
      <c r="TLX2" s="352"/>
      <c r="TLY2" s="352"/>
      <c r="TLZ2" s="352"/>
      <c r="TMA2" s="352"/>
      <c r="TMB2" s="352"/>
      <c r="TMC2" s="352"/>
      <c r="TMD2" s="352"/>
      <c r="TME2" s="352"/>
      <c r="TMF2" s="352"/>
      <c r="TMG2" s="352"/>
      <c r="TMH2" s="352"/>
      <c r="TMI2" s="352"/>
      <c r="TMJ2" s="352"/>
      <c r="TMK2" s="352"/>
      <c r="TML2" s="352"/>
      <c r="TMM2" s="352"/>
      <c r="TMN2" s="352"/>
      <c r="TMO2" s="352"/>
      <c r="TMP2" s="352"/>
      <c r="TMQ2" s="352"/>
      <c r="TMR2" s="352"/>
      <c r="TMS2" s="352"/>
      <c r="TMT2" s="352"/>
      <c r="TMU2" s="352"/>
      <c r="TMV2" s="352"/>
      <c r="TMW2" s="352"/>
      <c r="TMX2" s="352"/>
      <c r="TMY2" s="352"/>
      <c r="TMZ2" s="352"/>
      <c r="TNA2" s="352"/>
      <c r="TNB2" s="352"/>
      <c r="TNC2" s="352"/>
      <c r="TND2" s="352"/>
      <c r="TNE2" s="352"/>
      <c r="TNF2" s="352"/>
      <c r="TNG2" s="352"/>
      <c r="TNH2" s="352"/>
      <c r="TNI2" s="352"/>
      <c r="TNJ2" s="352"/>
      <c r="TNK2" s="352"/>
      <c r="TNL2" s="352"/>
      <c r="TNM2" s="352"/>
      <c r="TNN2" s="352"/>
      <c r="TNO2" s="352"/>
      <c r="TNP2" s="352"/>
      <c r="TNQ2" s="352"/>
      <c r="TNR2" s="352"/>
      <c r="TNS2" s="352"/>
      <c r="TNT2" s="352"/>
      <c r="TNU2" s="352"/>
      <c r="TNV2" s="352"/>
      <c r="TNW2" s="352"/>
      <c r="TNX2" s="352"/>
      <c r="TNY2" s="352"/>
      <c r="TNZ2" s="352"/>
      <c r="TOA2" s="352"/>
      <c r="TOB2" s="352"/>
      <c r="TOC2" s="352"/>
      <c r="TOD2" s="352"/>
      <c r="TOE2" s="352"/>
      <c r="TOF2" s="352"/>
      <c r="TOG2" s="352"/>
      <c r="TOH2" s="352"/>
      <c r="TOI2" s="352"/>
      <c r="TOJ2" s="352"/>
      <c r="TOK2" s="352"/>
      <c r="TOL2" s="352"/>
      <c r="TOM2" s="352"/>
      <c r="TON2" s="352"/>
      <c r="TOO2" s="352"/>
      <c r="TOP2" s="352"/>
      <c r="TOQ2" s="352"/>
      <c r="TOR2" s="352"/>
      <c r="TOS2" s="352"/>
      <c r="TOT2" s="352"/>
      <c r="TOU2" s="352"/>
      <c r="TOV2" s="352"/>
      <c r="TOW2" s="352"/>
      <c r="TOX2" s="352"/>
      <c r="TOY2" s="352"/>
      <c r="TOZ2" s="352"/>
      <c r="TPA2" s="352"/>
      <c r="TPB2" s="352"/>
      <c r="TPC2" s="352"/>
      <c r="TPD2" s="352"/>
      <c r="TPE2" s="352"/>
      <c r="TPF2" s="352"/>
      <c r="TPG2" s="352"/>
      <c r="TPH2" s="352"/>
      <c r="TPI2" s="352"/>
      <c r="TPJ2" s="352"/>
      <c r="TPK2" s="352"/>
      <c r="TPL2" s="352"/>
      <c r="TPM2" s="352"/>
      <c r="TPN2" s="352"/>
      <c r="TPO2" s="352"/>
      <c r="TPP2" s="352"/>
      <c r="TPQ2" s="352"/>
      <c r="TPR2" s="352"/>
      <c r="TPS2" s="352"/>
      <c r="TPT2" s="352"/>
      <c r="TPU2" s="352"/>
      <c r="TPV2" s="352"/>
      <c r="TPW2" s="352"/>
      <c r="TPX2" s="352"/>
      <c r="TPY2" s="352"/>
      <c r="TPZ2" s="352"/>
      <c r="TQA2" s="352"/>
      <c r="TQB2" s="352"/>
      <c r="TQC2" s="352"/>
      <c r="TQD2" s="352"/>
      <c r="TQE2" s="352"/>
      <c r="TQF2" s="352"/>
      <c r="TQG2" s="352"/>
      <c r="TQH2" s="352"/>
      <c r="TQI2" s="352"/>
      <c r="TQJ2" s="352"/>
      <c r="TQK2" s="352"/>
      <c r="TQL2" s="352"/>
      <c r="TQM2" s="352"/>
      <c r="TQN2" s="352"/>
      <c r="TQO2" s="352"/>
      <c r="TQP2" s="352"/>
      <c r="TQQ2" s="352"/>
      <c r="TQR2" s="352"/>
      <c r="TQS2" s="352"/>
      <c r="TQT2" s="352"/>
      <c r="TQU2" s="352"/>
      <c r="TQV2" s="352"/>
      <c r="TQW2" s="352"/>
      <c r="TQX2" s="352"/>
      <c r="TQY2" s="352"/>
      <c r="TQZ2" s="352"/>
      <c r="TRA2" s="352"/>
      <c r="TRB2" s="352"/>
      <c r="TRC2" s="352"/>
      <c r="TRD2" s="352"/>
      <c r="TRE2" s="352"/>
      <c r="TRF2" s="352"/>
      <c r="TRG2" s="352"/>
      <c r="TRH2" s="352"/>
      <c r="TRI2" s="352"/>
      <c r="TRJ2" s="352"/>
      <c r="TRK2" s="352"/>
      <c r="TRL2" s="352"/>
      <c r="TRM2" s="352"/>
      <c r="TRN2" s="352"/>
      <c r="TRO2" s="352"/>
      <c r="TRP2" s="352"/>
      <c r="TRQ2" s="352"/>
      <c r="TRR2" s="352"/>
      <c r="TRS2" s="352"/>
      <c r="TRT2" s="352"/>
      <c r="TRU2" s="352"/>
      <c r="TRV2" s="352"/>
      <c r="TRW2" s="352"/>
      <c r="TRX2" s="352"/>
      <c r="TRY2" s="352"/>
      <c r="TRZ2" s="352"/>
      <c r="TSA2" s="352"/>
      <c r="TSB2" s="352"/>
      <c r="TSC2" s="352"/>
      <c r="TSD2" s="352"/>
      <c r="TSE2" s="352"/>
      <c r="TSF2" s="352"/>
      <c r="TSG2" s="352"/>
      <c r="TSH2" s="352"/>
      <c r="TSI2" s="352"/>
      <c r="TSJ2" s="352"/>
      <c r="TSK2" s="352"/>
      <c r="TSL2" s="352"/>
      <c r="TSM2" s="352"/>
      <c r="TSN2" s="352"/>
      <c r="TSO2" s="352"/>
      <c r="TSP2" s="352"/>
      <c r="TSQ2" s="352"/>
      <c r="TSR2" s="352"/>
      <c r="TSS2" s="352"/>
      <c r="TST2" s="352"/>
      <c r="TSU2" s="352"/>
      <c r="TSV2" s="352"/>
      <c r="TSW2" s="352"/>
      <c r="TSX2" s="352"/>
      <c r="TSY2" s="352"/>
      <c r="TSZ2" s="352"/>
      <c r="TTA2" s="352"/>
      <c r="TTB2" s="352"/>
      <c r="TTC2" s="352"/>
      <c r="TTD2" s="352"/>
      <c r="TTE2" s="352"/>
      <c r="TTF2" s="352"/>
      <c r="TTG2" s="352"/>
      <c r="TTH2" s="352"/>
      <c r="TTI2" s="352"/>
      <c r="TTJ2" s="352"/>
      <c r="TTK2" s="352"/>
      <c r="TTL2" s="352"/>
      <c r="TTM2" s="352"/>
      <c r="TTN2" s="352"/>
      <c r="TTO2" s="352"/>
      <c r="TTP2" s="352"/>
      <c r="TTQ2" s="352"/>
      <c r="TTR2" s="352"/>
      <c r="TTS2" s="352"/>
      <c r="TTT2" s="352"/>
      <c r="TTU2" s="352"/>
      <c r="TTV2" s="352"/>
      <c r="TTW2" s="352"/>
      <c r="TTX2" s="352"/>
      <c r="TTY2" s="352"/>
      <c r="TTZ2" s="352"/>
      <c r="TUA2" s="352"/>
      <c r="TUB2" s="352"/>
      <c r="TUC2" s="352"/>
      <c r="TUD2" s="352"/>
      <c r="TUE2" s="352"/>
      <c r="TUF2" s="352"/>
      <c r="TUG2" s="352"/>
      <c r="TUH2" s="352"/>
      <c r="TUI2" s="352"/>
      <c r="TUJ2" s="352"/>
      <c r="TUK2" s="352"/>
      <c r="TUL2" s="352"/>
      <c r="TUM2" s="352"/>
      <c r="TUN2" s="352"/>
      <c r="TUO2" s="352"/>
      <c r="TUP2" s="352"/>
      <c r="TUQ2" s="352"/>
      <c r="TUR2" s="352"/>
      <c r="TUS2" s="352"/>
      <c r="TUT2" s="352"/>
      <c r="TUU2" s="352"/>
      <c r="TUV2" s="352"/>
      <c r="TUW2" s="352"/>
      <c r="TUX2" s="352"/>
      <c r="TUY2" s="352"/>
      <c r="TUZ2" s="352"/>
      <c r="TVA2" s="352"/>
      <c r="TVB2" s="352"/>
      <c r="TVC2" s="352"/>
      <c r="TVD2" s="352"/>
      <c r="TVE2" s="352"/>
      <c r="TVF2" s="352"/>
      <c r="TVG2" s="352"/>
      <c r="TVH2" s="352"/>
      <c r="TVI2" s="352"/>
      <c r="TVJ2" s="352"/>
      <c r="TVK2" s="352"/>
      <c r="TVL2" s="352"/>
      <c r="TVM2" s="352"/>
      <c r="TVN2" s="352"/>
      <c r="TVO2" s="352"/>
      <c r="TVP2" s="352"/>
      <c r="TVQ2" s="352"/>
      <c r="TVR2" s="352"/>
      <c r="TVS2" s="352"/>
      <c r="TVT2" s="352"/>
      <c r="TVU2" s="352"/>
      <c r="TVV2" s="352"/>
      <c r="TVW2" s="352"/>
      <c r="TVX2" s="352"/>
      <c r="TVY2" s="352"/>
      <c r="TVZ2" s="352"/>
      <c r="TWA2" s="352"/>
      <c r="TWB2" s="352"/>
      <c r="TWC2" s="352"/>
      <c r="TWD2" s="352"/>
      <c r="TWE2" s="352"/>
      <c r="TWF2" s="352"/>
      <c r="TWG2" s="352"/>
      <c r="TWH2" s="352"/>
      <c r="TWI2" s="352"/>
      <c r="TWJ2" s="352"/>
      <c r="TWK2" s="352"/>
      <c r="TWL2" s="352"/>
      <c r="TWM2" s="352"/>
      <c r="TWN2" s="352"/>
      <c r="TWO2" s="352"/>
      <c r="TWP2" s="352"/>
      <c r="TWQ2" s="352"/>
      <c r="TWR2" s="352"/>
      <c r="TWS2" s="352"/>
      <c r="TWT2" s="352"/>
      <c r="TWU2" s="352"/>
      <c r="TWV2" s="352"/>
      <c r="TWW2" s="352"/>
      <c r="TWX2" s="352"/>
      <c r="TWY2" s="352"/>
      <c r="TWZ2" s="352"/>
      <c r="TXA2" s="352"/>
      <c r="TXB2" s="352"/>
      <c r="TXC2" s="352"/>
      <c r="TXD2" s="352"/>
      <c r="TXE2" s="352"/>
      <c r="TXF2" s="352"/>
      <c r="TXG2" s="352"/>
      <c r="TXH2" s="352"/>
      <c r="TXI2" s="352"/>
      <c r="TXJ2" s="352"/>
      <c r="TXK2" s="352"/>
      <c r="TXL2" s="352"/>
      <c r="TXM2" s="352"/>
      <c r="TXN2" s="352"/>
      <c r="TXO2" s="352"/>
      <c r="TXP2" s="352"/>
      <c r="TXQ2" s="352"/>
      <c r="TXR2" s="352"/>
      <c r="TXS2" s="352"/>
      <c r="TXT2" s="352"/>
      <c r="TXU2" s="352"/>
      <c r="TXV2" s="352"/>
      <c r="TXW2" s="352"/>
      <c r="TXX2" s="352"/>
      <c r="TXY2" s="352"/>
      <c r="TXZ2" s="352"/>
      <c r="TYA2" s="352"/>
      <c r="TYB2" s="352"/>
      <c r="TYC2" s="352"/>
      <c r="TYD2" s="352"/>
      <c r="TYE2" s="352"/>
      <c r="TYF2" s="352"/>
      <c r="TYG2" s="352"/>
      <c r="TYH2" s="352"/>
      <c r="TYI2" s="352"/>
      <c r="TYJ2" s="352"/>
      <c r="TYK2" s="352"/>
      <c r="TYL2" s="352"/>
      <c r="TYM2" s="352"/>
      <c r="TYN2" s="352"/>
      <c r="TYO2" s="352"/>
      <c r="TYP2" s="352"/>
      <c r="TYQ2" s="352"/>
      <c r="TYR2" s="352"/>
      <c r="TYS2" s="352"/>
      <c r="TYT2" s="352"/>
      <c r="TYU2" s="352"/>
      <c r="TYV2" s="352"/>
      <c r="TYW2" s="352"/>
      <c r="TYX2" s="352"/>
      <c r="TYY2" s="352"/>
      <c r="TYZ2" s="352"/>
      <c r="TZA2" s="352"/>
      <c r="TZB2" s="352"/>
      <c r="TZC2" s="352"/>
      <c r="TZD2" s="352"/>
      <c r="TZE2" s="352"/>
      <c r="TZF2" s="352"/>
      <c r="TZG2" s="352"/>
      <c r="TZH2" s="352"/>
      <c r="TZI2" s="352"/>
      <c r="TZJ2" s="352"/>
      <c r="TZK2" s="352"/>
      <c r="TZL2" s="352"/>
      <c r="TZM2" s="352"/>
      <c r="TZN2" s="352"/>
      <c r="TZO2" s="352"/>
      <c r="TZP2" s="352"/>
      <c r="TZQ2" s="352"/>
      <c r="TZR2" s="352"/>
      <c r="TZS2" s="352"/>
      <c r="TZT2" s="352"/>
      <c r="TZU2" s="352"/>
      <c r="TZV2" s="352"/>
      <c r="TZW2" s="352"/>
      <c r="TZX2" s="352"/>
      <c r="TZY2" s="352"/>
      <c r="TZZ2" s="352"/>
      <c r="UAA2" s="352"/>
      <c r="UAB2" s="352"/>
      <c r="UAC2" s="352"/>
      <c r="UAD2" s="352"/>
      <c r="UAE2" s="352"/>
      <c r="UAF2" s="352"/>
      <c r="UAG2" s="352"/>
      <c r="UAH2" s="352"/>
      <c r="UAI2" s="352"/>
      <c r="UAJ2" s="352"/>
      <c r="UAK2" s="352"/>
      <c r="UAL2" s="352"/>
      <c r="UAM2" s="352"/>
      <c r="UAN2" s="352"/>
      <c r="UAO2" s="352"/>
      <c r="UAP2" s="352"/>
      <c r="UAQ2" s="352"/>
      <c r="UAR2" s="352"/>
      <c r="UAS2" s="352"/>
      <c r="UAT2" s="352"/>
      <c r="UAU2" s="352"/>
      <c r="UAV2" s="352"/>
      <c r="UAW2" s="352"/>
      <c r="UAX2" s="352"/>
      <c r="UAY2" s="352"/>
      <c r="UAZ2" s="352"/>
      <c r="UBA2" s="352"/>
      <c r="UBB2" s="352"/>
      <c r="UBC2" s="352"/>
      <c r="UBD2" s="352"/>
      <c r="UBE2" s="352"/>
      <c r="UBF2" s="352"/>
      <c r="UBG2" s="352"/>
      <c r="UBH2" s="352"/>
      <c r="UBI2" s="352"/>
      <c r="UBJ2" s="352"/>
      <c r="UBK2" s="352"/>
      <c r="UBL2" s="352"/>
      <c r="UBM2" s="352"/>
      <c r="UBN2" s="352"/>
      <c r="UBO2" s="352"/>
      <c r="UBP2" s="352"/>
      <c r="UBQ2" s="352"/>
      <c r="UBR2" s="352"/>
      <c r="UBS2" s="352"/>
      <c r="UBT2" s="352"/>
      <c r="UBU2" s="352"/>
      <c r="UBV2" s="352"/>
      <c r="UBW2" s="352"/>
      <c r="UBX2" s="352"/>
      <c r="UBY2" s="352"/>
      <c r="UBZ2" s="352"/>
      <c r="UCA2" s="352"/>
      <c r="UCB2" s="352"/>
      <c r="UCC2" s="352"/>
      <c r="UCD2" s="352"/>
      <c r="UCE2" s="352"/>
      <c r="UCF2" s="352"/>
      <c r="UCG2" s="352"/>
      <c r="UCH2" s="352"/>
      <c r="UCI2" s="352"/>
      <c r="UCJ2" s="352"/>
      <c r="UCK2" s="352"/>
      <c r="UCL2" s="352"/>
      <c r="UCM2" s="352"/>
      <c r="UCN2" s="352"/>
      <c r="UCO2" s="352"/>
      <c r="UCP2" s="352"/>
      <c r="UCQ2" s="352"/>
      <c r="UCR2" s="352"/>
      <c r="UCS2" s="352"/>
      <c r="UCT2" s="352"/>
      <c r="UCU2" s="352"/>
      <c r="UCV2" s="352"/>
      <c r="UCW2" s="352"/>
      <c r="UCX2" s="352"/>
      <c r="UCY2" s="352"/>
      <c r="UCZ2" s="352"/>
      <c r="UDA2" s="352"/>
      <c r="UDB2" s="352"/>
      <c r="UDC2" s="352"/>
      <c r="UDD2" s="352"/>
      <c r="UDE2" s="352"/>
      <c r="UDF2" s="352"/>
      <c r="UDG2" s="352"/>
      <c r="UDH2" s="352"/>
      <c r="UDI2" s="352"/>
      <c r="UDJ2" s="352"/>
      <c r="UDK2" s="352"/>
      <c r="UDL2" s="352"/>
      <c r="UDM2" s="352"/>
      <c r="UDN2" s="352"/>
      <c r="UDO2" s="352"/>
      <c r="UDP2" s="352"/>
      <c r="UDQ2" s="352"/>
      <c r="UDR2" s="352"/>
      <c r="UDS2" s="352"/>
      <c r="UDT2" s="352"/>
      <c r="UDU2" s="352"/>
      <c r="UDV2" s="352"/>
      <c r="UDW2" s="352"/>
      <c r="UDX2" s="352"/>
      <c r="UDY2" s="352"/>
      <c r="UDZ2" s="352"/>
      <c r="UEA2" s="352"/>
      <c r="UEB2" s="352"/>
      <c r="UEC2" s="352"/>
      <c r="UED2" s="352"/>
      <c r="UEE2" s="352"/>
      <c r="UEF2" s="352"/>
      <c r="UEG2" s="352"/>
      <c r="UEH2" s="352"/>
      <c r="UEI2" s="352"/>
      <c r="UEJ2" s="352"/>
      <c r="UEK2" s="352"/>
      <c r="UEL2" s="352"/>
      <c r="UEM2" s="352"/>
      <c r="UEN2" s="352"/>
      <c r="UEO2" s="352"/>
      <c r="UEP2" s="352"/>
      <c r="UEQ2" s="352"/>
      <c r="UER2" s="352"/>
      <c r="UES2" s="352"/>
      <c r="UET2" s="352"/>
      <c r="UEU2" s="352"/>
      <c r="UEV2" s="352"/>
      <c r="UEW2" s="352"/>
      <c r="UEX2" s="352"/>
      <c r="UEY2" s="352"/>
      <c r="UEZ2" s="352"/>
      <c r="UFA2" s="352"/>
      <c r="UFB2" s="352"/>
      <c r="UFC2" s="352"/>
      <c r="UFD2" s="352"/>
      <c r="UFE2" s="352"/>
      <c r="UFF2" s="352"/>
      <c r="UFG2" s="352"/>
      <c r="UFH2" s="352"/>
      <c r="UFI2" s="352"/>
      <c r="UFJ2" s="352"/>
      <c r="UFK2" s="352"/>
      <c r="UFL2" s="352"/>
      <c r="UFM2" s="352"/>
      <c r="UFN2" s="352"/>
      <c r="UFO2" s="352"/>
      <c r="UFP2" s="352"/>
      <c r="UFQ2" s="352"/>
      <c r="UFR2" s="352"/>
      <c r="UFS2" s="352"/>
      <c r="UFT2" s="352"/>
      <c r="UFU2" s="352"/>
      <c r="UFV2" s="352"/>
      <c r="UFW2" s="352"/>
      <c r="UFX2" s="352"/>
      <c r="UFY2" s="352"/>
      <c r="UFZ2" s="352"/>
      <c r="UGA2" s="352"/>
      <c r="UGB2" s="352"/>
      <c r="UGC2" s="352"/>
      <c r="UGD2" s="352"/>
      <c r="UGE2" s="352"/>
      <c r="UGF2" s="352"/>
      <c r="UGG2" s="352"/>
      <c r="UGH2" s="352"/>
      <c r="UGI2" s="352"/>
      <c r="UGJ2" s="352"/>
      <c r="UGK2" s="352"/>
      <c r="UGL2" s="352"/>
      <c r="UGM2" s="352"/>
      <c r="UGN2" s="352"/>
      <c r="UGO2" s="352"/>
      <c r="UGP2" s="352"/>
      <c r="UGQ2" s="352"/>
      <c r="UGR2" s="352"/>
      <c r="UGS2" s="352"/>
      <c r="UGT2" s="352"/>
      <c r="UGU2" s="352"/>
      <c r="UGV2" s="352"/>
      <c r="UGW2" s="352"/>
      <c r="UGX2" s="352"/>
      <c r="UGY2" s="352"/>
      <c r="UGZ2" s="352"/>
      <c r="UHA2" s="352"/>
      <c r="UHB2" s="352"/>
      <c r="UHC2" s="352"/>
      <c r="UHD2" s="352"/>
      <c r="UHE2" s="352"/>
      <c r="UHF2" s="352"/>
      <c r="UHG2" s="352"/>
      <c r="UHH2" s="352"/>
      <c r="UHI2" s="352"/>
      <c r="UHJ2" s="352"/>
      <c r="UHK2" s="352"/>
      <c r="UHL2" s="352"/>
      <c r="UHM2" s="352"/>
      <c r="UHN2" s="352"/>
      <c r="UHO2" s="352"/>
      <c r="UHP2" s="352"/>
      <c r="UHQ2" s="352"/>
      <c r="UHR2" s="352"/>
      <c r="UHS2" s="352"/>
      <c r="UHT2" s="352"/>
      <c r="UHU2" s="352"/>
      <c r="UHV2" s="352"/>
      <c r="UHW2" s="352"/>
      <c r="UHX2" s="352"/>
      <c r="UHY2" s="352"/>
      <c r="UHZ2" s="352"/>
      <c r="UIA2" s="352"/>
      <c r="UIB2" s="352"/>
      <c r="UIC2" s="352"/>
      <c r="UID2" s="352"/>
      <c r="UIE2" s="352"/>
      <c r="UIF2" s="352"/>
      <c r="UIG2" s="352"/>
      <c r="UIH2" s="352"/>
      <c r="UII2" s="352"/>
      <c r="UIJ2" s="352"/>
      <c r="UIK2" s="352"/>
      <c r="UIL2" s="352"/>
      <c r="UIM2" s="352"/>
      <c r="UIN2" s="352"/>
      <c r="UIO2" s="352"/>
      <c r="UIP2" s="352"/>
      <c r="UIQ2" s="352"/>
      <c r="UIR2" s="352"/>
      <c r="UIS2" s="352"/>
      <c r="UIT2" s="352"/>
      <c r="UIU2" s="352"/>
      <c r="UIV2" s="352"/>
      <c r="UIW2" s="352"/>
      <c r="UIX2" s="352"/>
      <c r="UIY2" s="352"/>
      <c r="UIZ2" s="352"/>
      <c r="UJA2" s="352"/>
      <c r="UJB2" s="352"/>
      <c r="UJC2" s="352"/>
      <c r="UJD2" s="352"/>
      <c r="UJE2" s="352"/>
      <c r="UJF2" s="352"/>
      <c r="UJG2" s="352"/>
      <c r="UJH2" s="352"/>
      <c r="UJI2" s="352"/>
      <c r="UJJ2" s="352"/>
      <c r="UJK2" s="352"/>
      <c r="UJL2" s="352"/>
      <c r="UJM2" s="352"/>
      <c r="UJN2" s="352"/>
      <c r="UJO2" s="352"/>
      <c r="UJP2" s="352"/>
      <c r="UJQ2" s="352"/>
      <c r="UJR2" s="352"/>
      <c r="UJS2" s="352"/>
      <c r="UJT2" s="352"/>
      <c r="UJU2" s="352"/>
      <c r="UJV2" s="352"/>
      <c r="UJW2" s="352"/>
      <c r="UJX2" s="352"/>
      <c r="UJY2" s="352"/>
      <c r="UJZ2" s="352"/>
      <c r="UKA2" s="352"/>
      <c r="UKB2" s="352"/>
      <c r="UKC2" s="352"/>
      <c r="UKD2" s="352"/>
      <c r="UKE2" s="352"/>
      <c r="UKF2" s="352"/>
      <c r="UKG2" s="352"/>
      <c r="UKH2" s="352"/>
      <c r="UKI2" s="352"/>
      <c r="UKJ2" s="352"/>
      <c r="UKK2" s="352"/>
      <c r="UKL2" s="352"/>
      <c r="UKM2" s="352"/>
      <c r="UKN2" s="352"/>
      <c r="UKO2" s="352"/>
      <c r="UKP2" s="352"/>
      <c r="UKQ2" s="352"/>
      <c r="UKR2" s="352"/>
      <c r="UKS2" s="352"/>
      <c r="UKT2" s="352"/>
      <c r="UKU2" s="352"/>
      <c r="UKV2" s="352"/>
      <c r="UKW2" s="352"/>
      <c r="UKX2" s="352"/>
      <c r="UKY2" s="352"/>
      <c r="UKZ2" s="352"/>
      <c r="ULA2" s="352"/>
      <c r="ULB2" s="352"/>
      <c r="ULC2" s="352"/>
      <c r="ULD2" s="352"/>
      <c r="ULE2" s="352"/>
      <c r="ULF2" s="352"/>
      <c r="ULG2" s="352"/>
      <c r="ULH2" s="352"/>
      <c r="ULI2" s="352"/>
      <c r="ULJ2" s="352"/>
      <c r="ULK2" s="352"/>
      <c r="ULL2" s="352"/>
      <c r="ULM2" s="352"/>
      <c r="ULN2" s="352"/>
      <c r="ULO2" s="352"/>
      <c r="ULP2" s="352"/>
      <c r="ULQ2" s="352"/>
      <c r="ULR2" s="352"/>
      <c r="ULS2" s="352"/>
      <c r="ULT2" s="352"/>
      <c r="ULU2" s="352"/>
      <c r="ULV2" s="352"/>
      <c r="ULW2" s="352"/>
      <c r="ULX2" s="352"/>
      <c r="ULY2" s="352"/>
      <c r="ULZ2" s="352"/>
      <c r="UMA2" s="352"/>
      <c r="UMB2" s="352"/>
      <c r="UMC2" s="352"/>
      <c r="UMD2" s="352"/>
      <c r="UME2" s="352"/>
      <c r="UMF2" s="352"/>
      <c r="UMG2" s="352"/>
      <c r="UMH2" s="352"/>
      <c r="UMI2" s="352"/>
      <c r="UMJ2" s="352"/>
      <c r="UMK2" s="352"/>
      <c r="UML2" s="352"/>
      <c r="UMM2" s="352"/>
      <c r="UMN2" s="352"/>
      <c r="UMO2" s="352"/>
      <c r="UMP2" s="352"/>
      <c r="UMQ2" s="352"/>
      <c r="UMR2" s="352"/>
      <c r="UMS2" s="352"/>
      <c r="UMT2" s="352"/>
      <c r="UMU2" s="352"/>
      <c r="UMV2" s="352"/>
      <c r="UMW2" s="352"/>
      <c r="UMX2" s="352"/>
      <c r="UMY2" s="352"/>
      <c r="UMZ2" s="352"/>
      <c r="UNA2" s="352"/>
      <c r="UNB2" s="352"/>
      <c r="UNC2" s="352"/>
      <c r="UND2" s="352"/>
      <c r="UNE2" s="352"/>
      <c r="UNF2" s="352"/>
      <c r="UNG2" s="352"/>
      <c r="UNH2" s="352"/>
      <c r="UNI2" s="352"/>
      <c r="UNJ2" s="352"/>
      <c r="UNK2" s="352"/>
      <c r="UNL2" s="352"/>
      <c r="UNM2" s="352"/>
      <c r="UNN2" s="352"/>
      <c r="UNO2" s="352"/>
      <c r="UNP2" s="352"/>
      <c r="UNQ2" s="352"/>
      <c r="UNR2" s="352"/>
      <c r="UNS2" s="352"/>
      <c r="UNT2" s="352"/>
      <c r="UNU2" s="352"/>
      <c r="UNV2" s="352"/>
      <c r="UNW2" s="352"/>
      <c r="UNX2" s="352"/>
      <c r="UNY2" s="352"/>
      <c r="UNZ2" s="352"/>
      <c r="UOA2" s="352"/>
      <c r="UOB2" s="352"/>
      <c r="UOC2" s="352"/>
      <c r="UOD2" s="352"/>
      <c r="UOE2" s="352"/>
      <c r="UOF2" s="352"/>
      <c r="UOG2" s="352"/>
      <c r="UOH2" s="352"/>
      <c r="UOI2" s="352"/>
      <c r="UOJ2" s="352"/>
      <c r="UOK2" s="352"/>
      <c r="UOL2" s="352"/>
      <c r="UOM2" s="352"/>
      <c r="UON2" s="352"/>
      <c r="UOO2" s="352"/>
      <c r="UOP2" s="352"/>
      <c r="UOQ2" s="352"/>
      <c r="UOR2" s="352"/>
      <c r="UOS2" s="352"/>
      <c r="UOT2" s="352"/>
      <c r="UOU2" s="352"/>
      <c r="UOV2" s="352"/>
      <c r="UOW2" s="352"/>
      <c r="UOX2" s="352"/>
      <c r="UOY2" s="352"/>
      <c r="UOZ2" s="352"/>
      <c r="UPA2" s="352"/>
      <c r="UPB2" s="352"/>
      <c r="UPC2" s="352"/>
      <c r="UPD2" s="352"/>
      <c r="UPE2" s="352"/>
      <c r="UPF2" s="352"/>
      <c r="UPG2" s="352"/>
      <c r="UPH2" s="352"/>
      <c r="UPI2" s="352"/>
      <c r="UPJ2" s="352"/>
      <c r="UPK2" s="352"/>
      <c r="UPL2" s="352"/>
      <c r="UPM2" s="352"/>
      <c r="UPN2" s="352"/>
      <c r="UPO2" s="352"/>
      <c r="UPP2" s="352"/>
      <c r="UPQ2" s="352"/>
      <c r="UPR2" s="352"/>
      <c r="UPS2" s="352"/>
      <c r="UPT2" s="352"/>
      <c r="UPU2" s="352"/>
      <c r="UPV2" s="352"/>
      <c r="UPW2" s="352"/>
      <c r="UPX2" s="352"/>
      <c r="UPY2" s="352"/>
      <c r="UPZ2" s="352"/>
      <c r="UQA2" s="352"/>
      <c r="UQB2" s="352"/>
      <c r="UQC2" s="352"/>
      <c r="UQD2" s="352"/>
      <c r="UQE2" s="352"/>
      <c r="UQF2" s="352"/>
      <c r="UQG2" s="352"/>
      <c r="UQH2" s="352"/>
      <c r="UQI2" s="352"/>
      <c r="UQJ2" s="352"/>
      <c r="UQK2" s="352"/>
      <c r="UQL2" s="352"/>
      <c r="UQM2" s="352"/>
      <c r="UQN2" s="352"/>
      <c r="UQO2" s="352"/>
      <c r="UQP2" s="352"/>
      <c r="UQQ2" s="352"/>
      <c r="UQR2" s="352"/>
      <c r="UQS2" s="352"/>
      <c r="UQT2" s="352"/>
      <c r="UQU2" s="352"/>
      <c r="UQV2" s="352"/>
      <c r="UQW2" s="352"/>
      <c r="UQX2" s="352"/>
      <c r="UQY2" s="352"/>
      <c r="UQZ2" s="352"/>
      <c r="URA2" s="352"/>
      <c r="URB2" s="352"/>
      <c r="URC2" s="352"/>
      <c r="URD2" s="352"/>
      <c r="URE2" s="352"/>
      <c r="URF2" s="352"/>
      <c r="URG2" s="352"/>
      <c r="URH2" s="352"/>
      <c r="URI2" s="352"/>
      <c r="URJ2" s="352"/>
      <c r="URK2" s="352"/>
      <c r="URL2" s="352"/>
      <c r="URM2" s="352"/>
      <c r="URN2" s="352"/>
      <c r="URO2" s="352"/>
      <c r="URP2" s="352"/>
      <c r="URQ2" s="352"/>
      <c r="URR2" s="352"/>
      <c r="URS2" s="352"/>
      <c r="URT2" s="352"/>
      <c r="URU2" s="352"/>
      <c r="URV2" s="352"/>
      <c r="URW2" s="352"/>
      <c r="URX2" s="352"/>
      <c r="URY2" s="352"/>
      <c r="URZ2" s="352"/>
      <c r="USA2" s="352"/>
      <c r="USB2" s="352"/>
      <c r="USC2" s="352"/>
      <c r="USD2" s="352"/>
      <c r="USE2" s="352"/>
      <c r="USF2" s="352"/>
      <c r="USG2" s="352"/>
      <c r="USH2" s="352"/>
      <c r="USI2" s="352"/>
      <c r="USJ2" s="352"/>
      <c r="USK2" s="352"/>
      <c r="USL2" s="352"/>
      <c r="USM2" s="352"/>
      <c r="USN2" s="352"/>
      <c r="USO2" s="352"/>
      <c r="USP2" s="352"/>
      <c r="USQ2" s="352"/>
      <c r="USR2" s="352"/>
      <c r="USS2" s="352"/>
      <c r="UST2" s="352"/>
      <c r="USU2" s="352"/>
      <c r="USV2" s="352"/>
      <c r="USW2" s="352"/>
      <c r="USX2" s="352"/>
      <c r="USY2" s="352"/>
      <c r="USZ2" s="352"/>
      <c r="UTA2" s="352"/>
      <c r="UTB2" s="352"/>
      <c r="UTC2" s="352"/>
      <c r="UTD2" s="352"/>
      <c r="UTE2" s="352"/>
      <c r="UTF2" s="352"/>
      <c r="UTG2" s="352"/>
      <c r="UTH2" s="352"/>
      <c r="UTI2" s="352"/>
      <c r="UTJ2" s="352"/>
      <c r="UTK2" s="352"/>
      <c r="UTL2" s="352"/>
      <c r="UTM2" s="352"/>
      <c r="UTN2" s="352"/>
      <c r="UTO2" s="352"/>
      <c r="UTP2" s="352"/>
      <c r="UTQ2" s="352"/>
      <c r="UTR2" s="352"/>
      <c r="UTS2" s="352"/>
      <c r="UTT2" s="352"/>
      <c r="UTU2" s="352"/>
      <c r="UTV2" s="352"/>
      <c r="UTW2" s="352"/>
      <c r="UTX2" s="352"/>
      <c r="UTY2" s="352"/>
      <c r="UTZ2" s="352"/>
      <c r="UUA2" s="352"/>
      <c r="UUB2" s="352"/>
      <c r="UUC2" s="352"/>
      <c r="UUD2" s="352"/>
      <c r="UUE2" s="352"/>
      <c r="UUF2" s="352"/>
      <c r="UUG2" s="352"/>
      <c r="UUH2" s="352"/>
      <c r="UUI2" s="352"/>
      <c r="UUJ2" s="352"/>
      <c r="UUK2" s="352"/>
      <c r="UUL2" s="352"/>
      <c r="UUM2" s="352"/>
      <c r="UUN2" s="352"/>
      <c r="UUO2" s="352"/>
      <c r="UUP2" s="352"/>
      <c r="UUQ2" s="352"/>
      <c r="UUR2" s="352"/>
      <c r="UUS2" s="352"/>
      <c r="UUT2" s="352"/>
      <c r="UUU2" s="352"/>
      <c r="UUV2" s="352"/>
      <c r="UUW2" s="352"/>
      <c r="UUX2" s="352"/>
      <c r="UUY2" s="352"/>
      <c r="UUZ2" s="352"/>
      <c r="UVA2" s="352"/>
      <c r="UVB2" s="352"/>
      <c r="UVC2" s="352"/>
      <c r="UVD2" s="352"/>
      <c r="UVE2" s="352"/>
      <c r="UVF2" s="352"/>
      <c r="UVG2" s="352"/>
      <c r="UVH2" s="352"/>
      <c r="UVI2" s="352"/>
      <c r="UVJ2" s="352"/>
      <c r="UVK2" s="352"/>
      <c r="UVL2" s="352"/>
      <c r="UVM2" s="352"/>
      <c r="UVN2" s="352"/>
      <c r="UVO2" s="352"/>
      <c r="UVP2" s="352"/>
      <c r="UVQ2" s="352"/>
      <c r="UVR2" s="352"/>
      <c r="UVS2" s="352"/>
      <c r="UVT2" s="352"/>
      <c r="UVU2" s="352"/>
      <c r="UVV2" s="352"/>
      <c r="UVW2" s="352"/>
      <c r="UVX2" s="352"/>
      <c r="UVY2" s="352"/>
      <c r="UVZ2" s="352"/>
      <c r="UWA2" s="352"/>
      <c r="UWB2" s="352"/>
      <c r="UWC2" s="352"/>
      <c r="UWD2" s="352"/>
      <c r="UWE2" s="352"/>
      <c r="UWF2" s="352"/>
      <c r="UWG2" s="352"/>
      <c r="UWH2" s="352"/>
      <c r="UWI2" s="352"/>
      <c r="UWJ2" s="352"/>
      <c r="UWK2" s="352"/>
      <c r="UWL2" s="352"/>
      <c r="UWM2" s="352"/>
      <c r="UWN2" s="352"/>
      <c r="UWO2" s="352"/>
      <c r="UWP2" s="352"/>
      <c r="UWQ2" s="352"/>
      <c r="UWR2" s="352"/>
      <c r="UWS2" s="352"/>
      <c r="UWT2" s="352"/>
      <c r="UWU2" s="352"/>
      <c r="UWV2" s="352"/>
      <c r="UWW2" s="352"/>
      <c r="UWX2" s="352"/>
      <c r="UWY2" s="352"/>
      <c r="UWZ2" s="352"/>
      <c r="UXA2" s="352"/>
      <c r="UXB2" s="352"/>
      <c r="UXC2" s="352"/>
      <c r="UXD2" s="352"/>
      <c r="UXE2" s="352"/>
      <c r="UXF2" s="352"/>
      <c r="UXG2" s="352"/>
      <c r="UXH2" s="352"/>
      <c r="UXI2" s="352"/>
      <c r="UXJ2" s="352"/>
      <c r="UXK2" s="352"/>
      <c r="UXL2" s="352"/>
      <c r="UXM2" s="352"/>
      <c r="UXN2" s="352"/>
      <c r="UXO2" s="352"/>
      <c r="UXP2" s="352"/>
      <c r="UXQ2" s="352"/>
      <c r="UXR2" s="352"/>
      <c r="UXS2" s="352"/>
      <c r="UXT2" s="352"/>
      <c r="UXU2" s="352"/>
      <c r="UXV2" s="352"/>
      <c r="UXW2" s="352"/>
      <c r="UXX2" s="352"/>
      <c r="UXY2" s="352"/>
      <c r="UXZ2" s="352"/>
      <c r="UYA2" s="352"/>
      <c r="UYB2" s="352"/>
      <c r="UYC2" s="352"/>
      <c r="UYD2" s="352"/>
      <c r="UYE2" s="352"/>
      <c r="UYF2" s="352"/>
      <c r="UYG2" s="352"/>
      <c r="UYH2" s="352"/>
      <c r="UYI2" s="352"/>
      <c r="UYJ2" s="352"/>
      <c r="UYK2" s="352"/>
      <c r="UYL2" s="352"/>
      <c r="UYM2" s="352"/>
      <c r="UYN2" s="352"/>
      <c r="UYO2" s="352"/>
      <c r="UYP2" s="352"/>
      <c r="UYQ2" s="352"/>
      <c r="UYR2" s="352"/>
      <c r="UYS2" s="352"/>
      <c r="UYT2" s="352"/>
      <c r="UYU2" s="352"/>
      <c r="UYV2" s="352"/>
      <c r="UYW2" s="352"/>
      <c r="UYX2" s="352"/>
      <c r="UYY2" s="352"/>
      <c r="UYZ2" s="352"/>
      <c r="UZA2" s="352"/>
      <c r="UZB2" s="352"/>
      <c r="UZC2" s="352"/>
      <c r="UZD2" s="352"/>
      <c r="UZE2" s="352"/>
      <c r="UZF2" s="352"/>
      <c r="UZG2" s="352"/>
      <c r="UZH2" s="352"/>
      <c r="UZI2" s="352"/>
      <c r="UZJ2" s="352"/>
      <c r="UZK2" s="352"/>
      <c r="UZL2" s="352"/>
      <c r="UZM2" s="352"/>
      <c r="UZN2" s="352"/>
      <c r="UZO2" s="352"/>
      <c r="UZP2" s="352"/>
      <c r="UZQ2" s="352"/>
      <c r="UZR2" s="352"/>
      <c r="UZS2" s="352"/>
      <c r="UZT2" s="352"/>
      <c r="UZU2" s="352"/>
      <c r="UZV2" s="352"/>
      <c r="UZW2" s="352"/>
      <c r="UZX2" s="352"/>
      <c r="UZY2" s="352"/>
      <c r="UZZ2" s="352"/>
      <c r="VAA2" s="352"/>
      <c r="VAB2" s="352"/>
      <c r="VAC2" s="352"/>
      <c r="VAD2" s="352"/>
      <c r="VAE2" s="352"/>
      <c r="VAF2" s="352"/>
      <c r="VAG2" s="352"/>
      <c r="VAH2" s="352"/>
      <c r="VAI2" s="352"/>
      <c r="VAJ2" s="352"/>
      <c r="VAK2" s="352"/>
      <c r="VAL2" s="352"/>
      <c r="VAM2" s="352"/>
      <c r="VAN2" s="352"/>
      <c r="VAO2" s="352"/>
      <c r="VAP2" s="352"/>
      <c r="VAQ2" s="352"/>
      <c r="VAR2" s="352"/>
      <c r="VAS2" s="352"/>
      <c r="VAT2" s="352"/>
      <c r="VAU2" s="352"/>
      <c r="VAV2" s="352"/>
      <c r="VAW2" s="352"/>
      <c r="VAX2" s="352"/>
      <c r="VAY2" s="352"/>
      <c r="VAZ2" s="352"/>
      <c r="VBA2" s="352"/>
      <c r="VBB2" s="352"/>
      <c r="VBC2" s="352"/>
      <c r="VBD2" s="352"/>
      <c r="VBE2" s="352"/>
      <c r="VBF2" s="352"/>
      <c r="VBG2" s="352"/>
      <c r="VBH2" s="352"/>
      <c r="VBI2" s="352"/>
      <c r="VBJ2" s="352"/>
      <c r="VBK2" s="352"/>
      <c r="VBL2" s="352"/>
      <c r="VBM2" s="352"/>
      <c r="VBN2" s="352"/>
      <c r="VBO2" s="352"/>
      <c r="VBP2" s="352"/>
      <c r="VBQ2" s="352"/>
      <c r="VBR2" s="352"/>
      <c r="VBS2" s="352"/>
      <c r="VBT2" s="352"/>
      <c r="VBU2" s="352"/>
      <c r="VBV2" s="352"/>
      <c r="VBW2" s="352"/>
      <c r="VBX2" s="352"/>
      <c r="VBY2" s="352"/>
      <c r="VBZ2" s="352"/>
      <c r="VCA2" s="352"/>
      <c r="VCB2" s="352"/>
      <c r="VCC2" s="352"/>
      <c r="VCD2" s="352"/>
      <c r="VCE2" s="352"/>
      <c r="VCF2" s="352"/>
      <c r="VCG2" s="352"/>
      <c r="VCH2" s="352"/>
      <c r="VCI2" s="352"/>
      <c r="VCJ2" s="352"/>
      <c r="VCK2" s="352"/>
      <c r="VCL2" s="352"/>
      <c r="VCM2" s="352"/>
      <c r="VCN2" s="352"/>
      <c r="VCO2" s="352"/>
      <c r="VCP2" s="352"/>
      <c r="VCQ2" s="352"/>
      <c r="VCR2" s="352"/>
      <c r="VCS2" s="352"/>
      <c r="VCT2" s="352"/>
      <c r="VCU2" s="352"/>
      <c r="VCV2" s="352"/>
      <c r="VCW2" s="352"/>
      <c r="VCX2" s="352"/>
      <c r="VCY2" s="352"/>
      <c r="VCZ2" s="352"/>
      <c r="VDA2" s="352"/>
      <c r="VDB2" s="352"/>
      <c r="VDC2" s="352"/>
      <c r="VDD2" s="352"/>
      <c r="VDE2" s="352"/>
      <c r="VDF2" s="352"/>
      <c r="VDG2" s="352"/>
      <c r="VDH2" s="352"/>
      <c r="VDI2" s="352"/>
      <c r="VDJ2" s="352"/>
      <c r="VDK2" s="352"/>
      <c r="VDL2" s="352"/>
      <c r="VDM2" s="352"/>
      <c r="VDN2" s="352"/>
      <c r="VDO2" s="352"/>
      <c r="VDP2" s="352"/>
      <c r="VDQ2" s="352"/>
      <c r="VDR2" s="352"/>
      <c r="VDS2" s="352"/>
      <c r="VDT2" s="352"/>
      <c r="VDU2" s="352"/>
      <c r="VDV2" s="352"/>
      <c r="VDW2" s="352"/>
      <c r="VDX2" s="352"/>
      <c r="VDY2" s="352"/>
      <c r="VDZ2" s="352"/>
      <c r="VEA2" s="352"/>
      <c r="VEB2" s="352"/>
      <c r="VEC2" s="352"/>
      <c r="VED2" s="352"/>
      <c r="VEE2" s="352"/>
      <c r="VEF2" s="352"/>
      <c r="VEG2" s="352"/>
      <c r="VEH2" s="352"/>
      <c r="VEI2" s="352"/>
      <c r="VEJ2" s="352"/>
      <c r="VEK2" s="352"/>
      <c r="VEL2" s="352"/>
      <c r="VEM2" s="352"/>
      <c r="VEN2" s="352"/>
      <c r="VEO2" s="352"/>
      <c r="VEP2" s="352"/>
      <c r="VEQ2" s="352"/>
      <c r="VER2" s="352"/>
      <c r="VES2" s="352"/>
      <c r="VET2" s="352"/>
      <c r="VEU2" s="352"/>
      <c r="VEV2" s="352"/>
      <c r="VEW2" s="352"/>
      <c r="VEX2" s="352"/>
      <c r="VEY2" s="352"/>
      <c r="VEZ2" s="352"/>
      <c r="VFA2" s="352"/>
      <c r="VFB2" s="352"/>
      <c r="VFC2" s="352"/>
      <c r="VFD2" s="352"/>
      <c r="VFE2" s="352"/>
      <c r="VFF2" s="352"/>
      <c r="VFG2" s="352"/>
      <c r="VFH2" s="352"/>
      <c r="VFI2" s="352"/>
      <c r="VFJ2" s="352"/>
      <c r="VFK2" s="352"/>
      <c r="VFL2" s="352"/>
      <c r="VFM2" s="352"/>
      <c r="VFN2" s="352"/>
      <c r="VFO2" s="352"/>
      <c r="VFP2" s="352"/>
      <c r="VFQ2" s="352"/>
      <c r="VFR2" s="352"/>
      <c r="VFS2" s="352"/>
      <c r="VFT2" s="352"/>
      <c r="VFU2" s="352"/>
      <c r="VFV2" s="352"/>
      <c r="VFW2" s="352"/>
      <c r="VFX2" s="352"/>
      <c r="VFY2" s="352"/>
      <c r="VFZ2" s="352"/>
      <c r="VGA2" s="352"/>
      <c r="VGB2" s="352"/>
      <c r="VGC2" s="352"/>
      <c r="VGD2" s="352"/>
      <c r="VGE2" s="352"/>
      <c r="VGF2" s="352"/>
      <c r="VGG2" s="352"/>
      <c r="VGH2" s="352"/>
      <c r="VGI2" s="352"/>
      <c r="VGJ2" s="352"/>
      <c r="VGK2" s="352"/>
      <c r="VGL2" s="352"/>
      <c r="VGM2" s="352"/>
      <c r="VGN2" s="352"/>
      <c r="VGO2" s="352"/>
      <c r="VGP2" s="352"/>
      <c r="VGQ2" s="352"/>
      <c r="VGR2" s="352"/>
      <c r="VGS2" s="352"/>
      <c r="VGT2" s="352"/>
      <c r="VGU2" s="352"/>
      <c r="VGV2" s="352"/>
      <c r="VGW2" s="352"/>
      <c r="VGX2" s="352"/>
      <c r="VGY2" s="352"/>
      <c r="VGZ2" s="352"/>
      <c r="VHA2" s="352"/>
      <c r="VHB2" s="352"/>
      <c r="VHC2" s="352"/>
      <c r="VHD2" s="352"/>
      <c r="VHE2" s="352"/>
      <c r="VHF2" s="352"/>
      <c r="VHG2" s="352"/>
      <c r="VHH2" s="352"/>
      <c r="VHI2" s="352"/>
      <c r="VHJ2" s="352"/>
      <c r="VHK2" s="352"/>
      <c r="VHL2" s="352"/>
      <c r="VHM2" s="352"/>
      <c r="VHN2" s="352"/>
      <c r="VHO2" s="352"/>
      <c r="VHP2" s="352"/>
      <c r="VHQ2" s="352"/>
      <c r="VHR2" s="352"/>
      <c r="VHS2" s="352"/>
      <c r="VHT2" s="352"/>
      <c r="VHU2" s="352"/>
      <c r="VHV2" s="352"/>
      <c r="VHW2" s="352"/>
      <c r="VHX2" s="352"/>
      <c r="VHY2" s="352"/>
      <c r="VHZ2" s="352"/>
      <c r="VIA2" s="352"/>
      <c r="VIB2" s="352"/>
      <c r="VIC2" s="352"/>
      <c r="VID2" s="352"/>
      <c r="VIE2" s="352"/>
      <c r="VIF2" s="352"/>
      <c r="VIG2" s="352"/>
      <c r="VIH2" s="352"/>
      <c r="VII2" s="352"/>
      <c r="VIJ2" s="352"/>
      <c r="VIK2" s="352"/>
      <c r="VIL2" s="352"/>
      <c r="VIM2" s="352"/>
      <c r="VIN2" s="352"/>
      <c r="VIO2" s="352"/>
      <c r="VIP2" s="352"/>
      <c r="VIQ2" s="352"/>
      <c r="VIR2" s="352"/>
      <c r="VIS2" s="352"/>
      <c r="VIT2" s="352"/>
      <c r="VIU2" s="352"/>
      <c r="VIV2" s="352"/>
      <c r="VIW2" s="352"/>
      <c r="VIX2" s="352"/>
      <c r="VIY2" s="352"/>
      <c r="VIZ2" s="352"/>
      <c r="VJA2" s="352"/>
      <c r="VJB2" s="352"/>
      <c r="VJC2" s="352"/>
      <c r="VJD2" s="352"/>
      <c r="VJE2" s="352"/>
      <c r="VJF2" s="352"/>
      <c r="VJG2" s="352"/>
      <c r="VJH2" s="352"/>
      <c r="VJI2" s="352"/>
      <c r="VJJ2" s="352"/>
      <c r="VJK2" s="352"/>
      <c r="VJL2" s="352"/>
      <c r="VJM2" s="352"/>
      <c r="VJN2" s="352"/>
      <c r="VJO2" s="352"/>
      <c r="VJP2" s="352"/>
      <c r="VJQ2" s="352"/>
      <c r="VJR2" s="352"/>
      <c r="VJS2" s="352"/>
      <c r="VJT2" s="352"/>
      <c r="VJU2" s="352"/>
      <c r="VJV2" s="352"/>
      <c r="VJW2" s="352"/>
      <c r="VJX2" s="352"/>
      <c r="VJY2" s="352"/>
      <c r="VJZ2" s="352"/>
      <c r="VKA2" s="352"/>
      <c r="VKB2" s="352"/>
      <c r="VKC2" s="352"/>
      <c r="VKD2" s="352"/>
      <c r="VKE2" s="352"/>
      <c r="VKF2" s="352"/>
      <c r="VKG2" s="352"/>
      <c r="VKH2" s="352"/>
      <c r="VKI2" s="352"/>
      <c r="VKJ2" s="352"/>
      <c r="VKK2" s="352"/>
      <c r="VKL2" s="352"/>
      <c r="VKM2" s="352"/>
      <c r="VKN2" s="352"/>
      <c r="VKO2" s="352"/>
      <c r="VKP2" s="352"/>
      <c r="VKQ2" s="352"/>
      <c r="VKR2" s="352"/>
      <c r="VKS2" s="352"/>
      <c r="VKT2" s="352"/>
      <c r="VKU2" s="352"/>
      <c r="VKV2" s="352"/>
      <c r="VKW2" s="352"/>
      <c r="VKX2" s="352"/>
      <c r="VKY2" s="352"/>
      <c r="VKZ2" s="352"/>
      <c r="VLA2" s="352"/>
      <c r="VLB2" s="352"/>
      <c r="VLC2" s="352"/>
      <c r="VLD2" s="352"/>
      <c r="VLE2" s="352"/>
      <c r="VLF2" s="352"/>
      <c r="VLG2" s="352"/>
      <c r="VLH2" s="352"/>
      <c r="VLI2" s="352"/>
      <c r="VLJ2" s="352"/>
      <c r="VLK2" s="352"/>
      <c r="VLL2" s="352"/>
      <c r="VLM2" s="352"/>
      <c r="VLN2" s="352"/>
      <c r="VLO2" s="352"/>
      <c r="VLP2" s="352"/>
      <c r="VLQ2" s="352"/>
      <c r="VLR2" s="352"/>
      <c r="VLS2" s="352"/>
      <c r="VLT2" s="352"/>
      <c r="VLU2" s="352"/>
      <c r="VLV2" s="352"/>
      <c r="VLW2" s="352"/>
      <c r="VLX2" s="352"/>
      <c r="VLY2" s="352"/>
      <c r="VLZ2" s="352"/>
      <c r="VMA2" s="352"/>
      <c r="VMB2" s="352"/>
      <c r="VMC2" s="352"/>
      <c r="VMD2" s="352"/>
      <c r="VME2" s="352"/>
      <c r="VMF2" s="352"/>
      <c r="VMG2" s="352"/>
      <c r="VMH2" s="352"/>
      <c r="VMI2" s="352"/>
      <c r="VMJ2" s="352"/>
      <c r="VMK2" s="352"/>
      <c r="VML2" s="352"/>
      <c r="VMM2" s="352"/>
      <c r="VMN2" s="352"/>
      <c r="VMO2" s="352"/>
      <c r="VMP2" s="352"/>
      <c r="VMQ2" s="352"/>
      <c r="VMR2" s="352"/>
      <c r="VMS2" s="352"/>
      <c r="VMT2" s="352"/>
      <c r="VMU2" s="352"/>
      <c r="VMV2" s="352"/>
      <c r="VMW2" s="352"/>
      <c r="VMX2" s="352"/>
      <c r="VMY2" s="352"/>
      <c r="VMZ2" s="352"/>
      <c r="VNA2" s="352"/>
      <c r="VNB2" s="352"/>
      <c r="VNC2" s="352"/>
      <c r="VND2" s="352"/>
      <c r="VNE2" s="352"/>
      <c r="VNF2" s="352"/>
      <c r="VNG2" s="352"/>
      <c r="VNH2" s="352"/>
      <c r="VNI2" s="352"/>
      <c r="VNJ2" s="352"/>
      <c r="VNK2" s="352"/>
      <c r="VNL2" s="352"/>
      <c r="VNM2" s="352"/>
      <c r="VNN2" s="352"/>
      <c r="VNO2" s="352"/>
      <c r="VNP2" s="352"/>
      <c r="VNQ2" s="352"/>
      <c r="VNR2" s="352"/>
      <c r="VNS2" s="352"/>
      <c r="VNT2" s="352"/>
      <c r="VNU2" s="352"/>
      <c r="VNV2" s="352"/>
      <c r="VNW2" s="352"/>
      <c r="VNX2" s="352"/>
      <c r="VNY2" s="352"/>
      <c r="VNZ2" s="352"/>
      <c r="VOA2" s="352"/>
      <c r="VOB2" s="352"/>
      <c r="VOC2" s="352"/>
      <c r="VOD2" s="352"/>
      <c r="VOE2" s="352"/>
      <c r="VOF2" s="352"/>
      <c r="VOG2" s="352"/>
      <c r="VOH2" s="352"/>
      <c r="VOI2" s="352"/>
      <c r="VOJ2" s="352"/>
      <c r="VOK2" s="352"/>
      <c r="VOL2" s="352"/>
      <c r="VOM2" s="352"/>
      <c r="VON2" s="352"/>
      <c r="VOO2" s="352"/>
      <c r="VOP2" s="352"/>
      <c r="VOQ2" s="352"/>
      <c r="VOR2" s="352"/>
      <c r="VOS2" s="352"/>
      <c r="VOT2" s="352"/>
      <c r="VOU2" s="352"/>
      <c r="VOV2" s="352"/>
      <c r="VOW2" s="352"/>
      <c r="VOX2" s="352"/>
      <c r="VOY2" s="352"/>
      <c r="VOZ2" s="352"/>
      <c r="VPA2" s="352"/>
      <c r="VPB2" s="352"/>
      <c r="VPC2" s="352"/>
      <c r="VPD2" s="352"/>
      <c r="VPE2" s="352"/>
      <c r="VPF2" s="352"/>
      <c r="VPG2" s="352"/>
      <c r="VPH2" s="352"/>
      <c r="VPI2" s="352"/>
      <c r="VPJ2" s="352"/>
      <c r="VPK2" s="352"/>
      <c r="VPL2" s="352"/>
      <c r="VPM2" s="352"/>
      <c r="VPN2" s="352"/>
      <c r="VPO2" s="352"/>
      <c r="VPP2" s="352"/>
      <c r="VPQ2" s="352"/>
      <c r="VPR2" s="352"/>
      <c r="VPS2" s="352"/>
      <c r="VPT2" s="352"/>
      <c r="VPU2" s="352"/>
      <c r="VPV2" s="352"/>
      <c r="VPW2" s="352"/>
      <c r="VPX2" s="352"/>
      <c r="VPY2" s="352"/>
      <c r="VPZ2" s="352"/>
      <c r="VQA2" s="352"/>
      <c r="VQB2" s="352"/>
      <c r="VQC2" s="352"/>
      <c r="VQD2" s="352"/>
      <c r="VQE2" s="352"/>
      <c r="VQF2" s="352"/>
      <c r="VQG2" s="352"/>
      <c r="VQH2" s="352"/>
      <c r="VQI2" s="352"/>
      <c r="VQJ2" s="352"/>
      <c r="VQK2" s="352"/>
      <c r="VQL2" s="352"/>
      <c r="VQM2" s="352"/>
      <c r="VQN2" s="352"/>
      <c r="VQO2" s="352"/>
      <c r="VQP2" s="352"/>
      <c r="VQQ2" s="352"/>
      <c r="VQR2" s="352"/>
      <c r="VQS2" s="352"/>
      <c r="VQT2" s="352"/>
      <c r="VQU2" s="352"/>
      <c r="VQV2" s="352"/>
      <c r="VQW2" s="352"/>
      <c r="VQX2" s="352"/>
      <c r="VQY2" s="352"/>
      <c r="VQZ2" s="352"/>
      <c r="VRA2" s="352"/>
      <c r="VRB2" s="352"/>
      <c r="VRC2" s="352"/>
      <c r="VRD2" s="352"/>
      <c r="VRE2" s="352"/>
      <c r="VRF2" s="352"/>
      <c r="VRG2" s="352"/>
      <c r="VRH2" s="352"/>
      <c r="VRI2" s="352"/>
      <c r="VRJ2" s="352"/>
      <c r="VRK2" s="352"/>
      <c r="VRL2" s="352"/>
      <c r="VRM2" s="352"/>
      <c r="VRN2" s="352"/>
      <c r="VRO2" s="352"/>
      <c r="VRP2" s="352"/>
      <c r="VRQ2" s="352"/>
      <c r="VRR2" s="352"/>
      <c r="VRS2" s="352"/>
      <c r="VRT2" s="352"/>
      <c r="VRU2" s="352"/>
      <c r="VRV2" s="352"/>
      <c r="VRW2" s="352"/>
      <c r="VRX2" s="352"/>
      <c r="VRY2" s="352"/>
      <c r="VRZ2" s="352"/>
      <c r="VSA2" s="352"/>
      <c r="VSB2" s="352"/>
      <c r="VSC2" s="352"/>
      <c r="VSD2" s="352"/>
      <c r="VSE2" s="352"/>
      <c r="VSF2" s="352"/>
      <c r="VSG2" s="352"/>
      <c r="VSH2" s="352"/>
      <c r="VSI2" s="352"/>
      <c r="VSJ2" s="352"/>
      <c r="VSK2" s="352"/>
      <c r="VSL2" s="352"/>
      <c r="VSM2" s="352"/>
      <c r="VSN2" s="352"/>
      <c r="VSO2" s="352"/>
      <c r="VSP2" s="352"/>
      <c r="VSQ2" s="352"/>
      <c r="VSR2" s="352"/>
      <c r="VSS2" s="352"/>
      <c r="VST2" s="352"/>
      <c r="VSU2" s="352"/>
      <c r="VSV2" s="352"/>
      <c r="VSW2" s="352"/>
      <c r="VSX2" s="352"/>
      <c r="VSY2" s="352"/>
      <c r="VSZ2" s="352"/>
      <c r="VTA2" s="352"/>
      <c r="VTB2" s="352"/>
      <c r="VTC2" s="352"/>
      <c r="VTD2" s="352"/>
      <c r="VTE2" s="352"/>
      <c r="VTF2" s="352"/>
      <c r="VTG2" s="352"/>
      <c r="VTH2" s="352"/>
      <c r="VTI2" s="352"/>
      <c r="VTJ2" s="352"/>
      <c r="VTK2" s="352"/>
      <c r="VTL2" s="352"/>
      <c r="VTM2" s="352"/>
      <c r="VTN2" s="352"/>
      <c r="VTO2" s="352"/>
      <c r="VTP2" s="352"/>
      <c r="VTQ2" s="352"/>
      <c r="VTR2" s="352"/>
      <c r="VTS2" s="352"/>
      <c r="VTT2" s="352"/>
      <c r="VTU2" s="352"/>
      <c r="VTV2" s="352"/>
      <c r="VTW2" s="352"/>
      <c r="VTX2" s="352"/>
      <c r="VTY2" s="352"/>
      <c r="VTZ2" s="352"/>
      <c r="VUA2" s="352"/>
      <c r="VUB2" s="352"/>
      <c r="VUC2" s="352"/>
      <c r="VUD2" s="352"/>
      <c r="VUE2" s="352"/>
      <c r="VUF2" s="352"/>
      <c r="VUG2" s="352"/>
      <c r="VUH2" s="352"/>
      <c r="VUI2" s="352"/>
      <c r="VUJ2" s="352"/>
      <c r="VUK2" s="352"/>
      <c r="VUL2" s="352"/>
      <c r="VUM2" s="352"/>
      <c r="VUN2" s="352"/>
      <c r="VUO2" s="352"/>
      <c r="VUP2" s="352"/>
      <c r="VUQ2" s="352"/>
      <c r="VUR2" s="352"/>
      <c r="VUS2" s="352"/>
      <c r="VUT2" s="352"/>
      <c r="VUU2" s="352"/>
      <c r="VUV2" s="352"/>
      <c r="VUW2" s="352"/>
      <c r="VUX2" s="352"/>
      <c r="VUY2" s="352"/>
      <c r="VUZ2" s="352"/>
      <c r="VVA2" s="352"/>
      <c r="VVB2" s="352"/>
      <c r="VVC2" s="352"/>
      <c r="VVD2" s="352"/>
      <c r="VVE2" s="352"/>
      <c r="VVF2" s="352"/>
      <c r="VVG2" s="352"/>
      <c r="VVH2" s="352"/>
      <c r="VVI2" s="352"/>
      <c r="VVJ2" s="352"/>
      <c r="VVK2" s="352"/>
      <c r="VVL2" s="352"/>
      <c r="VVM2" s="352"/>
      <c r="VVN2" s="352"/>
      <c r="VVO2" s="352"/>
      <c r="VVP2" s="352"/>
      <c r="VVQ2" s="352"/>
      <c r="VVR2" s="352"/>
      <c r="VVS2" s="352"/>
      <c r="VVT2" s="352"/>
      <c r="VVU2" s="352"/>
      <c r="VVV2" s="352"/>
      <c r="VVW2" s="352"/>
      <c r="VVX2" s="352"/>
      <c r="VVY2" s="352"/>
      <c r="VVZ2" s="352"/>
      <c r="VWA2" s="352"/>
      <c r="VWB2" s="352"/>
      <c r="VWC2" s="352"/>
      <c r="VWD2" s="352"/>
      <c r="VWE2" s="352"/>
      <c r="VWF2" s="352"/>
      <c r="VWG2" s="352"/>
      <c r="VWH2" s="352"/>
      <c r="VWI2" s="352"/>
      <c r="VWJ2" s="352"/>
      <c r="VWK2" s="352"/>
      <c r="VWL2" s="352"/>
      <c r="VWM2" s="352"/>
      <c r="VWN2" s="352"/>
      <c r="VWO2" s="352"/>
      <c r="VWP2" s="352"/>
      <c r="VWQ2" s="352"/>
      <c r="VWR2" s="352"/>
      <c r="VWS2" s="352"/>
      <c r="VWT2" s="352"/>
      <c r="VWU2" s="352"/>
      <c r="VWV2" s="352"/>
      <c r="VWW2" s="352"/>
      <c r="VWX2" s="352"/>
      <c r="VWY2" s="352"/>
      <c r="VWZ2" s="352"/>
      <c r="VXA2" s="352"/>
      <c r="VXB2" s="352"/>
      <c r="VXC2" s="352"/>
      <c r="VXD2" s="352"/>
      <c r="VXE2" s="352"/>
      <c r="VXF2" s="352"/>
      <c r="VXG2" s="352"/>
      <c r="VXH2" s="352"/>
      <c r="VXI2" s="352"/>
      <c r="VXJ2" s="352"/>
      <c r="VXK2" s="352"/>
      <c r="VXL2" s="352"/>
      <c r="VXM2" s="352"/>
      <c r="VXN2" s="352"/>
      <c r="VXO2" s="352"/>
      <c r="VXP2" s="352"/>
      <c r="VXQ2" s="352"/>
      <c r="VXR2" s="352"/>
      <c r="VXS2" s="352"/>
      <c r="VXT2" s="352"/>
      <c r="VXU2" s="352"/>
      <c r="VXV2" s="352"/>
      <c r="VXW2" s="352"/>
      <c r="VXX2" s="352"/>
      <c r="VXY2" s="352"/>
      <c r="VXZ2" s="352"/>
      <c r="VYA2" s="352"/>
      <c r="VYB2" s="352"/>
      <c r="VYC2" s="352"/>
      <c r="VYD2" s="352"/>
      <c r="VYE2" s="352"/>
      <c r="VYF2" s="352"/>
      <c r="VYG2" s="352"/>
      <c r="VYH2" s="352"/>
      <c r="VYI2" s="352"/>
      <c r="VYJ2" s="352"/>
      <c r="VYK2" s="352"/>
      <c r="VYL2" s="352"/>
      <c r="VYM2" s="352"/>
      <c r="VYN2" s="352"/>
      <c r="VYO2" s="352"/>
      <c r="VYP2" s="352"/>
      <c r="VYQ2" s="352"/>
      <c r="VYR2" s="352"/>
      <c r="VYS2" s="352"/>
      <c r="VYT2" s="352"/>
      <c r="VYU2" s="352"/>
      <c r="VYV2" s="352"/>
      <c r="VYW2" s="352"/>
      <c r="VYX2" s="352"/>
      <c r="VYY2" s="352"/>
      <c r="VYZ2" s="352"/>
      <c r="VZA2" s="352"/>
      <c r="VZB2" s="352"/>
      <c r="VZC2" s="352"/>
      <c r="VZD2" s="352"/>
      <c r="VZE2" s="352"/>
      <c r="VZF2" s="352"/>
      <c r="VZG2" s="352"/>
      <c r="VZH2" s="352"/>
      <c r="VZI2" s="352"/>
      <c r="VZJ2" s="352"/>
      <c r="VZK2" s="352"/>
      <c r="VZL2" s="352"/>
      <c r="VZM2" s="352"/>
      <c r="VZN2" s="352"/>
      <c r="VZO2" s="352"/>
      <c r="VZP2" s="352"/>
      <c r="VZQ2" s="352"/>
      <c r="VZR2" s="352"/>
      <c r="VZS2" s="352"/>
      <c r="VZT2" s="352"/>
      <c r="VZU2" s="352"/>
      <c r="VZV2" s="352"/>
      <c r="VZW2" s="352"/>
      <c r="VZX2" s="352"/>
      <c r="VZY2" s="352"/>
      <c r="VZZ2" s="352"/>
      <c r="WAA2" s="352"/>
      <c r="WAB2" s="352"/>
      <c r="WAC2" s="352"/>
      <c r="WAD2" s="352"/>
      <c r="WAE2" s="352"/>
      <c r="WAF2" s="352"/>
      <c r="WAG2" s="352"/>
      <c r="WAH2" s="352"/>
      <c r="WAI2" s="352"/>
      <c r="WAJ2" s="352"/>
      <c r="WAK2" s="352"/>
      <c r="WAL2" s="352"/>
      <c r="WAM2" s="352"/>
      <c r="WAN2" s="352"/>
      <c r="WAO2" s="352"/>
      <c r="WAP2" s="352"/>
      <c r="WAQ2" s="352"/>
      <c r="WAR2" s="352"/>
      <c r="WAS2" s="352"/>
      <c r="WAT2" s="352"/>
      <c r="WAU2" s="352"/>
      <c r="WAV2" s="352"/>
      <c r="WAW2" s="352"/>
      <c r="WAX2" s="352"/>
      <c r="WAY2" s="352"/>
      <c r="WAZ2" s="352"/>
      <c r="WBA2" s="352"/>
      <c r="WBB2" s="352"/>
      <c r="WBC2" s="352"/>
      <c r="WBD2" s="352"/>
      <c r="WBE2" s="352"/>
      <c r="WBF2" s="352"/>
      <c r="WBG2" s="352"/>
      <c r="WBH2" s="352"/>
      <c r="WBI2" s="352"/>
      <c r="WBJ2" s="352"/>
      <c r="WBK2" s="352"/>
      <c r="WBL2" s="352"/>
      <c r="WBM2" s="352"/>
      <c r="WBN2" s="352"/>
      <c r="WBO2" s="352"/>
      <c r="WBP2" s="352"/>
      <c r="WBQ2" s="352"/>
      <c r="WBR2" s="352"/>
      <c r="WBS2" s="352"/>
      <c r="WBT2" s="352"/>
      <c r="WBU2" s="352"/>
      <c r="WBV2" s="352"/>
      <c r="WBW2" s="352"/>
      <c r="WBX2" s="352"/>
      <c r="WBY2" s="352"/>
      <c r="WBZ2" s="352"/>
      <c r="WCA2" s="352"/>
      <c r="WCB2" s="352"/>
      <c r="WCC2" s="352"/>
      <c r="WCD2" s="352"/>
      <c r="WCE2" s="352"/>
      <c r="WCF2" s="352"/>
      <c r="WCG2" s="352"/>
      <c r="WCH2" s="352"/>
      <c r="WCI2" s="352"/>
      <c r="WCJ2" s="352"/>
      <c r="WCK2" s="352"/>
      <c r="WCL2" s="352"/>
      <c r="WCM2" s="352"/>
      <c r="WCN2" s="352"/>
      <c r="WCO2" s="352"/>
      <c r="WCP2" s="352"/>
      <c r="WCQ2" s="352"/>
      <c r="WCR2" s="352"/>
      <c r="WCS2" s="352"/>
      <c r="WCT2" s="352"/>
      <c r="WCU2" s="352"/>
      <c r="WCV2" s="352"/>
      <c r="WCW2" s="352"/>
      <c r="WCX2" s="352"/>
      <c r="WCY2" s="352"/>
      <c r="WCZ2" s="352"/>
      <c r="WDA2" s="352"/>
      <c r="WDB2" s="352"/>
      <c r="WDC2" s="352"/>
      <c r="WDD2" s="352"/>
      <c r="WDE2" s="352"/>
      <c r="WDF2" s="352"/>
      <c r="WDG2" s="352"/>
      <c r="WDH2" s="352"/>
      <c r="WDI2" s="352"/>
      <c r="WDJ2" s="352"/>
      <c r="WDK2" s="352"/>
      <c r="WDL2" s="352"/>
      <c r="WDM2" s="352"/>
      <c r="WDN2" s="352"/>
      <c r="WDO2" s="352"/>
      <c r="WDP2" s="352"/>
      <c r="WDQ2" s="352"/>
      <c r="WDR2" s="352"/>
      <c r="WDS2" s="352"/>
      <c r="WDT2" s="352"/>
      <c r="WDU2" s="352"/>
      <c r="WDV2" s="352"/>
      <c r="WDW2" s="352"/>
      <c r="WDX2" s="352"/>
      <c r="WDY2" s="352"/>
      <c r="WDZ2" s="352"/>
      <c r="WEA2" s="352"/>
      <c r="WEB2" s="352"/>
      <c r="WEC2" s="352"/>
      <c r="WED2" s="352"/>
      <c r="WEE2" s="352"/>
      <c r="WEF2" s="352"/>
      <c r="WEG2" s="352"/>
      <c r="WEH2" s="352"/>
      <c r="WEI2" s="352"/>
      <c r="WEJ2" s="352"/>
      <c r="WEK2" s="352"/>
      <c r="WEL2" s="352"/>
      <c r="WEM2" s="352"/>
      <c r="WEN2" s="352"/>
      <c r="WEO2" s="352"/>
      <c r="WEP2" s="352"/>
      <c r="WEQ2" s="352"/>
      <c r="WER2" s="352"/>
      <c r="WES2" s="352"/>
      <c r="WET2" s="352"/>
      <c r="WEU2" s="352"/>
      <c r="WEV2" s="352"/>
      <c r="WEW2" s="352"/>
      <c r="WEX2" s="352"/>
      <c r="WEY2" s="352"/>
      <c r="WEZ2" s="352"/>
      <c r="WFA2" s="352"/>
      <c r="WFB2" s="352"/>
      <c r="WFC2" s="352"/>
      <c r="WFD2" s="352"/>
      <c r="WFE2" s="352"/>
      <c r="WFF2" s="352"/>
      <c r="WFG2" s="352"/>
      <c r="WFH2" s="352"/>
      <c r="WFI2" s="352"/>
      <c r="WFJ2" s="352"/>
      <c r="WFK2" s="352"/>
      <c r="WFL2" s="352"/>
      <c r="WFM2" s="352"/>
      <c r="WFN2" s="352"/>
      <c r="WFO2" s="352"/>
      <c r="WFP2" s="352"/>
      <c r="WFQ2" s="352"/>
      <c r="WFR2" s="352"/>
      <c r="WFS2" s="352"/>
      <c r="WFT2" s="352"/>
      <c r="WFU2" s="352"/>
      <c r="WFV2" s="352"/>
      <c r="WFW2" s="352"/>
      <c r="WFX2" s="352"/>
      <c r="WFY2" s="352"/>
      <c r="WFZ2" s="352"/>
      <c r="WGA2" s="352"/>
      <c r="WGB2" s="352"/>
      <c r="WGC2" s="352"/>
      <c r="WGD2" s="352"/>
      <c r="WGE2" s="352"/>
      <c r="WGF2" s="352"/>
      <c r="WGG2" s="352"/>
      <c r="WGH2" s="352"/>
      <c r="WGI2" s="352"/>
      <c r="WGJ2" s="352"/>
      <c r="WGK2" s="352"/>
      <c r="WGL2" s="352"/>
      <c r="WGM2" s="352"/>
      <c r="WGN2" s="352"/>
      <c r="WGO2" s="352"/>
      <c r="WGP2" s="352"/>
      <c r="WGQ2" s="352"/>
      <c r="WGR2" s="352"/>
      <c r="WGS2" s="352"/>
      <c r="WGT2" s="352"/>
      <c r="WGU2" s="352"/>
      <c r="WGV2" s="352"/>
      <c r="WGW2" s="352"/>
      <c r="WGX2" s="352"/>
      <c r="WGY2" s="352"/>
      <c r="WGZ2" s="352"/>
      <c r="WHA2" s="352"/>
      <c r="WHB2" s="352"/>
      <c r="WHC2" s="352"/>
      <c r="WHD2" s="352"/>
      <c r="WHE2" s="352"/>
      <c r="WHF2" s="352"/>
      <c r="WHG2" s="352"/>
      <c r="WHH2" s="352"/>
      <c r="WHI2" s="352"/>
      <c r="WHJ2" s="352"/>
      <c r="WHK2" s="352"/>
      <c r="WHL2" s="352"/>
      <c r="WHM2" s="352"/>
      <c r="WHN2" s="352"/>
      <c r="WHO2" s="352"/>
      <c r="WHP2" s="352"/>
      <c r="WHQ2" s="352"/>
      <c r="WHR2" s="352"/>
      <c r="WHS2" s="352"/>
      <c r="WHT2" s="352"/>
      <c r="WHU2" s="352"/>
      <c r="WHV2" s="352"/>
      <c r="WHW2" s="352"/>
      <c r="WHX2" s="352"/>
      <c r="WHY2" s="352"/>
      <c r="WHZ2" s="352"/>
      <c r="WIA2" s="352"/>
      <c r="WIB2" s="352"/>
      <c r="WIC2" s="352"/>
      <c r="WID2" s="352"/>
      <c r="WIE2" s="352"/>
      <c r="WIF2" s="352"/>
      <c r="WIG2" s="352"/>
      <c r="WIH2" s="352"/>
      <c r="WII2" s="352"/>
      <c r="WIJ2" s="352"/>
      <c r="WIK2" s="352"/>
      <c r="WIL2" s="352"/>
      <c r="WIM2" s="352"/>
      <c r="WIN2" s="352"/>
      <c r="WIO2" s="352"/>
      <c r="WIP2" s="352"/>
      <c r="WIQ2" s="352"/>
      <c r="WIR2" s="352"/>
      <c r="WIS2" s="352"/>
      <c r="WIT2" s="352"/>
      <c r="WIU2" s="352"/>
      <c r="WIV2" s="352"/>
      <c r="WIW2" s="352"/>
      <c r="WIX2" s="352"/>
      <c r="WIY2" s="352"/>
      <c r="WIZ2" s="352"/>
      <c r="WJA2" s="352"/>
      <c r="WJB2" s="352"/>
      <c r="WJC2" s="352"/>
      <c r="WJD2" s="352"/>
      <c r="WJE2" s="352"/>
      <c r="WJF2" s="352"/>
      <c r="WJG2" s="352"/>
      <c r="WJH2" s="352"/>
      <c r="WJI2" s="352"/>
      <c r="WJJ2" s="352"/>
      <c r="WJK2" s="352"/>
      <c r="WJL2" s="352"/>
      <c r="WJM2" s="352"/>
      <c r="WJN2" s="352"/>
      <c r="WJO2" s="352"/>
      <c r="WJP2" s="352"/>
      <c r="WJQ2" s="352"/>
      <c r="WJR2" s="352"/>
      <c r="WJS2" s="352"/>
      <c r="WJT2" s="352"/>
      <c r="WJU2" s="352"/>
      <c r="WJV2" s="352"/>
      <c r="WJW2" s="352"/>
      <c r="WJX2" s="352"/>
      <c r="WJY2" s="352"/>
      <c r="WJZ2" s="352"/>
      <c r="WKA2" s="352"/>
      <c r="WKB2" s="352"/>
      <c r="WKC2" s="352"/>
      <c r="WKD2" s="352"/>
      <c r="WKE2" s="352"/>
      <c r="WKF2" s="352"/>
      <c r="WKG2" s="352"/>
      <c r="WKH2" s="352"/>
      <c r="WKI2" s="352"/>
      <c r="WKJ2" s="352"/>
      <c r="WKK2" s="352"/>
      <c r="WKL2" s="352"/>
      <c r="WKM2" s="352"/>
      <c r="WKN2" s="352"/>
      <c r="WKO2" s="352"/>
      <c r="WKP2" s="352"/>
      <c r="WKQ2" s="352"/>
      <c r="WKR2" s="352"/>
      <c r="WKS2" s="352"/>
      <c r="WKT2" s="352"/>
      <c r="WKU2" s="352"/>
      <c r="WKV2" s="352"/>
      <c r="WKW2" s="352"/>
      <c r="WKX2" s="352"/>
      <c r="WKY2" s="352"/>
      <c r="WKZ2" s="352"/>
      <c r="WLA2" s="352"/>
      <c r="WLB2" s="352"/>
      <c r="WLC2" s="352"/>
      <c r="WLD2" s="352"/>
      <c r="WLE2" s="352"/>
      <c r="WLF2" s="352"/>
      <c r="WLG2" s="352"/>
      <c r="WLH2" s="352"/>
      <c r="WLI2" s="352"/>
      <c r="WLJ2" s="352"/>
      <c r="WLK2" s="352"/>
      <c r="WLL2" s="352"/>
      <c r="WLM2" s="352"/>
      <c r="WLN2" s="352"/>
      <c r="WLO2" s="352"/>
      <c r="WLP2" s="352"/>
      <c r="WLQ2" s="352"/>
      <c r="WLR2" s="352"/>
      <c r="WLS2" s="352"/>
      <c r="WLT2" s="352"/>
      <c r="WLU2" s="352"/>
      <c r="WLV2" s="352"/>
      <c r="WLW2" s="352"/>
      <c r="WLX2" s="352"/>
      <c r="WLY2" s="352"/>
      <c r="WLZ2" s="352"/>
      <c r="WMA2" s="352"/>
      <c r="WMB2" s="352"/>
      <c r="WMC2" s="352"/>
      <c r="WMD2" s="352"/>
      <c r="WME2" s="352"/>
      <c r="WMF2" s="352"/>
      <c r="WMG2" s="352"/>
      <c r="WMH2" s="352"/>
      <c r="WMI2" s="352"/>
      <c r="WMJ2" s="352"/>
      <c r="WMK2" s="352"/>
      <c r="WML2" s="352"/>
      <c r="WMM2" s="352"/>
      <c r="WMN2" s="352"/>
      <c r="WMO2" s="352"/>
      <c r="WMP2" s="352"/>
      <c r="WMQ2" s="352"/>
      <c r="WMR2" s="352"/>
      <c r="WMS2" s="352"/>
      <c r="WMT2" s="352"/>
      <c r="WMU2" s="352"/>
      <c r="WMV2" s="352"/>
      <c r="WMW2" s="352"/>
      <c r="WMX2" s="352"/>
      <c r="WMY2" s="352"/>
      <c r="WMZ2" s="352"/>
      <c r="WNA2" s="352"/>
      <c r="WNB2" s="352"/>
      <c r="WNC2" s="352"/>
      <c r="WND2" s="352"/>
      <c r="WNE2" s="352"/>
      <c r="WNF2" s="352"/>
      <c r="WNG2" s="352"/>
      <c r="WNH2" s="352"/>
      <c r="WNI2" s="352"/>
      <c r="WNJ2" s="352"/>
      <c r="WNK2" s="352"/>
      <c r="WNL2" s="352"/>
      <c r="WNM2" s="352"/>
      <c r="WNN2" s="352"/>
      <c r="WNO2" s="352"/>
      <c r="WNP2" s="352"/>
      <c r="WNQ2" s="352"/>
      <c r="WNR2" s="352"/>
      <c r="WNS2" s="352"/>
      <c r="WNT2" s="352"/>
      <c r="WNU2" s="352"/>
      <c r="WNV2" s="352"/>
      <c r="WNW2" s="352"/>
      <c r="WNX2" s="352"/>
      <c r="WNY2" s="352"/>
      <c r="WNZ2" s="352"/>
      <c r="WOA2" s="352"/>
      <c r="WOB2" s="352"/>
      <c r="WOC2" s="352"/>
      <c r="WOD2" s="352"/>
      <c r="WOE2" s="352"/>
      <c r="WOF2" s="352"/>
      <c r="WOG2" s="352"/>
      <c r="WOH2" s="352"/>
      <c r="WOI2" s="352"/>
      <c r="WOJ2" s="352"/>
      <c r="WOK2" s="352"/>
      <c r="WOL2" s="352"/>
      <c r="WOM2" s="352"/>
      <c r="WON2" s="352"/>
      <c r="WOO2" s="352"/>
      <c r="WOP2" s="352"/>
      <c r="WOQ2" s="352"/>
      <c r="WOR2" s="352"/>
      <c r="WOS2" s="352"/>
      <c r="WOT2" s="352"/>
      <c r="WOU2" s="352"/>
      <c r="WOV2" s="352"/>
      <c r="WOW2" s="352"/>
      <c r="WOX2" s="352"/>
      <c r="WOY2" s="352"/>
      <c r="WOZ2" s="352"/>
      <c r="WPA2" s="352"/>
      <c r="WPB2" s="352"/>
      <c r="WPC2" s="352"/>
      <c r="WPD2" s="352"/>
      <c r="WPE2" s="352"/>
      <c r="WPF2" s="352"/>
      <c r="WPG2" s="352"/>
      <c r="WPH2" s="352"/>
      <c r="WPI2" s="352"/>
      <c r="WPJ2" s="352"/>
      <c r="WPK2" s="352"/>
      <c r="WPL2" s="352"/>
      <c r="WPM2" s="352"/>
      <c r="WPN2" s="352"/>
      <c r="WPO2" s="352"/>
      <c r="WPP2" s="352"/>
      <c r="WPQ2" s="352"/>
      <c r="WPR2" s="352"/>
      <c r="WPS2" s="352"/>
      <c r="WPT2" s="352"/>
      <c r="WPU2" s="352"/>
      <c r="WPV2" s="352"/>
      <c r="WPW2" s="352"/>
      <c r="WPX2" s="352"/>
      <c r="WPY2" s="352"/>
      <c r="WPZ2" s="352"/>
      <c r="WQA2" s="352"/>
      <c r="WQB2" s="352"/>
      <c r="WQC2" s="352"/>
      <c r="WQD2" s="352"/>
      <c r="WQE2" s="352"/>
      <c r="WQF2" s="352"/>
      <c r="WQG2" s="352"/>
      <c r="WQH2" s="352"/>
      <c r="WQI2" s="352"/>
      <c r="WQJ2" s="352"/>
      <c r="WQK2" s="352"/>
      <c r="WQL2" s="352"/>
      <c r="WQM2" s="352"/>
      <c r="WQN2" s="352"/>
      <c r="WQO2" s="352"/>
      <c r="WQP2" s="352"/>
      <c r="WQQ2" s="352"/>
      <c r="WQR2" s="352"/>
      <c r="WQS2" s="352"/>
      <c r="WQT2" s="352"/>
      <c r="WQU2" s="352"/>
      <c r="WQV2" s="352"/>
      <c r="WQW2" s="352"/>
      <c r="WQX2" s="352"/>
      <c r="WQY2" s="352"/>
      <c r="WQZ2" s="352"/>
      <c r="WRA2" s="352"/>
      <c r="WRB2" s="352"/>
      <c r="WRC2" s="352"/>
      <c r="WRD2" s="352"/>
      <c r="WRE2" s="352"/>
      <c r="WRF2" s="352"/>
      <c r="WRG2" s="352"/>
      <c r="WRH2" s="352"/>
      <c r="WRI2" s="352"/>
      <c r="WRJ2" s="352"/>
      <c r="WRK2" s="352"/>
      <c r="WRL2" s="352"/>
      <c r="WRM2" s="352"/>
      <c r="WRN2" s="352"/>
      <c r="WRO2" s="352"/>
      <c r="WRP2" s="352"/>
      <c r="WRQ2" s="352"/>
      <c r="WRR2" s="352"/>
      <c r="WRS2" s="352"/>
      <c r="WRT2" s="352"/>
      <c r="WRU2" s="352"/>
      <c r="WRV2" s="352"/>
      <c r="WRW2" s="352"/>
      <c r="WRX2" s="352"/>
      <c r="WRY2" s="352"/>
      <c r="WRZ2" s="352"/>
      <c r="WSA2" s="352"/>
      <c r="WSB2" s="352"/>
      <c r="WSC2" s="352"/>
      <c r="WSD2" s="352"/>
      <c r="WSE2" s="352"/>
      <c r="WSF2" s="352"/>
      <c r="WSG2" s="352"/>
      <c r="WSH2" s="352"/>
      <c r="WSI2" s="352"/>
      <c r="WSJ2" s="352"/>
      <c r="WSK2" s="352"/>
      <c r="WSL2" s="352"/>
      <c r="WSM2" s="352"/>
      <c r="WSN2" s="352"/>
      <c r="WSO2" s="352"/>
      <c r="WSP2" s="352"/>
      <c r="WSQ2" s="352"/>
      <c r="WSR2" s="352"/>
      <c r="WSS2" s="352"/>
      <c r="WST2" s="352"/>
      <c r="WSU2" s="352"/>
      <c r="WSV2" s="352"/>
      <c r="WSW2" s="352"/>
      <c r="WSX2" s="352"/>
      <c r="WSY2" s="352"/>
      <c r="WSZ2" s="352"/>
      <c r="WTA2" s="352"/>
      <c r="WTB2" s="352"/>
      <c r="WTC2" s="352"/>
      <c r="WTD2" s="352"/>
      <c r="WTE2" s="352"/>
      <c r="WTF2" s="352"/>
      <c r="WTG2" s="352"/>
      <c r="WTH2" s="352"/>
      <c r="WTI2" s="352"/>
      <c r="WTJ2" s="352"/>
      <c r="WTK2" s="352"/>
      <c r="WTL2" s="352"/>
      <c r="WTM2" s="352"/>
      <c r="WTN2" s="352"/>
      <c r="WTO2" s="352"/>
      <c r="WTP2" s="352"/>
      <c r="WTQ2" s="352"/>
      <c r="WTR2" s="352"/>
      <c r="WTS2" s="352"/>
      <c r="WTT2" s="352"/>
      <c r="WTU2" s="352"/>
      <c r="WTV2" s="352"/>
      <c r="WTW2" s="352"/>
      <c r="WTX2" s="352"/>
      <c r="WTY2" s="352"/>
      <c r="WTZ2" s="352"/>
      <c r="WUA2" s="352"/>
      <c r="WUB2" s="352"/>
      <c r="WUC2" s="352"/>
      <c r="WUD2" s="352"/>
      <c r="WUE2" s="352"/>
      <c r="WUF2" s="352"/>
      <c r="WUG2" s="352"/>
      <c r="WUH2" s="352"/>
      <c r="WUI2" s="352"/>
      <c r="WUJ2" s="352"/>
      <c r="WUK2" s="352"/>
      <c r="WUL2" s="352"/>
      <c r="WUM2" s="352"/>
      <c r="WUN2" s="352"/>
      <c r="WUO2" s="352"/>
      <c r="WUP2" s="352"/>
      <c r="WUQ2" s="352"/>
      <c r="WUR2" s="352"/>
      <c r="WUS2" s="352"/>
      <c r="WUT2" s="352"/>
      <c r="WUU2" s="352"/>
      <c r="WUV2" s="352"/>
      <c r="WUW2" s="352"/>
      <c r="WUX2" s="352"/>
      <c r="WUY2" s="352"/>
      <c r="WUZ2" s="352"/>
      <c r="WVA2" s="352"/>
      <c r="WVB2" s="352"/>
      <c r="WVC2" s="352"/>
      <c r="WVD2" s="352"/>
      <c r="WVE2" s="352"/>
      <c r="WVF2" s="352"/>
      <c r="WVG2" s="352"/>
      <c r="WVH2" s="352"/>
      <c r="WVI2" s="352"/>
      <c r="WVJ2" s="352"/>
      <c r="WVK2" s="352"/>
      <c r="WVL2" s="352"/>
      <c r="WVM2" s="352"/>
      <c r="WVN2" s="352"/>
      <c r="WVO2" s="352"/>
      <c r="WVP2" s="352"/>
      <c r="WVQ2" s="352"/>
      <c r="WVR2" s="352"/>
      <c r="WVS2" s="352"/>
      <c r="WVT2" s="352"/>
      <c r="WVU2" s="352"/>
      <c r="WVV2" s="352"/>
      <c r="WVW2" s="352"/>
      <c r="WVX2" s="352"/>
      <c r="WVY2" s="352"/>
      <c r="WVZ2" s="352"/>
      <c r="WWA2" s="352"/>
      <c r="WWB2" s="352"/>
      <c r="WWC2" s="352"/>
      <c r="WWD2" s="352"/>
      <c r="WWE2" s="352"/>
      <c r="WWF2" s="352"/>
      <c r="WWG2" s="352"/>
      <c r="WWH2" s="352"/>
      <c r="WWI2" s="352"/>
      <c r="WWJ2" s="352"/>
      <c r="WWK2" s="352"/>
      <c r="WWL2" s="352"/>
      <c r="WWM2" s="352"/>
      <c r="WWN2" s="352"/>
      <c r="WWO2" s="352"/>
      <c r="WWP2" s="352"/>
      <c r="WWQ2" s="352"/>
      <c r="WWR2" s="352"/>
      <c r="WWS2" s="352"/>
      <c r="WWT2" s="352"/>
      <c r="WWU2" s="352"/>
      <c r="WWV2" s="352"/>
      <c r="WWW2" s="352"/>
      <c r="WWX2" s="352"/>
      <c r="WWY2" s="352"/>
      <c r="WWZ2" s="352"/>
      <c r="WXA2" s="352"/>
      <c r="WXB2" s="352"/>
      <c r="WXC2" s="352"/>
      <c r="WXD2" s="352"/>
      <c r="WXE2" s="352"/>
      <c r="WXF2" s="352"/>
      <c r="WXG2" s="352"/>
      <c r="WXH2" s="352"/>
      <c r="WXI2" s="352"/>
      <c r="WXJ2" s="352"/>
      <c r="WXK2" s="352"/>
      <c r="WXL2" s="352"/>
      <c r="WXM2" s="352"/>
      <c r="WXN2" s="352"/>
      <c r="WXO2" s="352"/>
      <c r="WXP2" s="352"/>
      <c r="WXQ2" s="352"/>
      <c r="WXR2" s="352"/>
      <c r="WXS2" s="352"/>
      <c r="WXT2" s="352"/>
      <c r="WXU2" s="352"/>
      <c r="WXV2" s="352"/>
      <c r="WXW2" s="352"/>
      <c r="WXX2" s="352"/>
      <c r="WXY2" s="352"/>
      <c r="WXZ2" s="352"/>
      <c r="WYA2" s="352"/>
      <c r="WYB2" s="352"/>
      <c r="WYC2" s="352"/>
      <c r="WYD2" s="352"/>
      <c r="WYE2" s="352"/>
      <c r="WYF2" s="352"/>
      <c r="WYG2" s="352"/>
      <c r="WYH2" s="352"/>
      <c r="WYI2" s="352"/>
      <c r="WYJ2" s="352"/>
      <c r="WYK2" s="352"/>
      <c r="WYL2" s="352"/>
      <c r="WYM2" s="352"/>
      <c r="WYN2" s="352"/>
      <c r="WYO2" s="352"/>
      <c r="WYP2" s="352"/>
      <c r="WYQ2" s="352"/>
      <c r="WYR2" s="352"/>
      <c r="WYS2" s="352"/>
      <c r="WYT2" s="352"/>
      <c r="WYU2" s="352"/>
      <c r="WYV2" s="352"/>
      <c r="WYW2" s="352"/>
      <c r="WYX2" s="352"/>
      <c r="WYY2" s="352"/>
      <c r="WYZ2" s="352"/>
      <c r="WZA2" s="352"/>
      <c r="WZB2" s="352"/>
      <c r="WZC2" s="352"/>
      <c r="WZD2" s="352"/>
      <c r="WZE2" s="352"/>
      <c r="WZF2" s="352"/>
      <c r="WZG2" s="352"/>
      <c r="WZH2" s="352"/>
      <c r="WZI2" s="352"/>
      <c r="WZJ2" s="352"/>
      <c r="WZK2" s="352"/>
      <c r="WZL2" s="352"/>
      <c r="WZM2" s="352"/>
      <c r="WZN2" s="352"/>
      <c r="WZO2" s="352"/>
      <c r="WZP2" s="352"/>
      <c r="WZQ2" s="352"/>
      <c r="WZR2" s="352"/>
      <c r="WZS2" s="352"/>
      <c r="WZT2" s="352"/>
      <c r="WZU2" s="352"/>
      <c r="WZV2" s="352"/>
      <c r="WZW2" s="352"/>
      <c r="WZX2" s="352"/>
      <c r="WZY2" s="352"/>
      <c r="WZZ2" s="352"/>
      <c r="XAA2" s="352"/>
      <c r="XAB2" s="352"/>
      <c r="XAC2" s="352"/>
      <c r="XAD2" s="352"/>
      <c r="XAE2" s="352"/>
      <c r="XAF2" s="352"/>
      <c r="XAG2" s="352"/>
      <c r="XAH2" s="352"/>
      <c r="XAI2" s="352"/>
      <c r="XAJ2" s="352"/>
      <c r="XAK2" s="352"/>
      <c r="XAL2" s="352"/>
      <c r="XAM2" s="352"/>
      <c r="XAN2" s="352"/>
      <c r="XAO2" s="352"/>
      <c r="XAP2" s="352"/>
      <c r="XAQ2" s="352"/>
      <c r="XAR2" s="352"/>
      <c r="XAS2" s="352"/>
      <c r="XAT2" s="352"/>
      <c r="XAU2" s="352"/>
      <c r="XAV2" s="352"/>
      <c r="XAW2" s="352"/>
      <c r="XAX2" s="352"/>
      <c r="XAY2" s="352"/>
      <c r="XAZ2" s="352"/>
      <c r="XBA2" s="352"/>
      <c r="XBB2" s="352"/>
      <c r="XBC2" s="352"/>
      <c r="XBD2" s="352"/>
      <c r="XBE2" s="352"/>
      <c r="XBF2" s="352"/>
      <c r="XBG2" s="352"/>
      <c r="XBH2" s="352"/>
      <c r="XBI2" s="352"/>
      <c r="XBJ2" s="352"/>
      <c r="XBK2" s="352"/>
      <c r="XBL2" s="352"/>
      <c r="XBM2" s="352"/>
      <c r="XBN2" s="352"/>
      <c r="XBO2" s="352"/>
      <c r="XBP2" s="352"/>
      <c r="XBQ2" s="352"/>
      <c r="XBR2" s="352"/>
      <c r="XBS2" s="352"/>
      <c r="XBT2" s="352"/>
      <c r="XBU2" s="352"/>
      <c r="XBV2" s="352"/>
      <c r="XBW2" s="352"/>
      <c r="XBX2" s="352"/>
      <c r="XBY2" s="352"/>
      <c r="XBZ2" s="352"/>
      <c r="XCA2" s="352"/>
      <c r="XCB2" s="352"/>
      <c r="XCC2" s="352"/>
      <c r="XCD2" s="352"/>
      <c r="XCE2" s="352"/>
      <c r="XCF2" s="352"/>
      <c r="XCG2" s="352"/>
      <c r="XCH2" s="352"/>
      <c r="XCI2" s="352"/>
      <c r="XCJ2" s="352"/>
      <c r="XCK2" s="352"/>
      <c r="XCL2" s="352"/>
      <c r="XCM2" s="352"/>
      <c r="XCN2" s="352"/>
      <c r="XCO2" s="352"/>
      <c r="XCP2" s="352"/>
      <c r="XCQ2" s="352"/>
      <c r="XCR2" s="352"/>
      <c r="XCS2" s="352"/>
      <c r="XCT2" s="352"/>
      <c r="XCU2" s="352"/>
      <c r="XCV2" s="352"/>
      <c r="XCW2" s="352"/>
      <c r="XCX2" s="352"/>
      <c r="XCY2" s="352"/>
      <c r="XCZ2" s="352"/>
      <c r="XDA2" s="352"/>
      <c r="XDB2" s="352"/>
      <c r="XDC2" s="352"/>
      <c r="XDD2" s="352"/>
      <c r="XDE2" s="352"/>
      <c r="XDF2" s="352"/>
      <c r="XDG2" s="352"/>
      <c r="XDH2" s="352"/>
      <c r="XDI2" s="352"/>
      <c r="XDJ2" s="352"/>
      <c r="XDK2" s="352"/>
      <c r="XDL2" s="352"/>
      <c r="XDM2" s="352"/>
      <c r="XDN2" s="352"/>
      <c r="XDO2" s="352"/>
      <c r="XDP2" s="352"/>
      <c r="XDQ2" s="352"/>
      <c r="XDR2" s="352"/>
      <c r="XDS2" s="352"/>
      <c r="XDT2" s="352"/>
      <c r="XDU2" s="352"/>
      <c r="XDV2" s="352"/>
      <c r="XDW2" s="352"/>
      <c r="XDX2" s="352"/>
      <c r="XDY2" s="352"/>
      <c r="XDZ2" s="352"/>
      <c r="XEA2" s="352"/>
      <c r="XEB2" s="352"/>
      <c r="XEC2" s="352"/>
      <c r="XED2" s="352"/>
      <c r="XEE2" s="352"/>
      <c r="XEF2" s="352"/>
      <c r="XEG2" s="352"/>
      <c r="XEH2" s="352"/>
      <c r="XEI2" s="352"/>
      <c r="XEJ2" s="352"/>
      <c r="XEK2" s="352"/>
      <c r="XEL2" s="352"/>
      <c r="XEM2" s="352"/>
      <c r="XEN2" s="352"/>
      <c r="XEO2" s="352"/>
      <c r="XEP2" s="352"/>
      <c r="XEQ2" s="352"/>
      <c r="XER2" s="352"/>
      <c r="XES2" s="352"/>
      <c r="XET2" s="352"/>
      <c r="XEU2" s="352"/>
      <c r="XEV2" s="352"/>
      <c r="XEW2" s="352"/>
      <c r="XEX2" s="352"/>
      <c r="XEY2" s="352"/>
      <c r="XEZ2" s="352"/>
      <c r="XFA2" s="352"/>
      <c r="XFB2" s="352"/>
      <c r="XFC2" s="352"/>
    </row>
    <row r="3" ht="15" customHeight="1" spans="1:8">
      <c r="A3" s="355" t="s">
        <v>1217</v>
      </c>
      <c r="B3" s="356" t="s">
        <v>247</v>
      </c>
      <c r="C3" s="356" t="s">
        <v>248</v>
      </c>
      <c r="D3" s="356" t="s">
        <v>249</v>
      </c>
      <c r="E3" s="356" t="s">
        <v>250</v>
      </c>
      <c r="F3" s="356" t="s">
        <v>251</v>
      </c>
      <c r="G3" s="356" t="s">
        <v>1218</v>
      </c>
      <c r="H3" s="357" t="s">
        <v>1219</v>
      </c>
    </row>
    <row r="4" ht="13.8" customHeight="1" spans="1:8">
      <c r="A4" s="358" t="s">
        <v>1220</v>
      </c>
      <c r="B4" s="359">
        <f>B6+B5+B7+B8</f>
        <v>108</v>
      </c>
      <c r="C4" s="359">
        <f>B4</f>
        <v>108</v>
      </c>
      <c r="D4" s="359">
        <f t="shared" ref="D4:G4" si="0">C4</f>
        <v>108</v>
      </c>
      <c r="E4" s="359">
        <f t="shared" si="0"/>
        <v>108</v>
      </c>
      <c r="F4" s="359">
        <f t="shared" si="0"/>
        <v>108</v>
      </c>
      <c r="G4" s="359">
        <f t="shared" si="0"/>
        <v>108</v>
      </c>
      <c r="H4" s="360" t="e">
        <f>H6+H5+H7+H8</f>
        <v>#REF!</v>
      </c>
    </row>
    <row r="5" ht="13.8" customHeight="1" spans="1:8">
      <c r="A5" s="361" t="s">
        <v>1221</v>
      </c>
      <c r="B5" s="359">
        <f>工资表!B3+工资表!B5+工资表!B6+工资表!B4</f>
        <v>17</v>
      </c>
      <c r="C5" s="359">
        <f t="shared" ref="C5:G8" si="1">B5</f>
        <v>17</v>
      </c>
      <c r="D5" s="359">
        <f t="shared" si="1"/>
        <v>17</v>
      </c>
      <c r="E5" s="359">
        <f t="shared" si="1"/>
        <v>17</v>
      </c>
      <c r="F5" s="359">
        <f t="shared" si="1"/>
        <v>17</v>
      </c>
      <c r="G5" s="359">
        <f t="shared" si="1"/>
        <v>17</v>
      </c>
      <c r="H5" s="362" t="e">
        <f>#REF!+#REF!</f>
        <v>#REF!</v>
      </c>
    </row>
    <row r="6" ht="13.8" customHeight="1" spans="1:8">
      <c r="A6" s="361" t="s">
        <v>1222</v>
      </c>
      <c r="B6" s="359">
        <f>工资表!B8+工资表!B9</f>
        <v>6</v>
      </c>
      <c r="C6" s="359">
        <f t="shared" si="1"/>
        <v>6</v>
      </c>
      <c r="D6" s="359">
        <f t="shared" si="1"/>
        <v>6</v>
      </c>
      <c r="E6" s="359">
        <f t="shared" si="1"/>
        <v>6</v>
      </c>
      <c r="F6" s="359">
        <f t="shared" si="1"/>
        <v>6</v>
      </c>
      <c r="G6" s="359">
        <f t="shared" si="1"/>
        <v>6</v>
      </c>
      <c r="H6" s="362" t="e">
        <f>#REF!+#REF!+#REF!</f>
        <v>#REF!</v>
      </c>
    </row>
    <row r="7" ht="13.8" customHeight="1" spans="1:8">
      <c r="A7" s="361" t="s">
        <v>1223</v>
      </c>
      <c r="B7" s="359">
        <f>工资表!B11++工资表!B12+工资表!B13+工资表!B14</f>
        <v>81</v>
      </c>
      <c r="C7" s="359">
        <f t="shared" si="1"/>
        <v>81</v>
      </c>
      <c r="D7" s="359">
        <f t="shared" si="1"/>
        <v>81</v>
      </c>
      <c r="E7" s="359">
        <f t="shared" si="1"/>
        <v>81</v>
      </c>
      <c r="F7" s="359">
        <f t="shared" si="1"/>
        <v>81</v>
      </c>
      <c r="G7" s="359">
        <f t="shared" si="1"/>
        <v>81</v>
      </c>
      <c r="H7" s="362" t="e">
        <f>#REF!+#REF!</f>
        <v>#REF!</v>
      </c>
    </row>
    <row r="8" ht="13.8" customHeight="1" spans="1:8">
      <c r="A8" s="361" t="s">
        <v>1212</v>
      </c>
      <c r="B8" s="359">
        <f>工资表!B16</f>
        <v>4</v>
      </c>
      <c r="C8" s="359">
        <f t="shared" si="1"/>
        <v>4</v>
      </c>
      <c r="D8" s="359">
        <f t="shared" si="1"/>
        <v>4</v>
      </c>
      <c r="E8" s="359">
        <f t="shared" si="1"/>
        <v>4</v>
      </c>
      <c r="F8" s="359">
        <f t="shared" si="1"/>
        <v>4</v>
      </c>
      <c r="G8" s="359">
        <f t="shared" si="1"/>
        <v>4</v>
      </c>
      <c r="H8" s="362" t="e">
        <f>#REF!+#REF!+#REF!</f>
        <v>#REF!</v>
      </c>
    </row>
    <row r="9" ht="24.75" customHeight="1" spans="1:8">
      <c r="A9" s="363" t="s">
        <v>1224</v>
      </c>
      <c r="B9" s="364" t="s">
        <v>247</v>
      </c>
      <c r="C9" s="365" t="s">
        <v>248</v>
      </c>
      <c r="D9" s="365" t="s">
        <v>249</v>
      </c>
      <c r="E9" s="365" t="s">
        <v>250</v>
      </c>
      <c r="F9" s="365" t="s">
        <v>251</v>
      </c>
      <c r="G9" s="365" t="s">
        <v>1218</v>
      </c>
      <c r="H9" s="360" t="s">
        <v>1219</v>
      </c>
    </row>
    <row r="10" ht="15.6" customHeight="1" spans="1:10">
      <c r="A10" s="361" t="s">
        <v>1221</v>
      </c>
      <c r="B10" s="366">
        <f>工资表!P7</f>
        <v>4500</v>
      </c>
      <c r="C10" s="366">
        <f>B10*(1+$I$10)</f>
        <v>4725</v>
      </c>
      <c r="D10" s="366">
        <f t="shared" ref="D10:F10" si="2">C10*(1+$I$10)</f>
        <v>4961.25</v>
      </c>
      <c r="E10" s="366">
        <f t="shared" si="2"/>
        <v>5209.3125</v>
      </c>
      <c r="F10" s="366">
        <f t="shared" si="2"/>
        <v>5469.778125</v>
      </c>
      <c r="G10" s="366">
        <f>F10</f>
        <v>5469.778125</v>
      </c>
      <c r="H10" s="366" t="e">
        <f t="shared" ref="H10" si="3">H11+H12+H13</f>
        <v>#REF!</v>
      </c>
      <c r="I10" s="373">
        <v>0.05</v>
      </c>
      <c r="J10" s="352" t="s">
        <v>1225</v>
      </c>
    </row>
    <row r="11" ht="15.6" customHeight="1" spans="1:8">
      <c r="A11" s="361" t="s">
        <v>1222</v>
      </c>
      <c r="B11" s="366">
        <f>工资表!P10</f>
        <v>2500</v>
      </c>
      <c r="C11" s="366">
        <f t="shared" ref="C11:F13" si="4">B11*(1+$I$10)</f>
        <v>2625</v>
      </c>
      <c r="D11" s="366">
        <f t="shared" si="4"/>
        <v>2756.25</v>
      </c>
      <c r="E11" s="366">
        <f t="shared" si="4"/>
        <v>2894.0625</v>
      </c>
      <c r="F11" s="366">
        <f t="shared" si="4"/>
        <v>3038.765625</v>
      </c>
      <c r="G11" s="366">
        <f t="shared" ref="G11:G13" si="5">F11</f>
        <v>3038.765625</v>
      </c>
      <c r="H11" s="367" t="e">
        <f>#REF!*(1+$I$10)</f>
        <v>#REF!</v>
      </c>
    </row>
    <row r="12" ht="15.6" customHeight="1" spans="1:8">
      <c r="A12" s="361" t="s">
        <v>1223</v>
      </c>
      <c r="B12" s="366">
        <f>工资表!P15</f>
        <v>3000</v>
      </c>
      <c r="C12" s="366">
        <f t="shared" si="4"/>
        <v>3150</v>
      </c>
      <c r="D12" s="366">
        <f t="shared" si="4"/>
        <v>3307.5</v>
      </c>
      <c r="E12" s="366">
        <f t="shared" si="4"/>
        <v>3472.875</v>
      </c>
      <c r="F12" s="366">
        <f t="shared" si="4"/>
        <v>3646.51875</v>
      </c>
      <c r="G12" s="366">
        <f t="shared" si="5"/>
        <v>3646.51875</v>
      </c>
      <c r="H12" s="367" t="e">
        <f>#REF!*(1+$I$10)</f>
        <v>#REF!</v>
      </c>
    </row>
    <row r="13" ht="15.6" customHeight="1" spans="1:8">
      <c r="A13" s="361" t="s">
        <v>1212</v>
      </c>
      <c r="B13" s="366">
        <f>工资表!P16</f>
        <v>3300</v>
      </c>
      <c r="C13" s="366">
        <f t="shared" si="4"/>
        <v>3465</v>
      </c>
      <c r="D13" s="366">
        <f t="shared" si="4"/>
        <v>3638.25</v>
      </c>
      <c r="E13" s="366">
        <f t="shared" si="4"/>
        <v>3820.1625</v>
      </c>
      <c r="F13" s="366">
        <f t="shared" si="4"/>
        <v>4011.170625</v>
      </c>
      <c r="G13" s="366">
        <f t="shared" si="5"/>
        <v>4011.170625</v>
      </c>
      <c r="H13" s="367" t="e">
        <f>#REF!*(1+$I$10)</f>
        <v>#REF!</v>
      </c>
    </row>
    <row r="14" ht="15.6" customHeight="1" spans="1:8">
      <c r="A14" s="358" t="s">
        <v>1226</v>
      </c>
      <c r="B14" s="368">
        <f>SUM(B15:B18)</f>
        <v>417.24</v>
      </c>
      <c r="C14" s="368">
        <f t="shared" ref="C14:G14" si="6">SUM(C15:C18)</f>
        <v>438.102</v>
      </c>
      <c r="D14" s="368">
        <f t="shared" si="6"/>
        <v>460.0071</v>
      </c>
      <c r="E14" s="368">
        <f t="shared" si="6"/>
        <v>483.007455</v>
      </c>
      <c r="F14" s="368">
        <f t="shared" si="6"/>
        <v>507.15782775</v>
      </c>
      <c r="G14" s="368">
        <f t="shared" si="6"/>
        <v>507.15782775</v>
      </c>
      <c r="H14" s="369" t="e">
        <f>H15+#REF!+#REF!+#REF!</f>
        <v>#REF!</v>
      </c>
    </row>
    <row r="15" ht="15.6" customHeight="1" spans="1:8">
      <c r="A15" s="361" t="s">
        <v>1221</v>
      </c>
      <c r="B15" s="370">
        <f t="shared" ref="B15:G18" si="7">B10*12*B5/10000</f>
        <v>91.8</v>
      </c>
      <c r="C15" s="370">
        <f t="shared" si="7"/>
        <v>96.39</v>
      </c>
      <c r="D15" s="370">
        <f t="shared" si="7"/>
        <v>101.2095</v>
      </c>
      <c r="E15" s="370">
        <f t="shared" si="7"/>
        <v>106.269975</v>
      </c>
      <c r="F15" s="370">
        <f t="shared" si="7"/>
        <v>111.58347375</v>
      </c>
      <c r="G15" s="370">
        <f t="shared" si="7"/>
        <v>111.58347375</v>
      </c>
      <c r="H15" s="371" t="e">
        <f t="shared" ref="H15" si="8">H16+H17+H18</f>
        <v>#REF!</v>
      </c>
    </row>
    <row r="16" ht="15.6" customHeight="1" spans="1:8">
      <c r="A16" s="361" t="s">
        <v>1222</v>
      </c>
      <c r="B16" s="370">
        <f t="shared" si="7"/>
        <v>18</v>
      </c>
      <c r="C16" s="370">
        <f t="shared" si="7"/>
        <v>18.9</v>
      </c>
      <c r="D16" s="370">
        <f t="shared" si="7"/>
        <v>19.845</v>
      </c>
      <c r="E16" s="370">
        <f t="shared" si="7"/>
        <v>20.83725</v>
      </c>
      <c r="F16" s="370">
        <f t="shared" si="7"/>
        <v>21.8791125</v>
      </c>
      <c r="G16" s="370">
        <f t="shared" si="7"/>
        <v>21.8791125</v>
      </c>
      <c r="H16" s="371" t="e">
        <f>#REF!*H11*12/10000</f>
        <v>#REF!</v>
      </c>
    </row>
    <row r="17" ht="15.6" customHeight="1" spans="1:8">
      <c r="A17" s="361" t="s">
        <v>1223</v>
      </c>
      <c r="B17" s="370">
        <f t="shared" si="7"/>
        <v>291.6</v>
      </c>
      <c r="C17" s="370">
        <f t="shared" si="7"/>
        <v>306.18</v>
      </c>
      <c r="D17" s="370">
        <f t="shared" si="7"/>
        <v>321.489</v>
      </c>
      <c r="E17" s="370">
        <f t="shared" si="7"/>
        <v>337.56345</v>
      </c>
      <c r="F17" s="370">
        <f t="shared" si="7"/>
        <v>354.4416225</v>
      </c>
      <c r="G17" s="370">
        <f t="shared" si="7"/>
        <v>354.4416225</v>
      </c>
      <c r="H17" s="371" t="e">
        <f>#REF!*H12*12/10000</f>
        <v>#REF!</v>
      </c>
    </row>
    <row r="18" spans="1:8">
      <c r="A18" s="361" t="s">
        <v>1212</v>
      </c>
      <c r="B18" s="370">
        <f t="shared" si="7"/>
        <v>15.84</v>
      </c>
      <c r="C18" s="370">
        <f t="shared" si="7"/>
        <v>16.632</v>
      </c>
      <c r="D18" s="370">
        <f t="shared" si="7"/>
        <v>17.4636</v>
      </c>
      <c r="E18" s="370">
        <f t="shared" si="7"/>
        <v>18.33678</v>
      </c>
      <c r="F18" s="370">
        <f t="shared" si="7"/>
        <v>19.253619</v>
      </c>
      <c r="G18" s="370">
        <f t="shared" si="7"/>
        <v>19.253619</v>
      </c>
      <c r="H18" s="371" t="e">
        <f>#REF!*H13*12/10000</f>
        <v>#REF!</v>
      </c>
    </row>
    <row r="19" s="351" customFormat="1" spans="1:16383">
      <c r="A19" s="352"/>
      <c r="B19" s="353"/>
      <c r="C19" s="353"/>
      <c r="D19" s="353"/>
      <c r="E19" s="353"/>
      <c r="F19" s="353"/>
      <c r="G19" s="353"/>
      <c r="H19" s="353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352"/>
      <c r="AB19" s="352"/>
      <c r="AC19" s="352"/>
      <c r="AD19" s="352"/>
      <c r="AE19" s="352"/>
      <c r="AF19" s="352"/>
      <c r="AG19" s="352"/>
      <c r="AH19" s="352"/>
      <c r="AI19" s="352"/>
      <c r="AJ19" s="352"/>
      <c r="AK19" s="352"/>
      <c r="AL19" s="352"/>
      <c r="AM19" s="352"/>
      <c r="AN19" s="352"/>
      <c r="AO19" s="352"/>
      <c r="AP19" s="352"/>
      <c r="AQ19" s="352"/>
      <c r="AR19" s="352"/>
      <c r="AS19" s="352"/>
      <c r="AT19" s="352"/>
      <c r="AU19" s="352"/>
      <c r="AV19" s="352"/>
      <c r="AW19" s="352"/>
      <c r="AX19" s="352"/>
      <c r="AY19" s="352"/>
      <c r="AZ19" s="352"/>
      <c r="BA19" s="352"/>
      <c r="BB19" s="352"/>
      <c r="BC19" s="352"/>
      <c r="BD19" s="352"/>
      <c r="BE19" s="352"/>
      <c r="BF19" s="352"/>
      <c r="BG19" s="352"/>
      <c r="BH19" s="352"/>
      <c r="BI19" s="352"/>
      <c r="BJ19" s="352"/>
      <c r="BK19" s="352"/>
      <c r="BL19" s="352"/>
      <c r="BM19" s="352"/>
      <c r="BN19" s="352"/>
      <c r="BO19" s="352"/>
      <c r="BP19" s="352"/>
      <c r="BQ19" s="352"/>
      <c r="BR19" s="352"/>
      <c r="BS19" s="352"/>
      <c r="BT19" s="352"/>
      <c r="BU19" s="352"/>
      <c r="BV19" s="352"/>
      <c r="BW19" s="352"/>
      <c r="BX19" s="352"/>
      <c r="BY19" s="352"/>
      <c r="BZ19" s="352"/>
      <c r="CA19" s="352"/>
      <c r="CB19" s="352"/>
      <c r="CC19" s="352"/>
      <c r="CD19" s="352"/>
      <c r="CE19" s="352"/>
      <c r="CF19" s="352"/>
      <c r="CG19" s="352"/>
      <c r="CH19" s="352"/>
      <c r="CI19" s="352"/>
      <c r="CJ19" s="352"/>
      <c r="CK19" s="352"/>
      <c r="CL19" s="352"/>
      <c r="CM19" s="352"/>
      <c r="CN19" s="352"/>
      <c r="CO19" s="352"/>
      <c r="CP19" s="352"/>
      <c r="CQ19" s="352"/>
      <c r="CR19" s="352"/>
      <c r="CS19" s="352"/>
      <c r="CT19" s="352"/>
      <c r="CU19" s="352"/>
      <c r="CV19" s="352"/>
      <c r="CW19" s="352"/>
      <c r="CX19" s="352"/>
      <c r="CY19" s="352"/>
      <c r="CZ19" s="352"/>
      <c r="DA19" s="352"/>
      <c r="DB19" s="352"/>
      <c r="DC19" s="352"/>
      <c r="DD19" s="352"/>
      <c r="DE19" s="352"/>
      <c r="DF19" s="352"/>
      <c r="DG19" s="352"/>
      <c r="DH19" s="352"/>
      <c r="DI19" s="352"/>
      <c r="DJ19" s="352"/>
      <c r="DK19" s="352"/>
      <c r="DL19" s="352"/>
      <c r="DM19" s="352"/>
      <c r="DN19" s="352"/>
      <c r="DO19" s="352"/>
      <c r="DP19" s="352"/>
      <c r="DQ19" s="352"/>
      <c r="DR19" s="352"/>
      <c r="DS19" s="352"/>
      <c r="DT19" s="352"/>
      <c r="DU19" s="352"/>
      <c r="DV19" s="352"/>
      <c r="DW19" s="352"/>
      <c r="DX19" s="352"/>
      <c r="DY19" s="352"/>
      <c r="DZ19" s="352"/>
      <c r="EA19" s="352"/>
      <c r="EB19" s="352"/>
      <c r="EC19" s="352"/>
      <c r="ED19" s="352"/>
      <c r="EE19" s="352"/>
      <c r="EF19" s="352"/>
      <c r="EG19" s="352"/>
      <c r="EH19" s="352"/>
      <c r="EI19" s="352"/>
      <c r="EJ19" s="352"/>
      <c r="EK19" s="352"/>
      <c r="EL19" s="352"/>
      <c r="EM19" s="352"/>
      <c r="EN19" s="352"/>
      <c r="EO19" s="352"/>
      <c r="EP19" s="352"/>
      <c r="EQ19" s="352"/>
      <c r="ER19" s="352"/>
      <c r="ES19" s="352"/>
      <c r="ET19" s="352"/>
      <c r="EU19" s="352"/>
      <c r="EV19" s="352"/>
      <c r="EW19" s="352"/>
      <c r="EX19" s="352"/>
      <c r="EY19" s="352"/>
      <c r="EZ19" s="352"/>
      <c r="FA19" s="352"/>
      <c r="FB19" s="352"/>
      <c r="FC19" s="352"/>
      <c r="FD19" s="352"/>
      <c r="FE19" s="352"/>
      <c r="FF19" s="352"/>
      <c r="FG19" s="352"/>
      <c r="FH19" s="352"/>
      <c r="FI19" s="352"/>
      <c r="FJ19" s="352"/>
      <c r="FK19" s="352"/>
      <c r="FL19" s="352"/>
      <c r="FM19" s="352"/>
      <c r="FN19" s="352"/>
      <c r="FO19" s="352"/>
      <c r="FP19" s="352"/>
      <c r="FQ19" s="352"/>
      <c r="FR19" s="352"/>
      <c r="FS19" s="352"/>
      <c r="FT19" s="352"/>
      <c r="FU19" s="352"/>
      <c r="FV19" s="352"/>
      <c r="FW19" s="352"/>
      <c r="FX19" s="352"/>
      <c r="FY19" s="352"/>
      <c r="FZ19" s="352"/>
      <c r="GA19" s="352"/>
      <c r="GB19" s="352"/>
      <c r="GC19" s="352"/>
      <c r="GD19" s="352"/>
      <c r="GE19" s="352"/>
      <c r="GF19" s="352"/>
      <c r="GG19" s="352"/>
      <c r="GH19" s="352"/>
      <c r="GI19" s="352"/>
      <c r="GJ19" s="352"/>
      <c r="GK19" s="352"/>
      <c r="GL19" s="352"/>
      <c r="GM19" s="352"/>
      <c r="GN19" s="352"/>
      <c r="GO19" s="352"/>
      <c r="GP19" s="352"/>
      <c r="GQ19" s="352"/>
      <c r="GR19" s="352"/>
      <c r="GS19" s="352"/>
      <c r="GT19" s="352"/>
      <c r="GU19" s="352"/>
      <c r="GV19" s="352"/>
      <c r="GW19" s="352"/>
      <c r="GX19" s="352"/>
      <c r="GY19" s="352"/>
      <c r="GZ19" s="352"/>
      <c r="HA19" s="352"/>
      <c r="HB19" s="352"/>
      <c r="HC19" s="352"/>
      <c r="HD19" s="352"/>
      <c r="HE19" s="352"/>
      <c r="HF19" s="352"/>
      <c r="HG19" s="352"/>
      <c r="HH19" s="352"/>
      <c r="HI19" s="352"/>
      <c r="HJ19" s="352"/>
      <c r="HK19" s="352"/>
      <c r="HL19" s="352"/>
      <c r="HM19" s="352"/>
      <c r="HN19" s="352"/>
      <c r="HO19" s="352"/>
      <c r="HP19" s="352"/>
      <c r="HQ19" s="352"/>
      <c r="HR19" s="352"/>
      <c r="HS19" s="352"/>
      <c r="HT19" s="352"/>
      <c r="HU19" s="352"/>
      <c r="HV19" s="352"/>
      <c r="HW19" s="352"/>
      <c r="HX19" s="352"/>
      <c r="HY19" s="352"/>
      <c r="HZ19" s="352"/>
      <c r="IA19" s="352"/>
      <c r="IB19" s="352"/>
      <c r="IC19" s="352"/>
      <c r="ID19" s="352"/>
      <c r="IE19" s="352"/>
      <c r="IF19" s="352"/>
      <c r="IG19" s="352"/>
      <c r="IH19" s="352"/>
      <c r="II19" s="352"/>
      <c r="IJ19" s="352"/>
      <c r="IK19" s="352"/>
      <c r="IL19" s="352"/>
      <c r="IM19" s="352"/>
      <c r="IN19" s="352"/>
      <c r="IO19" s="352"/>
      <c r="IP19" s="352"/>
      <c r="IQ19" s="352"/>
      <c r="IR19" s="352"/>
      <c r="IS19" s="352"/>
      <c r="IT19" s="352"/>
      <c r="IU19" s="352"/>
      <c r="IV19" s="352"/>
      <c r="IW19" s="352"/>
      <c r="IX19" s="352"/>
      <c r="IY19" s="352"/>
      <c r="IZ19" s="352"/>
      <c r="JA19" s="352"/>
      <c r="JB19" s="352"/>
      <c r="JC19" s="352"/>
      <c r="JD19" s="352"/>
      <c r="JE19" s="352"/>
      <c r="JF19" s="352"/>
      <c r="JG19" s="352"/>
      <c r="JH19" s="352"/>
      <c r="JI19" s="352"/>
      <c r="JJ19" s="352"/>
      <c r="JK19" s="352"/>
      <c r="JL19" s="352"/>
      <c r="JM19" s="352"/>
      <c r="JN19" s="352"/>
      <c r="JO19" s="352"/>
      <c r="JP19" s="352"/>
      <c r="JQ19" s="352"/>
      <c r="JR19" s="352"/>
      <c r="JS19" s="352"/>
      <c r="JT19" s="352"/>
      <c r="JU19" s="352"/>
      <c r="JV19" s="352"/>
      <c r="JW19" s="352"/>
      <c r="JX19" s="352"/>
      <c r="JY19" s="352"/>
      <c r="JZ19" s="352"/>
      <c r="KA19" s="352"/>
      <c r="KB19" s="352"/>
      <c r="KC19" s="352"/>
      <c r="KD19" s="352"/>
      <c r="KE19" s="352"/>
      <c r="KF19" s="352"/>
      <c r="KG19" s="352"/>
      <c r="KH19" s="352"/>
      <c r="KI19" s="352"/>
      <c r="KJ19" s="352"/>
      <c r="KK19" s="352"/>
      <c r="KL19" s="352"/>
      <c r="KM19" s="352"/>
      <c r="KN19" s="352"/>
      <c r="KO19" s="352"/>
      <c r="KP19" s="352"/>
      <c r="KQ19" s="352"/>
      <c r="KR19" s="352"/>
      <c r="KS19" s="352"/>
      <c r="KT19" s="352"/>
      <c r="KU19" s="352"/>
      <c r="KV19" s="352"/>
      <c r="KW19" s="352"/>
      <c r="KX19" s="352"/>
      <c r="KY19" s="352"/>
      <c r="KZ19" s="352"/>
      <c r="LA19" s="352"/>
      <c r="LB19" s="352"/>
      <c r="LC19" s="352"/>
      <c r="LD19" s="352"/>
      <c r="LE19" s="352"/>
      <c r="LF19" s="352"/>
      <c r="LG19" s="352"/>
      <c r="LH19" s="352"/>
      <c r="LI19" s="352"/>
      <c r="LJ19" s="352"/>
      <c r="LK19" s="352"/>
      <c r="LL19" s="352"/>
      <c r="LM19" s="352"/>
      <c r="LN19" s="352"/>
      <c r="LO19" s="352"/>
      <c r="LP19" s="352"/>
      <c r="LQ19" s="352"/>
      <c r="LR19" s="352"/>
      <c r="LS19" s="352"/>
      <c r="LT19" s="352"/>
      <c r="LU19" s="352"/>
      <c r="LV19" s="352"/>
      <c r="LW19" s="352"/>
      <c r="LX19" s="352"/>
      <c r="LY19" s="352"/>
      <c r="LZ19" s="352"/>
      <c r="MA19" s="352"/>
      <c r="MB19" s="352"/>
      <c r="MC19" s="352"/>
      <c r="MD19" s="352"/>
      <c r="ME19" s="352"/>
      <c r="MF19" s="352"/>
      <c r="MG19" s="352"/>
      <c r="MH19" s="352"/>
      <c r="MI19" s="352"/>
      <c r="MJ19" s="352"/>
      <c r="MK19" s="352"/>
      <c r="ML19" s="352"/>
      <c r="MM19" s="352"/>
      <c r="MN19" s="352"/>
      <c r="MO19" s="352"/>
      <c r="MP19" s="352"/>
      <c r="MQ19" s="352"/>
      <c r="MR19" s="352"/>
      <c r="MS19" s="352"/>
      <c r="MT19" s="352"/>
      <c r="MU19" s="352"/>
      <c r="MV19" s="352"/>
      <c r="MW19" s="352"/>
      <c r="MX19" s="352"/>
      <c r="MY19" s="352"/>
      <c r="MZ19" s="352"/>
      <c r="NA19" s="352"/>
      <c r="NB19" s="352"/>
      <c r="NC19" s="352"/>
      <c r="ND19" s="352"/>
      <c r="NE19" s="352"/>
      <c r="NF19" s="352"/>
      <c r="NG19" s="352"/>
      <c r="NH19" s="352"/>
      <c r="NI19" s="352"/>
      <c r="NJ19" s="352"/>
      <c r="NK19" s="352"/>
      <c r="NL19" s="352"/>
      <c r="NM19" s="352"/>
      <c r="NN19" s="352"/>
      <c r="NO19" s="352"/>
      <c r="NP19" s="352"/>
      <c r="NQ19" s="352"/>
      <c r="NR19" s="352"/>
      <c r="NS19" s="352"/>
      <c r="NT19" s="352"/>
      <c r="NU19" s="352"/>
      <c r="NV19" s="352"/>
      <c r="NW19" s="352"/>
      <c r="NX19" s="352"/>
      <c r="NY19" s="352"/>
      <c r="NZ19" s="352"/>
      <c r="OA19" s="352"/>
      <c r="OB19" s="352"/>
      <c r="OC19" s="352"/>
      <c r="OD19" s="352"/>
      <c r="OE19" s="352"/>
      <c r="OF19" s="352"/>
      <c r="OG19" s="352"/>
      <c r="OH19" s="352"/>
      <c r="OI19" s="352"/>
      <c r="OJ19" s="352"/>
      <c r="OK19" s="352"/>
      <c r="OL19" s="352"/>
      <c r="OM19" s="352"/>
      <c r="ON19" s="352"/>
      <c r="OO19" s="352"/>
      <c r="OP19" s="352"/>
      <c r="OQ19" s="352"/>
      <c r="OR19" s="352"/>
      <c r="OS19" s="352"/>
      <c r="OT19" s="352"/>
      <c r="OU19" s="352"/>
      <c r="OV19" s="352"/>
      <c r="OW19" s="352"/>
      <c r="OX19" s="352"/>
      <c r="OY19" s="352"/>
      <c r="OZ19" s="352"/>
      <c r="PA19" s="352"/>
      <c r="PB19" s="352"/>
      <c r="PC19" s="352"/>
      <c r="PD19" s="352"/>
      <c r="PE19" s="352"/>
      <c r="PF19" s="352"/>
      <c r="PG19" s="352"/>
      <c r="PH19" s="352"/>
      <c r="PI19" s="352"/>
      <c r="PJ19" s="352"/>
      <c r="PK19" s="352"/>
      <c r="PL19" s="352"/>
      <c r="PM19" s="352"/>
      <c r="PN19" s="352"/>
      <c r="PO19" s="352"/>
      <c r="PP19" s="352"/>
      <c r="PQ19" s="352"/>
      <c r="PR19" s="352"/>
      <c r="PS19" s="352"/>
      <c r="PT19" s="352"/>
      <c r="PU19" s="352"/>
      <c r="PV19" s="352"/>
      <c r="PW19" s="352"/>
      <c r="PX19" s="352"/>
      <c r="PY19" s="352"/>
      <c r="PZ19" s="352"/>
      <c r="QA19" s="352"/>
      <c r="QB19" s="352"/>
      <c r="QC19" s="352"/>
      <c r="QD19" s="352"/>
      <c r="QE19" s="352"/>
      <c r="QF19" s="352"/>
      <c r="QG19" s="352"/>
      <c r="QH19" s="352"/>
      <c r="QI19" s="352"/>
      <c r="QJ19" s="352"/>
      <c r="QK19" s="352"/>
      <c r="QL19" s="352"/>
      <c r="QM19" s="352"/>
      <c r="QN19" s="352"/>
      <c r="QO19" s="352"/>
      <c r="QP19" s="352"/>
      <c r="QQ19" s="352"/>
      <c r="QR19" s="352"/>
      <c r="QS19" s="352"/>
      <c r="QT19" s="352"/>
      <c r="QU19" s="352"/>
      <c r="QV19" s="352"/>
      <c r="QW19" s="352"/>
      <c r="QX19" s="352"/>
      <c r="QY19" s="352"/>
      <c r="QZ19" s="352"/>
      <c r="RA19" s="352"/>
      <c r="RB19" s="352"/>
      <c r="RC19" s="352"/>
      <c r="RD19" s="352"/>
      <c r="RE19" s="352"/>
      <c r="RF19" s="352"/>
      <c r="RG19" s="352"/>
      <c r="RH19" s="352"/>
      <c r="RI19" s="352"/>
      <c r="RJ19" s="352"/>
      <c r="RK19" s="352"/>
      <c r="RL19" s="352"/>
      <c r="RM19" s="352"/>
      <c r="RN19" s="352"/>
      <c r="RO19" s="352"/>
      <c r="RP19" s="352"/>
      <c r="RQ19" s="352"/>
      <c r="RR19" s="352"/>
      <c r="RS19" s="352"/>
      <c r="RT19" s="352"/>
      <c r="RU19" s="352"/>
      <c r="RV19" s="352"/>
      <c r="RW19" s="352"/>
      <c r="RX19" s="352"/>
      <c r="RY19" s="352"/>
      <c r="RZ19" s="352"/>
      <c r="SA19" s="352"/>
      <c r="SB19" s="352"/>
      <c r="SC19" s="352"/>
      <c r="SD19" s="352"/>
      <c r="SE19" s="352"/>
      <c r="SF19" s="352"/>
      <c r="SG19" s="352"/>
      <c r="SH19" s="352"/>
      <c r="SI19" s="352"/>
      <c r="SJ19" s="352"/>
      <c r="SK19" s="352"/>
      <c r="SL19" s="352"/>
      <c r="SM19" s="352"/>
      <c r="SN19" s="352"/>
      <c r="SO19" s="352"/>
      <c r="SP19" s="352"/>
      <c r="SQ19" s="352"/>
      <c r="SR19" s="352"/>
      <c r="SS19" s="352"/>
      <c r="ST19" s="352"/>
      <c r="SU19" s="352"/>
      <c r="SV19" s="352"/>
      <c r="SW19" s="352"/>
      <c r="SX19" s="352"/>
      <c r="SY19" s="352"/>
      <c r="SZ19" s="352"/>
      <c r="TA19" s="352"/>
      <c r="TB19" s="352"/>
      <c r="TC19" s="352"/>
      <c r="TD19" s="352"/>
      <c r="TE19" s="352"/>
      <c r="TF19" s="352"/>
      <c r="TG19" s="352"/>
      <c r="TH19" s="352"/>
      <c r="TI19" s="352"/>
      <c r="TJ19" s="352"/>
      <c r="TK19" s="352"/>
      <c r="TL19" s="352"/>
      <c r="TM19" s="352"/>
      <c r="TN19" s="352"/>
      <c r="TO19" s="352"/>
      <c r="TP19" s="352"/>
      <c r="TQ19" s="352"/>
      <c r="TR19" s="352"/>
      <c r="TS19" s="352"/>
      <c r="TT19" s="352"/>
      <c r="TU19" s="352"/>
      <c r="TV19" s="352"/>
      <c r="TW19" s="352"/>
      <c r="TX19" s="352"/>
      <c r="TY19" s="352"/>
      <c r="TZ19" s="352"/>
      <c r="UA19" s="352"/>
      <c r="UB19" s="352"/>
      <c r="UC19" s="352"/>
      <c r="UD19" s="352"/>
      <c r="UE19" s="352"/>
      <c r="UF19" s="352"/>
      <c r="UG19" s="352"/>
      <c r="UH19" s="352"/>
      <c r="UI19" s="352"/>
      <c r="UJ19" s="352"/>
      <c r="UK19" s="352"/>
      <c r="UL19" s="352"/>
      <c r="UM19" s="352"/>
      <c r="UN19" s="352"/>
      <c r="UO19" s="352"/>
      <c r="UP19" s="352"/>
      <c r="UQ19" s="352"/>
      <c r="UR19" s="352"/>
      <c r="US19" s="352"/>
      <c r="UT19" s="352"/>
      <c r="UU19" s="352"/>
      <c r="UV19" s="352"/>
      <c r="UW19" s="352"/>
      <c r="UX19" s="352"/>
      <c r="UY19" s="352"/>
      <c r="UZ19" s="352"/>
      <c r="VA19" s="352"/>
      <c r="VB19" s="352"/>
      <c r="VC19" s="352"/>
      <c r="VD19" s="352"/>
      <c r="VE19" s="352"/>
      <c r="VF19" s="352"/>
      <c r="VG19" s="352"/>
      <c r="VH19" s="352"/>
      <c r="VI19" s="352"/>
      <c r="VJ19" s="352"/>
      <c r="VK19" s="352"/>
      <c r="VL19" s="352"/>
      <c r="VM19" s="352"/>
      <c r="VN19" s="352"/>
      <c r="VO19" s="352"/>
      <c r="VP19" s="352"/>
      <c r="VQ19" s="352"/>
      <c r="VR19" s="352"/>
      <c r="VS19" s="352"/>
      <c r="VT19" s="352"/>
      <c r="VU19" s="352"/>
      <c r="VV19" s="352"/>
      <c r="VW19" s="352"/>
      <c r="VX19" s="352"/>
      <c r="VY19" s="352"/>
      <c r="VZ19" s="352"/>
      <c r="WA19" s="352"/>
      <c r="WB19" s="352"/>
      <c r="WC19" s="352"/>
      <c r="WD19" s="352"/>
      <c r="WE19" s="352"/>
      <c r="WF19" s="352"/>
      <c r="WG19" s="352"/>
      <c r="WH19" s="352"/>
      <c r="WI19" s="352"/>
      <c r="WJ19" s="352"/>
      <c r="WK19" s="352"/>
      <c r="WL19" s="352"/>
      <c r="WM19" s="352"/>
      <c r="WN19" s="352"/>
      <c r="WO19" s="352"/>
      <c r="WP19" s="352"/>
      <c r="WQ19" s="352"/>
      <c r="WR19" s="352"/>
      <c r="WS19" s="352"/>
      <c r="WT19" s="352"/>
      <c r="WU19" s="352"/>
      <c r="WV19" s="352"/>
      <c r="WW19" s="352"/>
      <c r="WX19" s="352"/>
      <c r="WY19" s="352"/>
      <c r="WZ19" s="352"/>
      <c r="XA19" s="352"/>
      <c r="XB19" s="352"/>
      <c r="XC19" s="352"/>
      <c r="XD19" s="352"/>
      <c r="XE19" s="352"/>
      <c r="XF19" s="352"/>
      <c r="XG19" s="352"/>
      <c r="XH19" s="352"/>
      <c r="XI19" s="352"/>
      <c r="XJ19" s="352"/>
      <c r="XK19" s="352"/>
      <c r="XL19" s="352"/>
      <c r="XM19" s="352"/>
      <c r="XN19" s="352"/>
      <c r="XO19" s="352"/>
      <c r="XP19" s="352"/>
      <c r="XQ19" s="352"/>
      <c r="XR19" s="352"/>
      <c r="XS19" s="352"/>
      <c r="XT19" s="352"/>
      <c r="XU19" s="352"/>
      <c r="XV19" s="352"/>
      <c r="XW19" s="352"/>
      <c r="XX19" s="352"/>
      <c r="XY19" s="352"/>
      <c r="XZ19" s="352"/>
      <c r="YA19" s="352"/>
      <c r="YB19" s="352"/>
      <c r="YC19" s="352"/>
      <c r="YD19" s="352"/>
      <c r="YE19" s="352"/>
      <c r="YF19" s="352"/>
      <c r="YG19" s="352"/>
      <c r="YH19" s="352"/>
      <c r="YI19" s="352"/>
      <c r="YJ19" s="352"/>
      <c r="YK19" s="352"/>
      <c r="YL19" s="352"/>
      <c r="YM19" s="352"/>
      <c r="YN19" s="352"/>
      <c r="YO19" s="352"/>
      <c r="YP19" s="352"/>
      <c r="YQ19" s="352"/>
      <c r="YR19" s="352"/>
      <c r="YS19" s="352"/>
      <c r="YT19" s="352"/>
      <c r="YU19" s="352"/>
      <c r="YV19" s="352"/>
      <c r="YW19" s="352"/>
      <c r="YX19" s="352"/>
      <c r="YY19" s="352"/>
      <c r="YZ19" s="352"/>
      <c r="ZA19" s="352"/>
      <c r="ZB19" s="352"/>
      <c r="ZC19" s="352"/>
      <c r="ZD19" s="352"/>
      <c r="ZE19" s="352"/>
      <c r="ZF19" s="352"/>
      <c r="ZG19" s="352"/>
      <c r="ZH19" s="352"/>
      <c r="ZI19" s="352"/>
      <c r="ZJ19" s="352"/>
      <c r="ZK19" s="352"/>
      <c r="ZL19" s="352"/>
      <c r="ZM19" s="352"/>
      <c r="ZN19" s="352"/>
      <c r="ZO19" s="352"/>
      <c r="ZP19" s="352"/>
      <c r="ZQ19" s="352"/>
      <c r="ZR19" s="352"/>
      <c r="ZS19" s="352"/>
      <c r="ZT19" s="352"/>
      <c r="ZU19" s="352"/>
      <c r="ZV19" s="352"/>
      <c r="ZW19" s="352"/>
      <c r="ZX19" s="352"/>
      <c r="ZY19" s="352"/>
      <c r="ZZ19" s="352"/>
      <c r="AAA19" s="352"/>
      <c r="AAB19" s="352"/>
      <c r="AAC19" s="352"/>
      <c r="AAD19" s="352"/>
      <c r="AAE19" s="352"/>
      <c r="AAF19" s="352"/>
      <c r="AAG19" s="352"/>
      <c r="AAH19" s="352"/>
      <c r="AAI19" s="352"/>
      <c r="AAJ19" s="352"/>
      <c r="AAK19" s="352"/>
      <c r="AAL19" s="352"/>
      <c r="AAM19" s="352"/>
      <c r="AAN19" s="352"/>
      <c r="AAO19" s="352"/>
      <c r="AAP19" s="352"/>
      <c r="AAQ19" s="352"/>
      <c r="AAR19" s="352"/>
      <c r="AAS19" s="352"/>
      <c r="AAT19" s="352"/>
      <c r="AAU19" s="352"/>
      <c r="AAV19" s="352"/>
      <c r="AAW19" s="352"/>
      <c r="AAX19" s="352"/>
      <c r="AAY19" s="352"/>
      <c r="AAZ19" s="352"/>
      <c r="ABA19" s="352"/>
      <c r="ABB19" s="352"/>
      <c r="ABC19" s="352"/>
      <c r="ABD19" s="352"/>
      <c r="ABE19" s="352"/>
      <c r="ABF19" s="352"/>
      <c r="ABG19" s="352"/>
      <c r="ABH19" s="352"/>
      <c r="ABI19" s="352"/>
      <c r="ABJ19" s="352"/>
      <c r="ABK19" s="352"/>
      <c r="ABL19" s="352"/>
      <c r="ABM19" s="352"/>
      <c r="ABN19" s="352"/>
      <c r="ABO19" s="352"/>
      <c r="ABP19" s="352"/>
      <c r="ABQ19" s="352"/>
      <c r="ABR19" s="352"/>
      <c r="ABS19" s="352"/>
      <c r="ABT19" s="352"/>
      <c r="ABU19" s="352"/>
      <c r="ABV19" s="352"/>
      <c r="ABW19" s="352"/>
      <c r="ABX19" s="352"/>
      <c r="ABY19" s="352"/>
      <c r="ABZ19" s="352"/>
      <c r="ACA19" s="352"/>
      <c r="ACB19" s="352"/>
      <c r="ACC19" s="352"/>
      <c r="ACD19" s="352"/>
      <c r="ACE19" s="352"/>
      <c r="ACF19" s="352"/>
      <c r="ACG19" s="352"/>
      <c r="ACH19" s="352"/>
      <c r="ACI19" s="352"/>
      <c r="ACJ19" s="352"/>
      <c r="ACK19" s="352"/>
      <c r="ACL19" s="352"/>
      <c r="ACM19" s="352"/>
      <c r="ACN19" s="352"/>
      <c r="ACO19" s="352"/>
      <c r="ACP19" s="352"/>
      <c r="ACQ19" s="352"/>
      <c r="ACR19" s="352"/>
      <c r="ACS19" s="352"/>
      <c r="ACT19" s="352"/>
      <c r="ACU19" s="352"/>
      <c r="ACV19" s="352"/>
      <c r="ACW19" s="352"/>
      <c r="ACX19" s="352"/>
      <c r="ACY19" s="352"/>
      <c r="ACZ19" s="352"/>
      <c r="ADA19" s="352"/>
      <c r="ADB19" s="352"/>
      <c r="ADC19" s="352"/>
      <c r="ADD19" s="352"/>
      <c r="ADE19" s="352"/>
      <c r="ADF19" s="352"/>
      <c r="ADG19" s="352"/>
      <c r="ADH19" s="352"/>
      <c r="ADI19" s="352"/>
      <c r="ADJ19" s="352"/>
      <c r="ADK19" s="352"/>
      <c r="ADL19" s="352"/>
      <c r="ADM19" s="352"/>
      <c r="ADN19" s="352"/>
      <c r="ADO19" s="352"/>
      <c r="ADP19" s="352"/>
      <c r="ADQ19" s="352"/>
      <c r="ADR19" s="352"/>
      <c r="ADS19" s="352"/>
      <c r="ADT19" s="352"/>
      <c r="ADU19" s="352"/>
      <c r="ADV19" s="352"/>
      <c r="ADW19" s="352"/>
      <c r="ADX19" s="352"/>
      <c r="ADY19" s="352"/>
      <c r="ADZ19" s="352"/>
      <c r="AEA19" s="352"/>
      <c r="AEB19" s="352"/>
      <c r="AEC19" s="352"/>
      <c r="AED19" s="352"/>
      <c r="AEE19" s="352"/>
      <c r="AEF19" s="352"/>
      <c r="AEG19" s="352"/>
      <c r="AEH19" s="352"/>
      <c r="AEI19" s="352"/>
      <c r="AEJ19" s="352"/>
      <c r="AEK19" s="352"/>
      <c r="AEL19" s="352"/>
      <c r="AEM19" s="352"/>
      <c r="AEN19" s="352"/>
      <c r="AEO19" s="352"/>
      <c r="AEP19" s="352"/>
      <c r="AEQ19" s="352"/>
      <c r="AER19" s="352"/>
      <c r="AES19" s="352"/>
      <c r="AET19" s="352"/>
      <c r="AEU19" s="352"/>
      <c r="AEV19" s="352"/>
      <c r="AEW19" s="352"/>
      <c r="AEX19" s="352"/>
      <c r="AEY19" s="352"/>
      <c r="AEZ19" s="352"/>
      <c r="AFA19" s="352"/>
      <c r="AFB19" s="352"/>
      <c r="AFC19" s="352"/>
      <c r="AFD19" s="352"/>
      <c r="AFE19" s="352"/>
      <c r="AFF19" s="352"/>
      <c r="AFG19" s="352"/>
      <c r="AFH19" s="352"/>
      <c r="AFI19" s="352"/>
      <c r="AFJ19" s="352"/>
      <c r="AFK19" s="352"/>
      <c r="AFL19" s="352"/>
      <c r="AFM19" s="352"/>
      <c r="AFN19" s="352"/>
      <c r="AFO19" s="352"/>
      <c r="AFP19" s="352"/>
      <c r="AFQ19" s="352"/>
      <c r="AFR19" s="352"/>
      <c r="AFS19" s="352"/>
      <c r="AFT19" s="352"/>
      <c r="AFU19" s="352"/>
      <c r="AFV19" s="352"/>
      <c r="AFW19" s="352"/>
      <c r="AFX19" s="352"/>
      <c r="AFY19" s="352"/>
      <c r="AFZ19" s="352"/>
      <c r="AGA19" s="352"/>
      <c r="AGB19" s="352"/>
      <c r="AGC19" s="352"/>
      <c r="AGD19" s="352"/>
      <c r="AGE19" s="352"/>
      <c r="AGF19" s="352"/>
      <c r="AGG19" s="352"/>
      <c r="AGH19" s="352"/>
      <c r="AGI19" s="352"/>
      <c r="AGJ19" s="352"/>
      <c r="AGK19" s="352"/>
      <c r="AGL19" s="352"/>
      <c r="AGM19" s="352"/>
      <c r="AGN19" s="352"/>
      <c r="AGO19" s="352"/>
      <c r="AGP19" s="352"/>
      <c r="AGQ19" s="352"/>
      <c r="AGR19" s="352"/>
      <c r="AGS19" s="352"/>
      <c r="AGT19" s="352"/>
      <c r="AGU19" s="352"/>
      <c r="AGV19" s="352"/>
      <c r="AGW19" s="352"/>
      <c r="AGX19" s="352"/>
      <c r="AGY19" s="352"/>
      <c r="AGZ19" s="352"/>
      <c r="AHA19" s="352"/>
      <c r="AHB19" s="352"/>
      <c r="AHC19" s="352"/>
      <c r="AHD19" s="352"/>
      <c r="AHE19" s="352"/>
      <c r="AHF19" s="352"/>
      <c r="AHG19" s="352"/>
      <c r="AHH19" s="352"/>
      <c r="AHI19" s="352"/>
      <c r="AHJ19" s="352"/>
      <c r="AHK19" s="352"/>
      <c r="AHL19" s="352"/>
      <c r="AHM19" s="352"/>
      <c r="AHN19" s="352"/>
      <c r="AHO19" s="352"/>
      <c r="AHP19" s="352"/>
      <c r="AHQ19" s="352"/>
      <c r="AHR19" s="352"/>
      <c r="AHS19" s="352"/>
      <c r="AHT19" s="352"/>
      <c r="AHU19" s="352"/>
      <c r="AHV19" s="352"/>
      <c r="AHW19" s="352"/>
      <c r="AHX19" s="352"/>
      <c r="AHY19" s="352"/>
      <c r="AHZ19" s="352"/>
      <c r="AIA19" s="352"/>
      <c r="AIB19" s="352"/>
      <c r="AIC19" s="352"/>
      <c r="AID19" s="352"/>
      <c r="AIE19" s="352"/>
      <c r="AIF19" s="352"/>
      <c r="AIG19" s="352"/>
      <c r="AIH19" s="352"/>
      <c r="AII19" s="352"/>
      <c r="AIJ19" s="352"/>
      <c r="AIK19" s="352"/>
      <c r="AIL19" s="352"/>
      <c r="AIM19" s="352"/>
      <c r="AIN19" s="352"/>
      <c r="AIO19" s="352"/>
      <c r="AIP19" s="352"/>
      <c r="AIQ19" s="352"/>
      <c r="AIR19" s="352"/>
      <c r="AIS19" s="352"/>
      <c r="AIT19" s="352"/>
      <c r="AIU19" s="352"/>
      <c r="AIV19" s="352"/>
      <c r="AIW19" s="352"/>
      <c r="AIX19" s="352"/>
      <c r="AIY19" s="352"/>
      <c r="AIZ19" s="352"/>
      <c r="AJA19" s="352"/>
      <c r="AJB19" s="352"/>
      <c r="AJC19" s="352"/>
      <c r="AJD19" s="352"/>
      <c r="AJE19" s="352"/>
      <c r="AJF19" s="352"/>
      <c r="AJG19" s="352"/>
      <c r="AJH19" s="352"/>
      <c r="AJI19" s="352"/>
      <c r="AJJ19" s="352"/>
      <c r="AJK19" s="352"/>
      <c r="AJL19" s="352"/>
      <c r="AJM19" s="352"/>
      <c r="AJN19" s="352"/>
      <c r="AJO19" s="352"/>
      <c r="AJP19" s="352"/>
      <c r="AJQ19" s="352"/>
      <c r="AJR19" s="352"/>
      <c r="AJS19" s="352"/>
      <c r="AJT19" s="352"/>
      <c r="AJU19" s="352"/>
      <c r="AJV19" s="352"/>
      <c r="AJW19" s="352"/>
      <c r="AJX19" s="352"/>
      <c r="AJY19" s="352"/>
      <c r="AJZ19" s="352"/>
      <c r="AKA19" s="352"/>
      <c r="AKB19" s="352"/>
      <c r="AKC19" s="352"/>
      <c r="AKD19" s="352"/>
      <c r="AKE19" s="352"/>
      <c r="AKF19" s="352"/>
      <c r="AKG19" s="352"/>
      <c r="AKH19" s="352"/>
      <c r="AKI19" s="352"/>
      <c r="AKJ19" s="352"/>
      <c r="AKK19" s="352"/>
      <c r="AKL19" s="352"/>
      <c r="AKM19" s="352"/>
      <c r="AKN19" s="352"/>
      <c r="AKO19" s="352"/>
      <c r="AKP19" s="352"/>
      <c r="AKQ19" s="352"/>
      <c r="AKR19" s="352"/>
      <c r="AKS19" s="352"/>
      <c r="AKT19" s="352"/>
      <c r="AKU19" s="352"/>
      <c r="AKV19" s="352"/>
      <c r="AKW19" s="352"/>
      <c r="AKX19" s="352"/>
      <c r="AKY19" s="352"/>
      <c r="AKZ19" s="352"/>
      <c r="ALA19" s="352"/>
      <c r="ALB19" s="352"/>
      <c r="ALC19" s="352"/>
      <c r="ALD19" s="352"/>
      <c r="ALE19" s="352"/>
      <c r="ALF19" s="352"/>
      <c r="ALG19" s="352"/>
      <c r="ALH19" s="352"/>
      <c r="ALI19" s="352"/>
      <c r="ALJ19" s="352"/>
      <c r="ALK19" s="352"/>
      <c r="ALL19" s="352"/>
      <c r="ALM19" s="352"/>
      <c r="ALN19" s="352"/>
      <c r="ALO19" s="352"/>
      <c r="ALP19" s="352"/>
      <c r="ALQ19" s="352"/>
      <c r="ALR19" s="352"/>
      <c r="ALS19" s="352"/>
      <c r="ALT19" s="352"/>
      <c r="ALU19" s="352"/>
      <c r="ALV19" s="352"/>
      <c r="ALW19" s="352"/>
      <c r="ALX19" s="352"/>
      <c r="ALY19" s="352"/>
      <c r="ALZ19" s="352"/>
      <c r="AMA19" s="352"/>
      <c r="AMB19" s="352"/>
      <c r="AMC19" s="352"/>
      <c r="AMD19" s="352"/>
      <c r="AME19" s="352"/>
      <c r="AMF19" s="352"/>
      <c r="AMG19" s="352"/>
      <c r="AMH19" s="352"/>
      <c r="AMI19" s="352"/>
      <c r="AMJ19" s="352"/>
      <c r="AMK19" s="352"/>
      <c r="AML19" s="352"/>
      <c r="AMM19" s="352"/>
      <c r="AMN19" s="352"/>
      <c r="AMO19" s="352"/>
      <c r="AMP19" s="352"/>
      <c r="AMQ19" s="352"/>
      <c r="AMR19" s="352"/>
      <c r="AMS19" s="352"/>
      <c r="AMT19" s="352"/>
      <c r="AMU19" s="352"/>
      <c r="AMV19" s="352"/>
      <c r="AMW19" s="352"/>
      <c r="AMX19" s="352"/>
      <c r="AMY19" s="352"/>
      <c r="AMZ19" s="352"/>
      <c r="ANA19" s="352"/>
      <c r="ANB19" s="352"/>
      <c r="ANC19" s="352"/>
      <c r="AND19" s="352"/>
      <c r="ANE19" s="352"/>
      <c r="ANF19" s="352"/>
      <c r="ANG19" s="352"/>
      <c r="ANH19" s="352"/>
      <c r="ANI19" s="352"/>
      <c r="ANJ19" s="352"/>
      <c r="ANK19" s="352"/>
      <c r="ANL19" s="352"/>
      <c r="ANM19" s="352"/>
      <c r="ANN19" s="352"/>
      <c r="ANO19" s="352"/>
      <c r="ANP19" s="352"/>
      <c r="ANQ19" s="352"/>
      <c r="ANR19" s="352"/>
      <c r="ANS19" s="352"/>
      <c r="ANT19" s="352"/>
      <c r="ANU19" s="352"/>
      <c r="ANV19" s="352"/>
      <c r="ANW19" s="352"/>
      <c r="ANX19" s="352"/>
      <c r="ANY19" s="352"/>
      <c r="ANZ19" s="352"/>
      <c r="AOA19" s="352"/>
      <c r="AOB19" s="352"/>
      <c r="AOC19" s="352"/>
      <c r="AOD19" s="352"/>
      <c r="AOE19" s="352"/>
      <c r="AOF19" s="352"/>
      <c r="AOG19" s="352"/>
      <c r="AOH19" s="352"/>
      <c r="AOI19" s="352"/>
      <c r="AOJ19" s="352"/>
      <c r="AOK19" s="352"/>
      <c r="AOL19" s="352"/>
      <c r="AOM19" s="352"/>
      <c r="AON19" s="352"/>
      <c r="AOO19" s="352"/>
      <c r="AOP19" s="352"/>
      <c r="AOQ19" s="352"/>
      <c r="AOR19" s="352"/>
      <c r="AOS19" s="352"/>
      <c r="AOT19" s="352"/>
      <c r="AOU19" s="352"/>
      <c r="AOV19" s="352"/>
      <c r="AOW19" s="352"/>
      <c r="AOX19" s="352"/>
      <c r="AOY19" s="352"/>
      <c r="AOZ19" s="352"/>
      <c r="APA19" s="352"/>
      <c r="APB19" s="352"/>
      <c r="APC19" s="352"/>
      <c r="APD19" s="352"/>
      <c r="APE19" s="352"/>
      <c r="APF19" s="352"/>
      <c r="APG19" s="352"/>
      <c r="APH19" s="352"/>
      <c r="API19" s="352"/>
      <c r="APJ19" s="352"/>
      <c r="APK19" s="352"/>
      <c r="APL19" s="352"/>
      <c r="APM19" s="352"/>
      <c r="APN19" s="352"/>
      <c r="APO19" s="352"/>
      <c r="APP19" s="352"/>
      <c r="APQ19" s="352"/>
      <c r="APR19" s="352"/>
      <c r="APS19" s="352"/>
      <c r="APT19" s="352"/>
      <c r="APU19" s="352"/>
      <c r="APV19" s="352"/>
      <c r="APW19" s="352"/>
      <c r="APX19" s="352"/>
      <c r="APY19" s="352"/>
      <c r="APZ19" s="352"/>
      <c r="AQA19" s="352"/>
      <c r="AQB19" s="352"/>
      <c r="AQC19" s="352"/>
      <c r="AQD19" s="352"/>
      <c r="AQE19" s="352"/>
      <c r="AQF19" s="352"/>
      <c r="AQG19" s="352"/>
      <c r="AQH19" s="352"/>
      <c r="AQI19" s="352"/>
      <c r="AQJ19" s="352"/>
      <c r="AQK19" s="352"/>
      <c r="AQL19" s="352"/>
      <c r="AQM19" s="352"/>
      <c r="AQN19" s="352"/>
      <c r="AQO19" s="352"/>
      <c r="AQP19" s="352"/>
      <c r="AQQ19" s="352"/>
      <c r="AQR19" s="352"/>
      <c r="AQS19" s="352"/>
      <c r="AQT19" s="352"/>
      <c r="AQU19" s="352"/>
      <c r="AQV19" s="352"/>
      <c r="AQW19" s="352"/>
      <c r="AQX19" s="352"/>
      <c r="AQY19" s="352"/>
      <c r="AQZ19" s="352"/>
      <c r="ARA19" s="352"/>
      <c r="ARB19" s="352"/>
      <c r="ARC19" s="352"/>
      <c r="ARD19" s="352"/>
      <c r="ARE19" s="352"/>
      <c r="ARF19" s="352"/>
      <c r="ARG19" s="352"/>
      <c r="ARH19" s="352"/>
      <c r="ARI19" s="352"/>
      <c r="ARJ19" s="352"/>
      <c r="ARK19" s="352"/>
      <c r="ARL19" s="352"/>
      <c r="ARM19" s="352"/>
      <c r="ARN19" s="352"/>
      <c r="ARO19" s="352"/>
      <c r="ARP19" s="352"/>
      <c r="ARQ19" s="352"/>
      <c r="ARR19" s="352"/>
      <c r="ARS19" s="352"/>
      <c r="ART19" s="352"/>
      <c r="ARU19" s="352"/>
      <c r="ARV19" s="352"/>
      <c r="ARW19" s="352"/>
      <c r="ARX19" s="352"/>
      <c r="ARY19" s="352"/>
      <c r="ARZ19" s="352"/>
      <c r="ASA19" s="352"/>
      <c r="ASB19" s="352"/>
      <c r="ASC19" s="352"/>
      <c r="ASD19" s="352"/>
      <c r="ASE19" s="352"/>
      <c r="ASF19" s="352"/>
      <c r="ASG19" s="352"/>
      <c r="ASH19" s="352"/>
      <c r="ASI19" s="352"/>
      <c r="ASJ19" s="352"/>
      <c r="ASK19" s="352"/>
      <c r="ASL19" s="352"/>
      <c r="ASM19" s="352"/>
      <c r="ASN19" s="352"/>
      <c r="ASO19" s="352"/>
      <c r="ASP19" s="352"/>
      <c r="ASQ19" s="352"/>
      <c r="ASR19" s="352"/>
      <c r="ASS19" s="352"/>
      <c r="AST19" s="352"/>
      <c r="ASU19" s="352"/>
      <c r="ASV19" s="352"/>
      <c r="ASW19" s="352"/>
      <c r="ASX19" s="352"/>
      <c r="ASY19" s="352"/>
      <c r="ASZ19" s="352"/>
      <c r="ATA19" s="352"/>
      <c r="ATB19" s="352"/>
      <c r="ATC19" s="352"/>
      <c r="ATD19" s="352"/>
      <c r="ATE19" s="352"/>
      <c r="ATF19" s="352"/>
      <c r="ATG19" s="352"/>
      <c r="ATH19" s="352"/>
      <c r="ATI19" s="352"/>
      <c r="ATJ19" s="352"/>
      <c r="ATK19" s="352"/>
      <c r="ATL19" s="352"/>
      <c r="ATM19" s="352"/>
      <c r="ATN19" s="352"/>
      <c r="ATO19" s="352"/>
      <c r="ATP19" s="352"/>
      <c r="ATQ19" s="352"/>
      <c r="ATR19" s="352"/>
      <c r="ATS19" s="352"/>
      <c r="ATT19" s="352"/>
      <c r="ATU19" s="352"/>
      <c r="ATV19" s="352"/>
      <c r="ATW19" s="352"/>
      <c r="ATX19" s="352"/>
      <c r="ATY19" s="352"/>
      <c r="ATZ19" s="352"/>
      <c r="AUA19" s="352"/>
      <c r="AUB19" s="352"/>
      <c r="AUC19" s="352"/>
      <c r="AUD19" s="352"/>
      <c r="AUE19" s="352"/>
      <c r="AUF19" s="352"/>
      <c r="AUG19" s="352"/>
      <c r="AUH19" s="352"/>
      <c r="AUI19" s="352"/>
      <c r="AUJ19" s="352"/>
      <c r="AUK19" s="352"/>
      <c r="AUL19" s="352"/>
      <c r="AUM19" s="352"/>
      <c r="AUN19" s="352"/>
      <c r="AUO19" s="352"/>
      <c r="AUP19" s="352"/>
      <c r="AUQ19" s="352"/>
      <c r="AUR19" s="352"/>
      <c r="AUS19" s="352"/>
      <c r="AUT19" s="352"/>
      <c r="AUU19" s="352"/>
      <c r="AUV19" s="352"/>
      <c r="AUW19" s="352"/>
      <c r="AUX19" s="352"/>
      <c r="AUY19" s="352"/>
      <c r="AUZ19" s="352"/>
      <c r="AVA19" s="352"/>
      <c r="AVB19" s="352"/>
      <c r="AVC19" s="352"/>
      <c r="AVD19" s="352"/>
      <c r="AVE19" s="352"/>
      <c r="AVF19" s="352"/>
      <c r="AVG19" s="352"/>
      <c r="AVH19" s="352"/>
      <c r="AVI19" s="352"/>
      <c r="AVJ19" s="352"/>
      <c r="AVK19" s="352"/>
      <c r="AVL19" s="352"/>
      <c r="AVM19" s="352"/>
      <c r="AVN19" s="352"/>
      <c r="AVO19" s="352"/>
      <c r="AVP19" s="352"/>
      <c r="AVQ19" s="352"/>
      <c r="AVR19" s="352"/>
      <c r="AVS19" s="352"/>
      <c r="AVT19" s="352"/>
      <c r="AVU19" s="352"/>
      <c r="AVV19" s="352"/>
      <c r="AVW19" s="352"/>
      <c r="AVX19" s="352"/>
      <c r="AVY19" s="352"/>
      <c r="AVZ19" s="352"/>
      <c r="AWA19" s="352"/>
      <c r="AWB19" s="352"/>
      <c r="AWC19" s="352"/>
      <c r="AWD19" s="352"/>
      <c r="AWE19" s="352"/>
      <c r="AWF19" s="352"/>
      <c r="AWG19" s="352"/>
      <c r="AWH19" s="352"/>
      <c r="AWI19" s="352"/>
      <c r="AWJ19" s="352"/>
      <c r="AWK19" s="352"/>
      <c r="AWL19" s="352"/>
      <c r="AWM19" s="352"/>
      <c r="AWN19" s="352"/>
      <c r="AWO19" s="352"/>
      <c r="AWP19" s="352"/>
      <c r="AWQ19" s="352"/>
      <c r="AWR19" s="352"/>
      <c r="AWS19" s="352"/>
      <c r="AWT19" s="352"/>
      <c r="AWU19" s="352"/>
      <c r="AWV19" s="352"/>
      <c r="AWW19" s="352"/>
      <c r="AWX19" s="352"/>
      <c r="AWY19" s="352"/>
      <c r="AWZ19" s="352"/>
      <c r="AXA19" s="352"/>
      <c r="AXB19" s="352"/>
      <c r="AXC19" s="352"/>
      <c r="AXD19" s="352"/>
      <c r="AXE19" s="352"/>
      <c r="AXF19" s="352"/>
      <c r="AXG19" s="352"/>
      <c r="AXH19" s="352"/>
      <c r="AXI19" s="352"/>
      <c r="AXJ19" s="352"/>
      <c r="AXK19" s="352"/>
      <c r="AXL19" s="352"/>
      <c r="AXM19" s="352"/>
      <c r="AXN19" s="352"/>
      <c r="AXO19" s="352"/>
      <c r="AXP19" s="352"/>
      <c r="AXQ19" s="352"/>
      <c r="AXR19" s="352"/>
      <c r="AXS19" s="352"/>
      <c r="AXT19" s="352"/>
      <c r="AXU19" s="352"/>
      <c r="AXV19" s="352"/>
      <c r="AXW19" s="352"/>
      <c r="AXX19" s="352"/>
      <c r="AXY19" s="352"/>
      <c r="AXZ19" s="352"/>
      <c r="AYA19" s="352"/>
      <c r="AYB19" s="352"/>
      <c r="AYC19" s="352"/>
      <c r="AYD19" s="352"/>
      <c r="AYE19" s="352"/>
      <c r="AYF19" s="352"/>
      <c r="AYG19" s="352"/>
      <c r="AYH19" s="352"/>
      <c r="AYI19" s="352"/>
      <c r="AYJ19" s="352"/>
      <c r="AYK19" s="352"/>
      <c r="AYL19" s="352"/>
      <c r="AYM19" s="352"/>
      <c r="AYN19" s="352"/>
      <c r="AYO19" s="352"/>
      <c r="AYP19" s="352"/>
      <c r="AYQ19" s="352"/>
      <c r="AYR19" s="352"/>
      <c r="AYS19" s="352"/>
      <c r="AYT19" s="352"/>
      <c r="AYU19" s="352"/>
      <c r="AYV19" s="352"/>
      <c r="AYW19" s="352"/>
      <c r="AYX19" s="352"/>
      <c r="AYY19" s="352"/>
      <c r="AYZ19" s="352"/>
      <c r="AZA19" s="352"/>
      <c r="AZB19" s="352"/>
      <c r="AZC19" s="352"/>
      <c r="AZD19" s="352"/>
      <c r="AZE19" s="352"/>
      <c r="AZF19" s="352"/>
      <c r="AZG19" s="352"/>
      <c r="AZH19" s="352"/>
      <c r="AZI19" s="352"/>
      <c r="AZJ19" s="352"/>
      <c r="AZK19" s="352"/>
      <c r="AZL19" s="352"/>
      <c r="AZM19" s="352"/>
      <c r="AZN19" s="352"/>
      <c r="AZO19" s="352"/>
      <c r="AZP19" s="352"/>
      <c r="AZQ19" s="352"/>
      <c r="AZR19" s="352"/>
      <c r="AZS19" s="352"/>
      <c r="AZT19" s="352"/>
      <c r="AZU19" s="352"/>
      <c r="AZV19" s="352"/>
      <c r="AZW19" s="352"/>
      <c r="AZX19" s="352"/>
      <c r="AZY19" s="352"/>
      <c r="AZZ19" s="352"/>
      <c r="BAA19" s="352"/>
      <c r="BAB19" s="352"/>
      <c r="BAC19" s="352"/>
      <c r="BAD19" s="352"/>
      <c r="BAE19" s="352"/>
      <c r="BAF19" s="352"/>
      <c r="BAG19" s="352"/>
      <c r="BAH19" s="352"/>
      <c r="BAI19" s="352"/>
      <c r="BAJ19" s="352"/>
      <c r="BAK19" s="352"/>
      <c r="BAL19" s="352"/>
      <c r="BAM19" s="352"/>
      <c r="BAN19" s="352"/>
      <c r="BAO19" s="352"/>
      <c r="BAP19" s="352"/>
      <c r="BAQ19" s="352"/>
      <c r="BAR19" s="352"/>
      <c r="BAS19" s="352"/>
      <c r="BAT19" s="352"/>
      <c r="BAU19" s="352"/>
      <c r="BAV19" s="352"/>
      <c r="BAW19" s="352"/>
      <c r="BAX19" s="352"/>
      <c r="BAY19" s="352"/>
      <c r="BAZ19" s="352"/>
      <c r="BBA19" s="352"/>
      <c r="BBB19" s="352"/>
      <c r="BBC19" s="352"/>
      <c r="BBD19" s="352"/>
      <c r="BBE19" s="352"/>
      <c r="BBF19" s="352"/>
      <c r="BBG19" s="352"/>
      <c r="BBH19" s="352"/>
      <c r="BBI19" s="352"/>
      <c r="BBJ19" s="352"/>
      <c r="BBK19" s="352"/>
      <c r="BBL19" s="352"/>
      <c r="BBM19" s="352"/>
      <c r="BBN19" s="352"/>
      <c r="BBO19" s="352"/>
      <c r="BBP19" s="352"/>
      <c r="BBQ19" s="352"/>
      <c r="BBR19" s="352"/>
      <c r="BBS19" s="352"/>
      <c r="BBT19" s="352"/>
      <c r="BBU19" s="352"/>
      <c r="BBV19" s="352"/>
      <c r="BBW19" s="352"/>
      <c r="BBX19" s="352"/>
      <c r="BBY19" s="352"/>
      <c r="BBZ19" s="352"/>
      <c r="BCA19" s="352"/>
      <c r="BCB19" s="352"/>
      <c r="BCC19" s="352"/>
      <c r="BCD19" s="352"/>
      <c r="BCE19" s="352"/>
      <c r="BCF19" s="352"/>
      <c r="BCG19" s="352"/>
      <c r="BCH19" s="352"/>
      <c r="BCI19" s="352"/>
      <c r="BCJ19" s="352"/>
      <c r="BCK19" s="352"/>
      <c r="BCL19" s="352"/>
      <c r="BCM19" s="352"/>
      <c r="BCN19" s="352"/>
      <c r="BCO19" s="352"/>
      <c r="BCP19" s="352"/>
      <c r="BCQ19" s="352"/>
      <c r="BCR19" s="352"/>
      <c r="BCS19" s="352"/>
      <c r="BCT19" s="352"/>
      <c r="BCU19" s="352"/>
      <c r="BCV19" s="352"/>
      <c r="BCW19" s="352"/>
      <c r="BCX19" s="352"/>
      <c r="BCY19" s="352"/>
      <c r="BCZ19" s="352"/>
      <c r="BDA19" s="352"/>
      <c r="BDB19" s="352"/>
      <c r="BDC19" s="352"/>
      <c r="BDD19" s="352"/>
      <c r="BDE19" s="352"/>
      <c r="BDF19" s="352"/>
      <c r="BDG19" s="352"/>
      <c r="BDH19" s="352"/>
      <c r="BDI19" s="352"/>
      <c r="BDJ19" s="352"/>
      <c r="BDK19" s="352"/>
      <c r="BDL19" s="352"/>
      <c r="BDM19" s="352"/>
      <c r="BDN19" s="352"/>
      <c r="BDO19" s="352"/>
      <c r="BDP19" s="352"/>
      <c r="BDQ19" s="352"/>
      <c r="BDR19" s="352"/>
      <c r="BDS19" s="352"/>
      <c r="BDT19" s="352"/>
      <c r="BDU19" s="352"/>
      <c r="BDV19" s="352"/>
      <c r="BDW19" s="352"/>
      <c r="BDX19" s="352"/>
      <c r="BDY19" s="352"/>
      <c r="BDZ19" s="352"/>
      <c r="BEA19" s="352"/>
      <c r="BEB19" s="352"/>
      <c r="BEC19" s="352"/>
      <c r="BED19" s="352"/>
      <c r="BEE19" s="352"/>
      <c r="BEF19" s="352"/>
      <c r="BEG19" s="352"/>
      <c r="BEH19" s="352"/>
      <c r="BEI19" s="352"/>
      <c r="BEJ19" s="352"/>
      <c r="BEK19" s="352"/>
      <c r="BEL19" s="352"/>
      <c r="BEM19" s="352"/>
      <c r="BEN19" s="352"/>
      <c r="BEO19" s="352"/>
      <c r="BEP19" s="352"/>
      <c r="BEQ19" s="352"/>
      <c r="BER19" s="352"/>
      <c r="BES19" s="352"/>
      <c r="BET19" s="352"/>
      <c r="BEU19" s="352"/>
      <c r="BEV19" s="352"/>
      <c r="BEW19" s="352"/>
      <c r="BEX19" s="352"/>
      <c r="BEY19" s="352"/>
      <c r="BEZ19" s="352"/>
      <c r="BFA19" s="352"/>
      <c r="BFB19" s="352"/>
      <c r="BFC19" s="352"/>
      <c r="BFD19" s="352"/>
      <c r="BFE19" s="352"/>
      <c r="BFF19" s="352"/>
      <c r="BFG19" s="352"/>
      <c r="BFH19" s="352"/>
      <c r="BFI19" s="352"/>
      <c r="BFJ19" s="352"/>
      <c r="BFK19" s="352"/>
      <c r="BFL19" s="352"/>
      <c r="BFM19" s="352"/>
      <c r="BFN19" s="352"/>
      <c r="BFO19" s="352"/>
      <c r="BFP19" s="352"/>
      <c r="BFQ19" s="352"/>
      <c r="BFR19" s="352"/>
      <c r="BFS19" s="352"/>
      <c r="BFT19" s="352"/>
      <c r="BFU19" s="352"/>
      <c r="BFV19" s="352"/>
      <c r="BFW19" s="352"/>
      <c r="BFX19" s="352"/>
      <c r="BFY19" s="352"/>
      <c r="BFZ19" s="352"/>
      <c r="BGA19" s="352"/>
      <c r="BGB19" s="352"/>
      <c r="BGC19" s="352"/>
      <c r="BGD19" s="352"/>
      <c r="BGE19" s="352"/>
      <c r="BGF19" s="352"/>
      <c r="BGG19" s="352"/>
      <c r="BGH19" s="352"/>
      <c r="BGI19" s="352"/>
      <c r="BGJ19" s="352"/>
      <c r="BGK19" s="352"/>
      <c r="BGL19" s="352"/>
      <c r="BGM19" s="352"/>
      <c r="BGN19" s="352"/>
      <c r="BGO19" s="352"/>
      <c r="BGP19" s="352"/>
      <c r="BGQ19" s="352"/>
      <c r="BGR19" s="352"/>
      <c r="BGS19" s="352"/>
      <c r="BGT19" s="352"/>
      <c r="BGU19" s="352"/>
      <c r="BGV19" s="352"/>
      <c r="BGW19" s="352"/>
      <c r="BGX19" s="352"/>
      <c r="BGY19" s="352"/>
      <c r="BGZ19" s="352"/>
      <c r="BHA19" s="352"/>
      <c r="BHB19" s="352"/>
      <c r="BHC19" s="352"/>
      <c r="BHD19" s="352"/>
      <c r="BHE19" s="352"/>
      <c r="BHF19" s="352"/>
      <c r="BHG19" s="352"/>
      <c r="BHH19" s="352"/>
      <c r="BHI19" s="352"/>
      <c r="BHJ19" s="352"/>
      <c r="BHK19" s="352"/>
      <c r="BHL19" s="352"/>
      <c r="BHM19" s="352"/>
      <c r="BHN19" s="352"/>
      <c r="BHO19" s="352"/>
      <c r="BHP19" s="352"/>
      <c r="BHQ19" s="352"/>
      <c r="BHR19" s="352"/>
      <c r="BHS19" s="352"/>
      <c r="BHT19" s="352"/>
      <c r="BHU19" s="352"/>
      <c r="BHV19" s="352"/>
      <c r="BHW19" s="352"/>
      <c r="BHX19" s="352"/>
      <c r="BHY19" s="352"/>
      <c r="BHZ19" s="352"/>
      <c r="BIA19" s="352"/>
      <c r="BIB19" s="352"/>
      <c r="BIC19" s="352"/>
      <c r="BID19" s="352"/>
      <c r="BIE19" s="352"/>
      <c r="BIF19" s="352"/>
      <c r="BIG19" s="352"/>
      <c r="BIH19" s="352"/>
      <c r="BII19" s="352"/>
      <c r="BIJ19" s="352"/>
      <c r="BIK19" s="352"/>
      <c r="BIL19" s="352"/>
      <c r="BIM19" s="352"/>
      <c r="BIN19" s="352"/>
      <c r="BIO19" s="352"/>
      <c r="BIP19" s="352"/>
      <c r="BIQ19" s="352"/>
      <c r="BIR19" s="352"/>
      <c r="BIS19" s="352"/>
      <c r="BIT19" s="352"/>
      <c r="BIU19" s="352"/>
      <c r="BIV19" s="352"/>
      <c r="BIW19" s="352"/>
      <c r="BIX19" s="352"/>
      <c r="BIY19" s="352"/>
      <c r="BIZ19" s="352"/>
      <c r="BJA19" s="352"/>
      <c r="BJB19" s="352"/>
      <c r="BJC19" s="352"/>
      <c r="BJD19" s="352"/>
      <c r="BJE19" s="352"/>
      <c r="BJF19" s="352"/>
      <c r="BJG19" s="352"/>
      <c r="BJH19" s="352"/>
      <c r="BJI19" s="352"/>
      <c r="BJJ19" s="352"/>
      <c r="BJK19" s="352"/>
      <c r="BJL19" s="352"/>
      <c r="BJM19" s="352"/>
      <c r="BJN19" s="352"/>
      <c r="BJO19" s="352"/>
      <c r="BJP19" s="352"/>
      <c r="BJQ19" s="352"/>
      <c r="BJR19" s="352"/>
      <c r="BJS19" s="352"/>
      <c r="BJT19" s="352"/>
      <c r="BJU19" s="352"/>
      <c r="BJV19" s="352"/>
      <c r="BJW19" s="352"/>
      <c r="BJX19" s="352"/>
      <c r="BJY19" s="352"/>
      <c r="BJZ19" s="352"/>
      <c r="BKA19" s="352"/>
      <c r="BKB19" s="352"/>
      <c r="BKC19" s="352"/>
      <c r="BKD19" s="352"/>
      <c r="BKE19" s="352"/>
      <c r="BKF19" s="352"/>
      <c r="BKG19" s="352"/>
      <c r="BKH19" s="352"/>
      <c r="BKI19" s="352"/>
      <c r="BKJ19" s="352"/>
      <c r="BKK19" s="352"/>
      <c r="BKL19" s="352"/>
      <c r="BKM19" s="352"/>
      <c r="BKN19" s="352"/>
      <c r="BKO19" s="352"/>
      <c r="BKP19" s="352"/>
      <c r="BKQ19" s="352"/>
      <c r="BKR19" s="352"/>
      <c r="BKS19" s="352"/>
      <c r="BKT19" s="352"/>
      <c r="BKU19" s="352"/>
      <c r="BKV19" s="352"/>
      <c r="BKW19" s="352"/>
      <c r="BKX19" s="352"/>
      <c r="BKY19" s="352"/>
      <c r="BKZ19" s="352"/>
      <c r="BLA19" s="352"/>
      <c r="BLB19" s="352"/>
      <c r="BLC19" s="352"/>
      <c r="BLD19" s="352"/>
      <c r="BLE19" s="352"/>
      <c r="BLF19" s="352"/>
      <c r="BLG19" s="352"/>
      <c r="BLH19" s="352"/>
      <c r="BLI19" s="352"/>
      <c r="BLJ19" s="352"/>
      <c r="BLK19" s="352"/>
      <c r="BLL19" s="352"/>
      <c r="BLM19" s="352"/>
      <c r="BLN19" s="352"/>
      <c r="BLO19" s="352"/>
      <c r="BLP19" s="352"/>
      <c r="BLQ19" s="352"/>
      <c r="BLR19" s="352"/>
      <c r="BLS19" s="352"/>
      <c r="BLT19" s="352"/>
      <c r="BLU19" s="352"/>
      <c r="BLV19" s="352"/>
      <c r="BLW19" s="352"/>
      <c r="BLX19" s="352"/>
      <c r="BLY19" s="352"/>
      <c r="BLZ19" s="352"/>
      <c r="BMA19" s="352"/>
      <c r="BMB19" s="352"/>
      <c r="BMC19" s="352"/>
      <c r="BMD19" s="352"/>
      <c r="BME19" s="352"/>
      <c r="BMF19" s="352"/>
      <c r="BMG19" s="352"/>
      <c r="BMH19" s="352"/>
      <c r="BMI19" s="352"/>
      <c r="BMJ19" s="352"/>
      <c r="BMK19" s="352"/>
      <c r="BML19" s="352"/>
      <c r="BMM19" s="352"/>
      <c r="BMN19" s="352"/>
      <c r="BMO19" s="352"/>
      <c r="BMP19" s="352"/>
      <c r="BMQ19" s="352"/>
      <c r="BMR19" s="352"/>
      <c r="BMS19" s="352"/>
      <c r="BMT19" s="352"/>
      <c r="BMU19" s="352"/>
      <c r="BMV19" s="352"/>
      <c r="BMW19" s="352"/>
      <c r="BMX19" s="352"/>
      <c r="BMY19" s="352"/>
      <c r="BMZ19" s="352"/>
      <c r="BNA19" s="352"/>
      <c r="BNB19" s="352"/>
      <c r="BNC19" s="352"/>
      <c r="BND19" s="352"/>
      <c r="BNE19" s="352"/>
      <c r="BNF19" s="352"/>
      <c r="BNG19" s="352"/>
      <c r="BNH19" s="352"/>
      <c r="BNI19" s="352"/>
      <c r="BNJ19" s="352"/>
      <c r="BNK19" s="352"/>
      <c r="BNL19" s="352"/>
      <c r="BNM19" s="352"/>
      <c r="BNN19" s="352"/>
      <c r="BNO19" s="352"/>
      <c r="BNP19" s="352"/>
      <c r="BNQ19" s="352"/>
      <c r="BNR19" s="352"/>
      <c r="BNS19" s="352"/>
      <c r="BNT19" s="352"/>
      <c r="BNU19" s="352"/>
      <c r="BNV19" s="352"/>
      <c r="BNW19" s="352"/>
      <c r="BNX19" s="352"/>
      <c r="BNY19" s="352"/>
      <c r="BNZ19" s="352"/>
      <c r="BOA19" s="352"/>
      <c r="BOB19" s="352"/>
      <c r="BOC19" s="352"/>
      <c r="BOD19" s="352"/>
      <c r="BOE19" s="352"/>
      <c r="BOF19" s="352"/>
      <c r="BOG19" s="352"/>
      <c r="BOH19" s="352"/>
      <c r="BOI19" s="352"/>
      <c r="BOJ19" s="352"/>
      <c r="BOK19" s="352"/>
      <c r="BOL19" s="352"/>
      <c r="BOM19" s="352"/>
      <c r="BON19" s="352"/>
      <c r="BOO19" s="352"/>
      <c r="BOP19" s="352"/>
      <c r="BOQ19" s="352"/>
      <c r="BOR19" s="352"/>
      <c r="BOS19" s="352"/>
      <c r="BOT19" s="352"/>
      <c r="BOU19" s="352"/>
      <c r="BOV19" s="352"/>
      <c r="BOW19" s="352"/>
      <c r="BOX19" s="352"/>
      <c r="BOY19" s="352"/>
      <c r="BOZ19" s="352"/>
      <c r="BPA19" s="352"/>
      <c r="BPB19" s="352"/>
      <c r="BPC19" s="352"/>
      <c r="BPD19" s="352"/>
      <c r="BPE19" s="352"/>
      <c r="BPF19" s="352"/>
      <c r="BPG19" s="352"/>
      <c r="BPH19" s="352"/>
      <c r="BPI19" s="352"/>
      <c r="BPJ19" s="352"/>
      <c r="BPK19" s="352"/>
      <c r="BPL19" s="352"/>
      <c r="BPM19" s="352"/>
      <c r="BPN19" s="352"/>
      <c r="BPO19" s="352"/>
      <c r="BPP19" s="352"/>
      <c r="BPQ19" s="352"/>
      <c r="BPR19" s="352"/>
      <c r="BPS19" s="352"/>
      <c r="BPT19" s="352"/>
      <c r="BPU19" s="352"/>
      <c r="BPV19" s="352"/>
      <c r="BPW19" s="352"/>
      <c r="BPX19" s="352"/>
      <c r="BPY19" s="352"/>
      <c r="BPZ19" s="352"/>
      <c r="BQA19" s="352"/>
      <c r="BQB19" s="352"/>
      <c r="BQC19" s="352"/>
      <c r="BQD19" s="352"/>
      <c r="BQE19" s="352"/>
      <c r="BQF19" s="352"/>
      <c r="BQG19" s="352"/>
      <c r="BQH19" s="352"/>
      <c r="BQI19" s="352"/>
      <c r="BQJ19" s="352"/>
      <c r="BQK19" s="352"/>
      <c r="BQL19" s="352"/>
      <c r="BQM19" s="352"/>
      <c r="BQN19" s="352"/>
      <c r="BQO19" s="352"/>
      <c r="BQP19" s="352"/>
      <c r="BQQ19" s="352"/>
      <c r="BQR19" s="352"/>
      <c r="BQS19" s="352"/>
      <c r="BQT19" s="352"/>
      <c r="BQU19" s="352"/>
      <c r="BQV19" s="352"/>
      <c r="BQW19" s="352"/>
      <c r="BQX19" s="352"/>
      <c r="BQY19" s="352"/>
      <c r="BQZ19" s="352"/>
      <c r="BRA19" s="352"/>
      <c r="BRB19" s="352"/>
      <c r="BRC19" s="352"/>
      <c r="BRD19" s="352"/>
      <c r="BRE19" s="352"/>
      <c r="BRF19" s="352"/>
      <c r="BRG19" s="352"/>
      <c r="BRH19" s="352"/>
      <c r="BRI19" s="352"/>
      <c r="BRJ19" s="352"/>
      <c r="BRK19" s="352"/>
      <c r="BRL19" s="352"/>
      <c r="BRM19" s="352"/>
      <c r="BRN19" s="352"/>
      <c r="BRO19" s="352"/>
      <c r="BRP19" s="352"/>
      <c r="BRQ19" s="352"/>
      <c r="BRR19" s="352"/>
      <c r="BRS19" s="352"/>
      <c r="BRT19" s="352"/>
      <c r="BRU19" s="352"/>
      <c r="BRV19" s="352"/>
      <c r="BRW19" s="352"/>
      <c r="BRX19" s="352"/>
      <c r="BRY19" s="352"/>
      <c r="BRZ19" s="352"/>
      <c r="BSA19" s="352"/>
      <c r="BSB19" s="352"/>
      <c r="BSC19" s="352"/>
      <c r="BSD19" s="352"/>
      <c r="BSE19" s="352"/>
      <c r="BSF19" s="352"/>
      <c r="BSG19" s="352"/>
      <c r="BSH19" s="352"/>
      <c r="BSI19" s="352"/>
      <c r="BSJ19" s="352"/>
      <c r="BSK19" s="352"/>
      <c r="BSL19" s="352"/>
      <c r="BSM19" s="352"/>
      <c r="BSN19" s="352"/>
      <c r="BSO19" s="352"/>
      <c r="BSP19" s="352"/>
      <c r="BSQ19" s="352"/>
      <c r="BSR19" s="352"/>
      <c r="BSS19" s="352"/>
      <c r="BST19" s="352"/>
      <c r="BSU19" s="352"/>
      <c r="BSV19" s="352"/>
      <c r="BSW19" s="352"/>
      <c r="BSX19" s="352"/>
      <c r="BSY19" s="352"/>
      <c r="BSZ19" s="352"/>
      <c r="BTA19" s="352"/>
      <c r="BTB19" s="352"/>
      <c r="BTC19" s="352"/>
      <c r="BTD19" s="352"/>
      <c r="BTE19" s="352"/>
      <c r="BTF19" s="352"/>
      <c r="BTG19" s="352"/>
      <c r="BTH19" s="352"/>
      <c r="BTI19" s="352"/>
      <c r="BTJ19" s="352"/>
      <c r="BTK19" s="352"/>
      <c r="BTL19" s="352"/>
      <c r="BTM19" s="352"/>
      <c r="BTN19" s="352"/>
      <c r="BTO19" s="352"/>
      <c r="BTP19" s="352"/>
      <c r="BTQ19" s="352"/>
      <c r="BTR19" s="352"/>
      <c r="BTS19" s="352"/>
      <c r="BTT19" s="352"/>
      <c r="BTU19" s="352"/>
      <c r="BTV19" s="352"/>
      <c r="BTW19" s="352"/>
      <c r="BTX19" s="352"/>
      <c r="BTY19" s="352"/>
      <c r="BTZ19" s="352"/>
      <c r="BUA19" s="352"/>
      <c r="BUB19" s="352"/>
      <c r="BUC19" s="352"/>
      <c r="BUD19" s="352"/>
      <c r="BUE19" s="352"/>
      <c r="BUF19" s="352"/>
      <c r="BUG19" s="352"/>
      <c r="BUH19" s="352"/>
      <c r="BUI19" s="352"/>
      <c r="BUJ19" s="352"/>
      <c r="BUK19" s="352"/>
      <c r="BUL19" s="352"/>
      <c r="BUM19" s="352"/>
      <c r="BUN19" s="352"/>
      <c r="BUO19" s="352"/>
      <c r="BUP19" s="352"/>
      <c r="BUQ19" s="352"/>
      <c r="BUR19" s="352"/>
      <c r="BUS19" s="352"/>
      <c r="BUT19" s="352"/>
      <c r="BUU19" s="352"/>
      <c r="BUV19" s="352"/>
      <c r="BUW19" s="352"/>
      <c r="BUX19" s="352"/>
      <c r="BUY19" s="352"/>
      <c r="BUZ19" s="352"/>
      <c r="BVA19" s="352"/>
      <c r="BVB19" s="352"/>
      <c r="BVC19" s="352"/>
      <c r="BVD19" s="352"/>
      <c r="BVE19" s="352"/>
      <c r="BVF19" s="352"/>
      <c r="BVG19" s="352"/>
      <c r="BVH19" s="352"/>
      <c r="BVI19" s="352"/>
      <c r="BVJ19" s="352"/>
      <c r="BVK19" s="352"/>
      <c r="BVL19" s="352"/>
      <c r="BVM19" s="352"/>
      <c r="BVN19" s="352"/>
      <c r="BVO19" s="352"/>
      <c r="BVP19" s="352"/>
      <c r="BVQ19" s="352"/>
      <c r="BVR19" s="352"/>
      <c r="BVS19" s="352"/>
      <c r="BVT19" s="352"/>
      <c r="BVU19" s="352"/>
      <c r="BVV19" s="352"/>
      <c r="BVW19" s="352"/>
      <c r="BVX19" s="352"/>
      <c r="BVY19" s="352"/>
      <c r="BVZ19" s="352"/>
      <c r="BWA19" s="352"/>
      <c r="BWB19" s="352"/>
      <c r="BWC19" s="352"/>
      <c r="BWD19" s="352"/>
      <c r="BWE19" s="352"/>
      <c r="BWF19" s="352"/>
      <c r="BWG19" s="352"/>
      <c r="BWH19" s="352"/>
      <c r="BWI19" s="352"/>
      <c r="BWJ19" s="352"/>
      <c r="BWK19" s="352"/>
      <c r="BWL19" s="352"/>
      <c r="BWM19" s="352"/>
      <c r="BWN19" s="352"/>
      <c r="BWO19" s="352"/>
      <c r="BWP19" s="352"/>
      <c r="BWQ19" s="352"/>
      <c r="BWR19" s="352"/>
      <c r="BWS19" s="352"/>
      <c r="BWT19" s="352"/>
      <c r="BWU19" s="352"/>
      <c r="BWV19" s="352"/>
      <c r="BWW19" s="352"/>
      <c r="BWX19" s="352"/>
      <c r="BWY19" s="352"/>
      <c r="BWZ19" s="352"/>
      <c r="BXA19" s="352"/>
      <c r="BXB19" s="352"/>
      <c r="BXC19" s="352"/>
      <c r="BXD19" s="352"/>
      <c r="BXE19" s="352"/>
      <c r="BXF19" s="352"/>
      <c r="BXG19" s="352"/>
      <c r="BXH19" s="352"/>
      <c r="BXI19" s="352"/>
      <c r="BXJ19" s="352"/>
      <c r="BXK19" s="352"/>
      <c r="BXL19" s="352"/>
      <c r="BXM19" s="352"/>
      <c r="BXN19" s="352"/>
      <c r="BXO19" s="352"/>
      <c r="BXP19" s="352"/>
      <c r="BXQ19" s="352"/>
      <c r="BXR19" s="352"/>
      <c r="BXS19" s="352"/>
      <c r="BXT19" s="352"/>
      <c r="BXU19" s="352"/>
      <c r="BXV19" s="352"/>
      <c r="BXW19" s="352"/>
      <c r="BXX19" s="352"/>
      <c r="BXY19" s="352"/>
      <c r="BXZ19" s="352"/>
      <c r="BYA19" s="352"/>
      <c r="BYB19" s="352"/>
      <c r="BYC19" s="352"/>
      <c r="BYD19" s="352"/>
      <c r="BYE19" s="352"/>
      <c r="BYF19" s="352"/>
      <c r="BYG19" s="352"/>
      <c r="BYH19" s="352"/>
      <c r="BYI19" s="352"/>
      <c r="BYJ19" s="352"/>
      <c r="BYK19" s="352"/>
      <c r="BYL19" s="352"/>
      <c r="BYM19" s="352"/>
      <c r="BYN19" s="352"/>
      <c r="BYO19" s="352"/>
      <c r="BYP19" s="352"/>
      <c r="BYQ19" s="352"/>
      <c r="BYR19" s="352"/>
      <c r="BYS19" s="352"/>
      <c r="BYT19" s="352"/>
      <c r="BYU19" s="352"/>
      <c r="BYV19" s="352"/>
      <c r="BYW19" s="352"/>
      <c r="BYX19" s="352"/>
      <c r="BYY19" s="352"/>
      <c r="BYZ19" s="352"/>
      <c r="BZA19" s="352"/>
      <c r="BZB19" s="352"/>
      <c r="BZC19" s="352"/>
      <c r="BZD19" s="352"/>
      <c r="BZE19" s="352"/>
      <c r="BZF19" s="352"/>
      <c r="BZG19" s="352"/>
      <c r="BZH19" s="352"/>
      <c r="BZI19" s="352"/>
      <c r="BZJ19" s="352"/>
      <c r="BZK19" s="352"/>
      <c r="BZL19" s="352"/>
      <c r="BZM19" s="352"/>
      <c r="BZN19" s="352"/>
      <c r="BZO19" s="352"/>
      <c r="BZP19" s="352"/>
      <c r="BZQ19" s="352"/>
      <c r="BZR19" s="352"/>
      <c r="BZS19" s="352"/>
      <c r="BZT19" s="352"/>
      <c r="BZU19" s="352"/>
      <c r="BZV19" s="352"/>
      <c r="BZW19" s="352"/>
      <c r="BZX19" s="352"/>
      <c r="BZY19" s="352"/>
      <c r="BZZ19" s="352"/>
      <c r="CAA19" s="352"/>
      <c r="CAB19" s="352"/>
      <c r="CAC19" s="352"/>
      <c r="CAD19" s="352"/>
      <c r="CAE19" s="352"/>
      <c r="CAF19" s="352"/>
      <c r="CAG19" s="352"/>
      <c r="CAH19" s="352"/>
      <c r="CAI19" s="352"/>
      <c r="CAJ19" s="352"/>
      <c r="CAK19" s="352"/>
      <c r="CAL19" s="352"/>
      <c r="CAM19" s="352"/>
      <c r="CAN19" s="352"/>
      <c r="CAO19" s="352"/>
      <c r="CAP19" s="352"/>
      <c r="CAQ19" s="352"/>
      <c r="CAR19" s="352"/>
      <c r="CAS19" s="352"/>
      <c r="CAT19" s="352"/>
      <c r="CAU19" s="352"/>
      <c r="CAV19" s="352"/>
      <c r="CAW19" s="352"/>
      <c r="CAX19" s="352"/>
      <c r="CAY19" s="352"/>
      <c r="CAZ19" s="352"/>
      <c r="CBA19" s="352"/>
      <c r="CBB19" s="352"/>
      <c r="CBC19" s="352"/>
      <c r="CBD19" s="352"/>
      <c r="CBE19" s="352"/>
      <c r="CBF19" s="352"/>
      <c r="CBG19" s="352"/>
      <c r="CBH19" s="352"/>
      <c r="CBI19" s="352"/>
      <c r="CBJ19" s="352"/>
      <c r="CBK19" s="352"/>
      <c r="CBL19" s="352"/>
      <c r="CBM19" s="352"/>
      <c r="CBN19" s="352"/>
      <c r="CBO19" s="352"/>
      <c r="CBP19" s="352"/>
      <c r="CBQ19" s="352"/>
      <c r="CBR19" s="352"/>
      <c r="CBS19" s="352"/>
      <c r="CBT19" s="352"/>
      <c r="CBU19" s="352"/>
      <c r="CBV19" s="352"/>
      <c r="CBW19" s="352"/>
      <c r="CBX19" s="352"/>
      <c r="CBY19" s="352"/>
      <c r="CBZ19" s="352"/>
      <c r="CCA19" s="352"/>
      <c r="CCB19" s="352"/>
      <c r="CCC19" s="352"/>
      <c r="CCD19" s="352"/>
      <c r="CCE19" s="352"/>
      <c r="CCF19" s="352"/>
      <c r="CCG19" s="352"/>
      <c r="CCH19" s="352"/>
      <c r="CCI19" s="352"/>
      <c r="CCJ19" s="352"/>
      <c r="CCK19" s="352"/>
      <c r="CCL19" s="352"/>
      <c r="CCM19" s="352"/>
      <c r="CCN19" s="352"/>
      <c r="CCO19" s="352"/>
      <c r="CCP19" s="352"/>
      <c r="CCQ19" s="352"/>
      <c r="CCR19" s="352"/>
      <c r="CCS19" s="352"/>
      <c r="CCT19" s="352"/>
      <c r="CCU19" s="352"/>
      <c r="CCV19" s="352"/>
      <c r="CCW19" s="352"/>
      <c r="CCX19" s="352"/>
      <c r="CCY19" s="352"/>
      <c r="CCZ19" s="352"/>
      <c r="CDA19" s="352"/>
      <c r="CDB19" s="352"/>
      <c r="CDC19" s="352"/>
      <c r="CDD19" s="352"/>
      <c r="CDE19" s="352"/>
      <c r="CDF19" s="352"/>
      <c r="CDG19" s="352"/>
      <c r="CDH19" s="352"/>
      <c r="CDI19" s="352"/>
      <c r="CDJ19" s="352"/>
      <c r="CDK19" s="352"/>
      <c r="CDL19" s="352"/>
      <c r="CDM19" s="352"/>
      <c r="CDN19" s="352"/>
      <c r="CDO19" s="352"/>
      <c r="CDP19" s="352"/>
      <c r="CDQ19" s="352"/>
      <c r="CDR19" s="352"/>
      <c r="CDS19" s="352"/>
      <c r="CDT19" s="352"/>
      <c r="CDU19" s="352"/>
      <c r="CDV19" s="352"/>
      <c r="CDW19" s="352"/>
      <c r="CDX19" s="352"/>
      <c r="CDY19" s="352"/>
      <c r="CDZ19" s="352"/>
      <c r="CEA19" s="352"/>
      <c r="CEB19" s="352"/>
      <c r="CEC19" s="352"/>
      <c r="CED19" s="352"/>
      <c r="CEE19" s="352"/>
      <c r="CEF19" s="352"/>
      <c r="CEG19" s="352"/>
      <c r="CEH19" s="352"/>
      <c r="CEI19" s="352"/>
      <c r="CEJ19" s="352"/>
      <c r="CEK19" s="352"/>
      <c r="CEL19" s="352"/>
      <c r="CEM19" s="352"/>
      <c r="CEN19" s="352"/>
      <c r="CEO19" s="352"/>
      <c r="CEP19" s="352"/>
      <c r="CEQ19" s="352"/>
      <c r="CER19" s="352"/>
      <c r="CES19" s="352"/>
      <c r="CET19" s="352"/>
      <c r="CEU19" s="352"/>
      <c r="CEV19" s="352"/>
      <c r="CEW19" s="352"/>
      <c r="CEX19" s="352"/>
      <c r="CEY19" s="352"/>
      <c r="CEZ19" s="352"/>
      <c r="CFA19" s="352"/>
      <c r="CFB19" s="352"/>
      <c r="CFC19" s="352"/>
      <c r="CFD19" s="352"/>
      <c r="CFE19" s="352"/>
      <c r="CFF19" s="352"/>
      <c r="CFG19" s="352"/>
      <c r="CFH19" s="352"/>
      <c r="CFI19" s="352"/>
      <c r="CFJ19" s="352"/>
      <c r="CFK19" s="352"/>
      <c r="CFL19" s="352"/>
      <c r="CFM19" s="352"/>
      <c r="CFN19" s="352"/>
      <c r="CFO19" s="352"/>
      <c r="CFP19" s="352"/>
      <c r="CFQ19" s="352"/>
      <c r="CFR19" s="352"/>
      <c r="CFS19" s="352"/>
      <c r="CFT19" s="352"/>
      <c r="CFU19" s="352"/>
      <c r="CFV19" s="352"/>
      <c r="CFW19" s="352"/>
      <c r="CFX19" s="352"/>
      <c r="CFY19" s="352"/>
      <c r="CFZ19" s="352"/>
      <c r="CGA19" s="352"/>
      <c r="CGB19" s="352"/>
      <c r="CGC19" s="352"/>
      <c r="CGD19" s="352"/>
      <c r="CGE19" s="352"/>
      <c r="CGF19" s="352"/>
      <c r="CGG19" s="352"/>
      <c r="CGH19" s="352"/>
      <c r="CGI19" s="352"/>
      <c r="CGJ19" s="352"/>
      <c r="CGK19" s="352"/>
      <c r="CGL19" s="352"/>
      <c r="CGM19" s="352"/>
      <c r="CGN19" s="352"/>
      <c r="CGO19" s="352"/>
      <c r="CGP19" s="352"/>
      <c r="CGQ19" s="352"/>
      <c r="CGR19" s="352"/>
      <c r="CGS19" s="352"/>
      <c r="CGT19" s="352"/>
      <c r="CGU19" s="352"/>
      <c r="CGV19" s="352"/>
      <c r="CGW19" s="352"/>
      <c r="CGX19" s="352"/>
      <c r="CGY19" s="352"/>
      <c r="CGZ19" s="352"/>
      <c r="CHA19" s="352"/>
      <c r="CHB19" s="352"/>
      <c r="CHC19" s="352"/>
      <c r="CHD19" s="352"/>
      <c r="CHE19" s="352"/>
      <c r="CHF19" s="352"/>
      <c r="CHG19" s="352"/>
      <c r="CHH19" s="352"/>
      <c r="CHI19" s="352"/>
      <c r="CHJ19" s="352"/>
      <c r="CHK19" s="352"/>
      <c r="CHL19" s="352"/>
      <c r="CHM19" s="352"/>
      <c r="CHN19" s="352"/>
      <c r="CHO19" s="352"/>
      <c r="CHP19" s="352"/>
      <c r="CHQ19" s="352"/>
      <c r="CHR19" s="352"/>
      <c r="CHS19" s="352"/>
      <c r="CHT19" s="352"/>
      <c r="CHU19" s="352"/>
      <c r="CHV19" s="352"/>
      <c r="CHW19" s="352"/>
      <c r="CHX19" s="352"/>
      <c r="CHY19" s="352"/>
      <c r="CHZ19" s="352"/>
      <c r="CIA19" s="352"/>
      <c r="CIB19" s="352"/>
      <c r="CIC19" s="352"/>
      <c r="CID19" s="352"/>
      <c r="CIE19" s="352"/>
      <c r="CIF19" s="352"/>
      <c r="CIG19" s="352"/>
      <c r="CIH19" s="352"/>
      <c r="CII19" s="352"/>
      <c r="CIJ19" s="352"/>
      <c r="CIK19" s="352"/>
      <c r="CIL19" s="352"/>
      <c r="CIM19" s="352"/>
      <c r="CIN19" s="352"/>
      <c r="CIO19" s="352"/>
      <c r="CIP19" s="352"/>
      <c r="CIQ19" s="352"/>
      <c r="CIR19" s="352"/>
      <c r="CIS19" s="352"/>
      <c r="CIT19" s="352"/>
      <c r="CIU19" s="352"/>
      <c r="CIV19" s="352"/>
      <c r="CIW19" s="352"/>
      <c r="CIX19" s="352"/>
      <c r="CIY19" s="352"/>
      <c r="CIZ19" s="352"/>
      <c r="CJA19" s="352"/>
      <c r="CJB19" s="352"/>
      <c r="CJC19" s="352"/>
      <c r="CJD19" s="352"/>
      <c r="CJE19" s="352"/>
      <c r="CJF19" s="352"/>
      <c r="CJG19" s="352"/>
      <c r="CJH19" s="352"/>
      <c r="CJI19" s="352"/>
      <c r="CJJ19" s="352"/>
      <c r="CJK19" s="352"/>
      <c r="CJL19" s="352"/>
      <c r="CJM19" s="352"/>
      <c r="CJN19" s="352"/>
      <c r="CJO19" s="352"/>
      <c r="CJP19" s="352"/>
      <c r="CJQ19" s="352"/>
      <c r="CJR19" s="352"/>
      <c r="CJS19" s="352"/>
      <c r="CJT19" s="352"/>
      <c r="CJU19" s="352"/>
      <c r="CJV19" s="352"/>
      <c r="CJW19" s="352"/>
      <c r="CJX19" s="352"/>
      <c r="CJY19" s="352"/>
      <c r="CJZ19" s="352"/>
      <c r="CKA19" s="352"/>
      <c r="CKB19" s="352"/>
      <c r="CKC19" s="352"/>
      <c r="CKD19" s="352"/>
      <c r="CKE19" s="352"/>
      <c r="CKF19" s="352"/>
      <c r="CKG19" s="352"/>
      <c r="CKH19" s="352"/>
      <c r="CKI19" s="352"/>
      <c r="CKJ19" s="352"/>
      <c r="CKK19" s="352"/>
      <c r="CKL19" s="352"/>
      <c r="CKM19" s="352"/>
      <c r="CKN19" s="352"/>
      <c r="CKO19" s="352"/>
      <c r="CKP19" s="352"/>
      <c r="CKQ19" s="352"/>
      <c r="CKR19" s="352"/>
      <c r="CKS19" s="352"/>
      <c r="CKT19" s="352"/>
      <c r="CKU19" s="352"/>
      <c r="CKV19" s="352"/>
      <c r="CKW19" s="352"/>
      <c r="CKX19" s="352"/>
      <c r="CKY19" s="352"/>
      <c r="CKZ19" s="352"/>
      <c r="CLA19" s="352"/>
      <c r="CLB19" s="352"/>
      <c r="CLC19" s="352"/>
      <c r="CLD19" s="352"/>
      <c r="CLE19" s="352"/>
      <c r="CLF19" s="352"/>
      <c r="CLG19" s="352"/>
      <c r="CLH19" s="352"/>
      <c r="CLI19" s="352"/>
      <c r="CLJ19" s="352"/>
      <c r="CLK19" s="352"/>
      <c r="CLL19" s="352"/>
      <c r="CLM19" s="352"/>
      <c r="CLN19" s="352"/>
      <c r="CLO19" s="352"/>
      <c r="CLP19" s="352"/>
      <c r="CLQ19" s="352"/>
      <c r="CLR19" s="352"/>
      <c r="CLS19" s="352"/>
      <c r="CLT19" s="352"/>
      <c r="CLU19" s="352"/>
      <c r="CLV19" s="352"/>
      <c r="CLW19" s="352"/>
      <c r="CLX19" s="352"/>
      <c r="CLY19" s="352"/>
      <c r="CLZ19" s="352"/>
      <c r="CMA19" s="352"/>
      <c r="CMB19" s="352"/>
      <c r="CMC19" s="352"/>
      <c r="CMD19" s="352"/>
      <c r="CME19" s="352"/>
      <c r="CMF19" s="352"/>
      <c r="CMG19" s="352"/>
      <c r="CMH19" s="352"/>
      <c r="CMI19" s="352"/>
      <c r="CMJ19" s="352"/>
      <c r="CMK19" s="352"/>
      <c r="CML19" s="352"/>
      <c r="CMM19" s="352"/>
      <c r="CMN19" s="352"/>
      <c r="CMO19" s="352"/>
      <c r="CMP19" s="352"/>
      <c r="CMQ19" s="352"/>
      <c r="CMR19" s="352"/>
      <c r="CMS19" s="352"/>
      <c r="CMT19" s="352"/>
      <c r="CMU19" s="352"/>
      <c r="CMV19" s="352"/>
      <c r="CMW19" s="352"/>
      <c r="CMX19" s="352"/>
      <c r="CMY19" s="352"/>
      <c r="CMZ19" s="352"/>
      <c r="CNA19" s="352"/>
      <c r="CNB19" s="352"/>
      <c r="CNC19" s="352"/>
      <c r="CND19" s="352"/>
      <c r="CNE19" s="352"/>
      <c r="CNF19" s="352"/>
      <c r="CNG19" s="352"/>
      <c r="CNH19" s="352"/>
      <c r="CNI19" s="352"/>
      <c r="CNJ19" s="352"/>
      <c r="CNK19" s="352"/>
      <c r="CNL19" s="352"/>
      <c r="CNM19" s="352"/>
      <c r="CNN19" s="352"/>
      <c r="CNO19" s="352"/>
      <c r="CNP19" s="352"/>
      <c r="CNQ19" s="352"/>
      <c r="CNR19" s="352"/>
      <c r="CNS19" s="352"/>
      <c r="CNT19" s="352"/>
      <c r="CNU19" s="352"/>
      <c r="CNV19" s="352"/>
      <c r="CNW19" s="352"/>
      <c r="CNX19" s="352"/>
      <c r="CNY19" s="352"/>
      <c r="CNZ19" s="352"/>
      <c r="COA19" s="352"/>
      <c r="COB19" s="352"/>
      <c r="COC19" s="352"/>
      <c r="COD19" s="352"/>
      <c r="COE19" s="352"/>
      <c r="COF19" s="352"/>
      <c r="COG19" s="352"/>
      <c r="COH19" s="352"/>
      <c r="COI19" s="352"/>
      <c r="COJ19" s="352"/>
      <c r="COK19" s="352"/>
      <c r="COL19" s="352"/>
      <c r="COM19" s="352"/>
      <c r="CON19" s="352"/>
      <c r="COO19" s="352"/>
      <c r="COP19" s="352"/>
      <c r="COQ19" s="352"/>
      <c r="COR19" s="352"/>
      <c r="COS19" s="352"/>
      <c r="COT19" s="352"/>
      <c r="COU19" s="352"/>
      <c r="COV19" s="352"/>
      <c r="COW19" s="352"/>
      <c r="COX19" s="352"/>
      <c r="COY19" s="352"/>
      <c r="COZ19" s="352"/>
      <c r="CPA19" s="352"/>
      <c r="CPB19" s="352"/>
      <c r="CPC19" s="352"/>
      <c r="CPD19" s="352"/>
      <c r="CPE19" s="352"/>
      <c r="CPF19" s="352"/>
      <c r="CPG19" s="352"/>
      <c r="CPH19" s="352"/>
      <c r="CPI19" s="352"/>
      <c r="CPJ19" s="352"/>
      <c r="CPK19" s="352"/>
      <c r="CPL19" s="352"/>
      <c r="CPM19" s="352"/>
      <c r="CPN19" s="352"/>
      <c r="CPO19" s="352"/>
      <c r="CPP19" s="352"/>
      <c r="CPQ19" s="352"/>
      <c r="CPR19" s="352"/>
      <c r="CPS19" s="352"/>
      <c r="CPT19" s="352"/>
      <c r="CPU19" s="352"/>
      <c r="CPV19" s="352"/>
      <c r="CPW19" s="352"/>
      <c r="CPX19" s="352"/>
      <c r="CPY19" s="352"/>
      <c r="CPZ19" s="352"/>
      <c r="CQA19" s="352"/>
      <c r="CQB19" s="352"/>
      <c r="CQC19" s="352"/>
      <c r="CQD19" s="352"/>
      <c r="CQE19" s="352"/>
      <c r="CQF19" s="352"/>
      <c r="CQG19" s="352"/>
      <c r="CQH19" s="352"/>
      <c r="CQI19" s="352"/>
      <c r="CQJ19" s="352"/>
      <c r="CQK19" s="352"/>
      <c r="CQL19" s="352"/>
      <c r="CQM19" s="352"/>
      <c r="CQN19" s="352"/>
      <c r="CQO19" s="352"/>
      <c r="CQP19" s="352"/>
      <c r="CQQ19" s="352"/>
      <c r="CQR19" s="352"/>
      <c r="CQS19" s="352"/>
      <c r="CQT19" s="352"/>
      <c r="CQU19" s="352"/>
      <c r="CQV19" s="352"/>
      <c r="CQW19" s="352"/>
      <c r="CQX19" s="352"/>
      <c r="CQY19" s="352"/>
      <c r="CQZ19" s="352"/>
      <c r="CRA19" s="352"/>
      <c r="CRB19" s="352"/>
      <c r="CRC19" s="352"/>
      <c r="CRD19" s="352"/>
      <c r="CRE19" s="352"/>
      <c r="CRF19" s="352"/>
      <c r="CRG19" s="352"/>
      <c r="CRH19" s="352"/>
      <c r="CRI19" s="352"/>
      <c r="CRJ19" s="352"/>
      <c r="CRK19" s="352"/>
      <c r="CRL19" s="352"/>
      <c r="CRM19" s="352"/>
      <c r="CRN19" s="352"/>
      <c r="CRO19" s="352"/>
      <c r="CRP19" s="352"/>
      <c r="CRQ19" s="352"/>
      <c r="CRR19" s="352"/>
      <c r="CRS19" s="352"/>
      <c r="CRT19" s="352"/>
      <c r="CRU19" s="352"/>
      <c r="CRV19" s="352"/>
      <c r="CRW19" s="352"/>
      <c r="CRX19" s="352"/>
      <c r="CRY19" s="352"/>
      <c r="CRZ19" s="352"/>
      <c r="CSA19" s="352"/>
      <c r="CSB19" s="352"/>
      <c r="CSC19" s="352"/>
      <c r="CSD19" s="352"/>
      <c r="CSE19" s="352"/>
      <c r="CSF19" s="352"/>
      <c r="CSG19" s="352"/>
      <c r="CSH19" s="352"/>
      <c r="CSI19" s="352"/>
      <c r="CSJ19" s="352"/>
      <c r="CSK19" s="352"/>
      <c r="CSL19" s="352"/>
      <c r="CSM19" s="352"/>
      <c r="CSN19" s="352"/>
      <c r="CSO19" s="352"/>
      <c r="CSP19" s="352"/>
      <c r="CSQ19" s="352"/>
      <c r="CSR19" s="352"/>
      <c r="CSS19" s="352"/>
      <c r="CST19" s="352"/>
      <c r="CSU19" s="352"/>
      <c r="CSV19" s="352"/>
      <c r="CSW19" s="352"/>
      <c r="CSX19" s="352"/>
      <c r="CSY19" s="352"/>
      <c r="CSZ19" s="352"/>
      <c r="CTA19" s="352"/>
      <c r="CTB19" s="352"/>
      <c r="CTC19" s="352"/>
      <c r="CTD19" s="352"/>
      <c r="CTE19" s="352"/>
      <c r="CTF19" s="352"/>
      <c r="CTG19" s="352"/>
      <c r="CTH19" s="352"/>
      <c r="CTI19" s="352"/>
      <c r="CTJ19" s="352"/>
      <c r="CTK19" s="352"/>
      <c r="CTL19" s="352"/>
      <c r="CTM19" s="352"/>
      <c r="CTN19" s="352"/>
      <c r="CTO19" s="352"/>
      <c r="CTP19" s="352"/>
      <c r="CTQ19" s="352"/>
      <c r="CTR19" s="352"/>
      <c r="CTS19" s="352"/>
      <c r="CTT19" s="352"/>
      <c r="CTU19" s="352"/>
      <c r="CTV19" s="352"/>
      <c r="CTW19" s="352"/>
      <c r="CTX19" s="352"/>
      <c r="CTY19" s="352"/>
      <c r="CTZ19" s="352"/>
      <c r="CUA19" s="352"/>
      <c r="CUB19" s="352"/>
      <c r="CUC19" s="352"/>
      <c r="CUD19" s="352"/>
      <c r="CUE19" s="352"/>
      <c r="CUF19" s="352"/>
      <c r="CUG19" s="352"/>
      <c r="CUH19" s="352"/>
      <c r="CUI19" s="352"/>
      <c r="CUJ19" s="352"/>
      <c r="CUK19" s="352"/>
      <c r="CUL19" s="352"/>
      <c r="CUM19" s="352"/>
      <c r="CUN19" s="352"/>
      <c r="CUO19" s="352"/>
      <c r="CUP19" s="352"/>
      <c r="CUQ19" s="352"/>
      <c r="CUR19" s="352"/>
      <c r="CUS19" s="352"/>
      <c r="CUT19" s="352"/>
      <c r="CUU19" s="352"/>
      <c r="CUV19" s="352"/>
      <c r="CUW19" s="352"/>
      <c r="CUX19" s="352"/>
      <c r="CUY19" s="352"/>
      <c r="CUZ19" s="352"/>
      <c r="CVA19" s="352"/>
      <c r="CVB19" s="352"/>
      <c r="CVC19" s="352"/>
      <c r="CVD19" s="352"/>
      <c r="CVE19" s="352"/>
      <c r="CVF19" s="352"/>
      <c r="CVG19" s="352"/>
      <c r="CVH19" s="352"/>
      <c r="CVI19" s="352"/>
      <c r="CVJ19" s="352"/>
      <c r="CVK19" s="352"/>
      <c r="CVL19" s="352"/>
      <c r="CVM19" s="352"/>
      <c r="CVN19" s="352"/>
      <c r="CVO19" s="352"/>
      <c r="CVP19" s="352"/>
      <c r="CVQ19" s="352"/>
      <c r="CVR19" s="352"/>
      <c r="CVS19" s="352"/>
      <c r="CVT19" s="352"/>
      <c r="CVU19" s="352"/>
      <c r="CVV19" s="352"/>
      <c r="CVW19" s="352"/>
      <c r="CVX19" s="352"/>
      <c r="CVY19" s="352"/>
      <c r="CVZ19" s="352"/>
      <c r="CWA19" s="352"/>
      <c r="CWB19" s="352"/>
      <c r="CWC19" s="352"/>
      <c r="CWD19" s="352"/>
      <c r="CWE19" s="352"/>
      <c r="CWF19" s="352"/>
      <c r="CWG19" s="352"/>
      <c r="CWH19" s="352"/>
      <c r="CWI19" s="352"/>
      <c r="CWJ19" s="352"/>
      <c r="CWK19" s="352"/>
      <c r="CWL19" s="352"/>
      <c r="CWM19" s="352"/>
      <c r="CWN19" s="352"/>
      <c r="CWO19" s="352"/>
      <c r="CWP19" s="352"/>
      <c r="CWQ19" s="352"/>
      <c r="CWR19" s="352"/>
      <c r="CWS19" s="352"/>
      <c r="CWT19" s="352"/>
      <c r="CWU19" s="352"/>
      <c r="CWV19" s="352"/>
      <c r="CWW19" s="352"/>
      <c r="CWX19" s="352"/>
      <c r="CWY19" s="352"/>
      <c r="CWZ19" s="352"/>
      <c r="CXA19" s="352"/>
      <c r="CXB19" s="352"/>
      <c r="CXC19" s="352"/>
      <c r="CXD19" s="352"/>
      <c r="CXE19" s="352"/>
      <c r="CXF19" s="352"/>
      <c r="CXG19" s="352"/>
      <c r="CXH19" s="352"/>
      <c r="CXI19" s="352"/>
      <c r="CXJ19" s="352"/>
      <c r="CXK19" s="352"/>
      <c r="CXL19" s="352"/>
      <c r="CXM19" s="352"/>
      <c r="CXN19" s="352"/>
      <c r="CXO19" s="352"/>
      <c r="CXP19" s="352"/>
      <c r="CXQ19" s="352"/>
      <c r="CXR19" s="352"/>
      <c r="CXS19" s="352"/>
      <c r="CXT19" s="352"/>
      <c r="CXU19" s="352"/>
      <c r="CXV19" s="352"/>
      <c r="CXW19" s="352"/>
      <c r="CXX19" s="352"/>
      <c r="CXY19" s="352"/>
      <c r="CXZ19" s="352"/>
      <c r="CYA19" s="352"/>
      <c r="CYB19" s="352"/>
      <c r="CYC19" s="352"/>
      <c r="CYD19" s="352"/>
      <c r="CYE19" s="352"/>
      <c r="CYF19" s="352"/>
      <c r="CYG19" s="352"/>
      <c r="CYH19" s="352"/>
      <c r="CYI19" s="352"/>
      <c r="CYJ19" s="352"/>
      <c r="CYK19" s="352"/>
      <c r="CYL19" s="352"/>
      <c r="CYM19" s="352"/>
      <c r="CYN19" s="352"/>
      <c r="CYO19" s="352"/>
      <c r="CYP19" s="352"/>
      <c r="CYQ19" s="352"/>
      <c r="CYR19" s="352"/>
      <c r="CYS19" s="352"/>
      <c r="CYT19" s="352"/>
      <c r="CYU19" s="352"/>
      <c r="CYV19" s="352"/>
      <c r="CYW19" s="352"/>
      <c r="CYX19" s="352"/>
      <c r="CYY19" s="352"/>
      <c r="CYZ19" s="352"/>
      <c r="CZA19" s="352"/>
      <c r="CZB19" s="352"/>
      <c r="CZC19" s="352"/>
      <c r="CZD19" s="352"/>
      <c r="CZE19" s="352"/>
      <c r="CZF19" s="352"/>
      <c r="CZG19" s="352"/>
      <c r="CZH19" s="352"/>
      <c r="CZI19" s="352"/>
      <c r="CZJ19" s="352"/>
      <c r="CZK19" s="352"/>
      <c r="CZL19" s="352"/>
      <c r="CZM19" s="352"/>
      <c r="CZN19" s="352"/>
      <c r="CZO19" s="352"/>
      <c r="CZP19" s="352"/>
      <c r="CZQ19" s="352"/>
      <c r="CZR19" s="352"/>
      <c r="CZS19" s="352"/>
      <c r="CZT19" s="352"/>
      <c r="CZU19" s="352"/>
      <c r="CZV19" s="352"/>
      <c r="CZW19" s="352"/>
      <c r="CZX19" s="352"/>
      <c r="CZY19" s="352"/>
      <c r="CZZ19" s="352"/>
      <c r="DAA19" s="352"/>
      <c r="DAB19" s="352"/>
      <c r="DAC19" s="352"/>
      <c r="DAD19" s="352"/>
      <c r="DAE19" s="352"/>
      <c r="DAF19" s="352"/>
      <c r="DAG19" s="352"/>
      <c r="DAH19" s="352"/>
      <c r="DAI19" s="352"/>
      <c r="DAJ19" s="352"/>
      <c r="DAK19" s="352"/>
      <c r="DAL19" s="352"/>
      <c r="DAM19" s="352"/>
      <c r="DAN19" s="352"/>
      <c r="DAO19" s="352"/>
      <c r="DAP19" s="352"/>
      <c r="DAQ19" s="352"/>
      <c r="DAR19" s="352"/>
      <c r="DAS19" s="352"/>
      <c r="DAT19" s="352"/>
      <c r="DAU19" s="352"/>
      <c r="DAV19" s="352"/>
      <c r="DAW19" s="352"/>
      <c r="DAX19" s="352"/>
      <c r="DAY19" s="352"/>
      <c r="DAZ19" s="352"/>
      <c r="DBA19" s="352"/>
      <c r="DBB19" s="352"/>
      <c r="DBC19" s="352"/>
      <c r="DBD19" s="352"/>
      <c r="DBE19" s="352"/>
      <c r="DBF19" s="352"/>
      <c r="DBG19" s="352"/>
      <c r="DBH19" s="352"/>
      <c r="DBI19" s="352"/>
      <c r="DBJ19" s="352"/>
      <c r="DBK19" s="352"/>
      <c r="DBL19" s="352"/>
      <c r="DBM19" s="352"/>
      <c r="DBN19" s="352"/>
      <c r="DBO19" s="352"/>
      <c r="DBP19" s="352"/>
      <c r="DBQ19" s="352"/>
      <c r="DBR19" s="352"/>
      <c r="DBS19" s="352"/>
      <c r="DBT19" s="352"/>
      <c r="DBU19" s="352"/>
      <c r="DBV19" s="352"/>
      <c r="DBW19" s="352"/>
      <c r="DBX19" s="352"/>
      <c r="DBY19" s="352"/>
      <c r="DBZ19" s="352"/>
      <c r="DCA19" s="352"/>
      <c r="DCB19" s="352"/>
      <c r="DCC19" s="352"/>
      <c r="DCD19" s="352"/>
      <c r="DCE19" s="352"/>
      <c r="DCF19" s="352"/>
      <c r="DCG19" s="352"/>
      <c r="DCH19" s="352"/>
      <c r="DCI19" s="352"/>
      <c r="DCJ19" s="352"/>
      <c r="DCK19" s="352"/>
      <c r="DCL19" s="352"/>
      <c r="DCM19" s="352"/>
      <c r="DCN19" s="352"/>
      <c r="DCO19" s="352"/>
      <c r="DCP19" s="352"/>
      <c r="DCQ19" s="352"/>
      <c r="DCR19" s="352"/>
      <c r="DCS19" s="352"/>
      <c r="DCT19" s="352"/>
      <c r="DCU19" s="352"/>
      <c r="DCV19" s="352"/>
      <c r="DCW19" s="352"/>
      <c r="DCX19" s="352"/>
      <c r="DCY19" s="352"/>
      <c r="DCZ19" s="352"/>
      <c r="DDA19" s="352"/>
      <c r="DDB19" s="352"/>
      <c r="DDC19" s="352"/>
      <c r="DDD19" s="352"/>
      <c r="DDE19" s="352"/>
      <c r="DDF19" s="352"/>
      <c r="DDG19" s="352"/>
      <c r="DDH19" s="352"/>
      <c r="DDI19" s="352"/>
      <c r="DDJ19" s="352"/>
      <c r="DDK19" s="352"/>
      <c r="DDL19" s="352"/>
      <c r="DDM19" s="352"/>
      <c r="DDN19" s="352"/>
      <c r="DDO19" s="352"/>
      <c r="DDP19" s="352"/>
      <c r="DDQ19" s="352"/>
      <c r="DDR19" s="352"/>
      <c r="DDS19" s="352"/>
      <c r="DDT19" s="352"/>
      <c r="DDU19" s="352"/>
      <c r="DDV19" s="352"/>
      <c r="DDW19" s="352"/>
      <c r="DDX19" s="352"/>
      <c r="DDY19" s="352"/>
      <c r="DDZ19" s="352"/>
      <c r="DEA19" s="352"/>
      <c r="DEB19" s="352"/>
      <c r="DEC19" s="352"/>
      <c r="DED19" s="352"/>
      <c r="DEE19" s="352"/>
      <c r="DEF19" s="352"/>
      <c r="DEG19" s="352"/>
      <c r="DEH19" s="352"/>
      <c r="DEI19" s="352"/>
      <c r="DEJ19" s="352"/>
      <c r="DEK19" s="352"/>
      <c r="DEL19" s="352"/>
      <c r="DEM19" s="352"/>
      <c r="DEN19" s="352"/>
      <c r="DEO19" s="352"/>
      <c r="DEP19" s="352"/>
      <c r="DEQ19" s="352"/>
      <c r="DER19" s="352"/>
      <c r="DES19" s="352"/>
      <c r="DET19" s="352"/>
      <c r="DEU19" s="352"/>
      <c r="DEV19" s="352"/>
      <c r="DEW19" s="352"/>
      <c r="DEX19" s="352"/>
      <c r="DEY19" s="352"/>
      <c r="DEZ19" s="352"/>
      <c r="DFA19" s="352"/>
      <c r="DFB19" s="352"/>
      <c r="DFC19" s="352"/>
      <c r="DFD19" s="352"/>
      <c r="DFE19" s="352"/>
      <c r="DFF19" s="352"/>
      <c r="DFG19" s="352"/>
      <c r="DFH19" s="352"/>
      <c r="DFI19" s="352"/>
      <c r="DFJ19" s="352"/>
      <c r="DFK19" s="352"/>
      <c r="DFL19" s="352"/>
      <c r="DFM19" s="352"/>
      <c r="DFN19" s="352"/>
      <c r="DFO19" s="352"/>
      <c r="DFP19" s="352"/>
      <c r="DFQ19" s="352"/>
      <c r="DFR19" s="352"/>
      <c r="DFS19" s="352"/>
      <c r="DFT19" s="352"/>
      <c r="DFU19" s="352"/>
      <c r="DFV19" s="352"/>
      <c r="DFW19" s="352"/>
      <c r="DFX19" s="352"/>
      <c r="DFY19" s="352"/>
      <c r="DFZ19" s="352"/>
      <c r="DGA19" s="352"/>
      <c r="DGB19" s="352"/>
      <c r="DGC19" s="352"/>
      <c r="DGD19" s="352"/>
      <c r="DGE19" s="352"/>
      <c r="DGF19" s="352"/>
      <c r="DGG19" s="352"/>
      <c r="DGH19" s="352"/>
      <c r="DGI19" s="352"/>
      <c r="DGJ19" s="352"/>
      <c r="DGK19" s="352"/>
      <c r="DGL19" s="352"/>
      <c r="DGM19" s="352"/>
      <c r="DGN19" s="352"/>
      <c r="DGO19" s="352"/>
      <c r="DGP19" s="352"/>
      <c r="DGQ19" s="352"/>
      <c r="DGR19" s="352"/>
      <c r="DGS19" s="352"/>
      <c r="DGT19" s="352"/>
      <c r="DGU19" s="352"/>
      <c r="DGV19" s="352"/>
      <c r="DGW19" s="352"/>
      <c r="DGX19" s="352"/>
      <c r="DGY19" s="352"/>
      <c r="DGZ19" s="352"/>
      <c r="DHA19" s="352"/>
      <c r="DHB19" s="352"/>
      <c r="DHC19" s="352"/>
      <c r="DHD19" s="352"/>
      <c r="DHE19" s="352"/>
      <c r="DHF19" s="352"/>
      <c r="DHG19" s="352"/>
      <c r="DHH19" s="352"/>
      <c r="DHI19" s="352"/>
      <c r="DHJ19" s="352"/>
      <c r="DHK19" s="352"/>
      <c r="DHL19" s="352"/>
      <c r="DHM19" s="352"/>
      <c r="DHN19" s="352"/>
      <c r="DHO19" s="352"/>
      <c r="DHP19" s="352"/>
      <c r="DHQ19" s="352"/>
      <c r="DHR19" s="352"/>
      <c r="DHS19" s="352"/>
      <c r="DHT19" s="352"/>
      <c r="DHU19" s="352"/>
      <c r="DHV19" s="352"/>
      <c r="DHW19" s="352"/>
      <c r="DHX19" s="352"/>
      <c r="DHY19" s="352"/>
      <c r="DHZ19" s="352"/>
      <c r="DIA19" s="352"/>
      <c r="DIB19" s="352"/>
      <c r="DIC19" s="352"/>
      <c r="DID19" s="352"/>
      <c r="DIE19" s="352"/>
      <c r="DIF19" s="352"/>
      <c r="DIG19" s="352"/>
      <c r="DIH19" s="352"/>
      <c r="DII19" s="352"/>
      <c r="DIJ19" s="352"/>
      <c r="DIK19" s="352"/>
      <c r="DIL19" s="352"/>
      <c r="DIM19" s="352"/>
      <c r="DIN19" s="352"/>
      <c r="DIO19" s="352"/>
      <c r="DIP19" s="352"/>
      <c r="DIQ19" s="352"/>
      <c r="DIR19" s="352"/>
      <c r="DIS19" s="352"/>
      <c r="DIT19" s="352"/>
      <c r="DIU19" s="352"/>
      <c r="DIV19" s="352"/>
      <c r="DIW19" s="352"/>
      <c r="DIX19" s="352"/>
      <c r="DIY19" s="352"/>
      <c r="DIZ19" s="352"/>
      <c r="DJA19" s="352"/>
      <c r="DJB19" s="352"/>
      <c r="DJC19" s="352"/>
      <c r="DJD19" s="352"/>
      <c r="DJE19" s="352"/>
      <c r="DJF19" s="352"/>
      <c r="DJG19" s="352"/>
      <c r="DJH19" s="352"/>
      <c r="DJI19" s="352"/>
      <c r="DJJ19" s="352"/>
      <c r="DJK19" s="352"/>
      <c r="DJL19" s="352"/>
      <c r="DJM19" s="352"/>
      <c r="DJN19" s="352"/>
      <c r="DJO19" s="352"/>
      <c r="DJP19" s="352"/>
      <c r="DJQ19" s="352"/>
      <c r="DJR19" s="352"/>
      <c r="DJS19" s="352"/>
      <c r="DJT19" s="352"/>
      <c r="DJU19" s="352"/>
      <c r="DJV19" s="352"/>
      <c r="DJW19" s="352"/>
      <c r="DJX19" s="352"/>
      <c r="DJY19" s="352"/>
      <c r="DJZ19" s="352"/>
      <c r="DKA19" s="352"/>
      <c r="DKB19" s="352"/>
      <c r="DKC19" s="352"/>
      <c r="DKD19" s="352"/>
      <c r="DKE19" s="352"/>
      <c r="DKF19" s="352"/>
      <c r="DKG19" s="352"/>
      <c r="DKH19" s="352"/>
      <c r="DKI19" s="352"/>
      <c r="DKJ19" s="352"/>
      <c r="DKK19" s="352"/>
      <c r="DKL19" s="352"/>
      <c r="DKM19" s="352"/>
      <c r="DKN19" s="352"/>
      <c r="DKO19" s="352"/>
      <c r="DKP19" s="352"/>
      <c r="DKQ19" s="352"/>
      <c r="DKR19" s="352"/>
      <c r="DKS19" s="352"/>
      <c r="DKT19" s="352"/>
      <c r="DKU19" s="352"/>
      <c r="DKV19" s="352"/>
      <c r="DKW19" s="352"/>
      <c r="DKX19" s="352"/>
      <c r="DKY19" s="352"/>
      <c r="DKZ19" s="352"/>
      <c r="DLA19" s="352"/>
      <c r="DLB19" s="352"/>
      <c r="DLC19" s="352"/>
      <c r="DLD19" s="352"/>
      <c r="DLE19" s="352"/>
      <c r="DLF19" s="352"/>
      <c r="DLG19" s="352"/>
      <c r="DLH19" s="352"/>
      <c r="DLI19" s="352"/>
      <c r="DLJ19" s="352"/>
      <c r="DLK19" s="352"/>
      <c r="DLL19" s="352"/>
      <c r="DLM19" s="352"/>
      <c r="DLN19" s="352"/>
      <c r="DLO19" s="352"/>
      <c r="DLP19" s="352"/>
      <c r="DLQ19" s="352"/>
      <c r="DLR19" s="352"/>
      <c r="DLS19" s="352"/>
      <c r="DLT19" s="352"/>
      <c r="DLU19" s="352"/>
      <c r="DLV19" s="352"/>
      <c r="DLW19" s="352"/>
      <c r="DLX19" s="352"/>
      <c r="DLY19" s="352"/>
      <c r="DLZ19" s="352"/>
      <c r="DMA19" s="352"/>
      <c r="DMB19" s="352"/>
      <c r="DMC19" s="352"/>
      <c r="DMD19" s="352"/>
      <c r="DME19" s="352"/>
      <c r="DMF19" s="352"/>
      <c r="DMG19" s="352"/>
      <c r="DMH19" s="352"/>
      <c r="DMI19" s="352"/>
      <c r="DMJ19" s="352"/>
      <c r="DMK19" s="352"/>
      <c r="DML19" s="352"/>
      <c r="DMM19" s="352"/>
      <c r="DMN19" s="352"/>
      <c r="DMO19" s="352"/>
      <c r="DMP19" s="352"/>
      <c r="DMQ19" s="352"/>
      <c r="DMR19" s="352"/>
      <c r="DMS19" s="352"/>
      <c r="DMT19" s="352"/>
      <c r="DMU19" s="352"/>
      <c r="DMV19" s="352"/>
      <c r="DMW19" s="352"/>
      <c r="DMX19" s="352"/>
      <c r="DMY19" s="352"/>
      <c r="DMZ19" s="352"/>
      <c r="DNA19" s="352"/>
      <c r="DNB19" s="352"/>
      <c r="DNC19" s="352"/>
      <c r="DND19" s="352"/>
      <c r="DNE19" s="352"/>
      <c r="DNF19" s="352"/>
      <c r="DNG19" s="352"/>
      <c r="DNH19" s="352"/>
      <c r="DNI19" s="352"/>
      <c r="DNJ19" s="352"/>
      <c r="DNK19" s="352"/>
      <c r="DNL19" s="352"/>
      <c r="DNM19" s="352"/>
      <c r="DNN19" s="352"/>
      <c r="DNO19" s="352"/>
      <c r="DNP19" s="352"/>
      <c r="DNQ19" s="352"/>
      <c r="DNR19" s="352"/>
      <c r="DNS19" s="352"/>
      <c r="DNT19" s="352"/>
      <c r="DNU19" s="352"/>
      <c r="DNV19" s="352"/>
      <c r="DNW19" s="352"/>
      <c r="DNX19" s="352"/>
      <c r="DNY19" s="352"/>
      <c r="DNZ19" s="352"/>
      <c r="DOA19" s="352"/>
      <c r="DOB19" s="352"/>
      <c r="DOC19" s="352"/>
      <c r="DOD19" s="352"/>
      <c r="DOE19" s="352"/>
      <c r="DOF19" s="352"/>
      <c r="DOG19" s="352"/>
      <c r="DOH19" s="352"/>
      <c r="DOI19" s="352"/>
      <c r="DOJ19" s="352"/>
      <c r="DOK19" s="352"/>
      <c r="DOL19" s="352"/>
      <c r="DOM19" s="352"/>
      <c r="DON19" s="352"/>
      <c r="DOO19" s="352"/>
      <c r="DOP19" s="352"/>
      <c r="DOQ19" s="352"/>
      <c r="DOR19" s="352"/>
      <c r="DOS19" s="352"/>
      <c r="DOT19" s="352"/>
      <c r="DOU19" s="352"/>
      <c r="DOV19" s="352"/>
      <c r="DOW19" s="352"/>
      <c r="DOX19" s="352"/>
      <c r="DOY19" s="352"/>
      <c r="DOZ19" s="352"/>
      <c r="DPA19" s="352"/>
      <c r="DPB19" s="352"/>
      <c r="DPC19" s="352"/>
      <c r="DPD19" s="352"/>
      <c r="DPE19" s="352"/>
      <c r="DPF19" s="352"/>
      <c r="DPG19" s="352"/>
      <c r="DPH19" s="352"/>
      <c r="DPI19" s="352"/>
      <c r="DPJ19" s="352"/>
      <c r="DPK19" s="352"/>
      <c r="DPL19" s="352"/>
      <c r="DPM19" s="352"/>
      <c r="DPN19" s="352"/>
      <c r="DPO19" s="352"/>
      <c r="DPP19" s="352"/>
      <c r="DPQ19" s="352"/>
      <c r="DPR19" s="352"/>
      <c r="DPS19" s="352"/>
      <c r="DPT19" s="352"/>
      <c r="DPU19" s="352"/>
      <c r="DPV19" s="352"/>
      <c r="DPW19" s="352"/>
      <c r="DPX19" s="352"/>
      <c r="DPY19" s="352"/>
      <c r="DPZ19" s="352"/>
      <c r="DQA19" s="352"/>
      <c r="DQB19" s="352"/>
      <c r="DQC19" s="352"/>
      <c r="DQD19" s="352"/>
      <c r="DQE19" s="352"/>
      <c r="DQF19" s="352"/>
      <c r="DQG19" s="352"/>
      <c r="DQH19" s="352"/>
      <c r="DQI19" s="352"/>
      <c r="DQJ19" s="352"/>
      <c r="DQK19" s="352"/>
      <c r="DQL19" s="352"/>
      <c r="DQM19" s="352"/>
      <c r="DQN19" s="352"/>
      <c r="DQO19" s="352"/>
      <c r="DQP19" s="352"/>
      <c r="DQQ19" s="352"/>
      <c r="DQR19" s="352"/>
      <c r="DQS19" s="352"/>
      <c r="DQT19" s="352"/>
      <c r="DQU19" s="352"/>
      <c r="DQV19" s="352"/>
      <c r="DQW19" s="352"/>
      <c r="DQX19" s="352"/>
      <c r="DQY19" s="352"/>
      <c r="DQZ19" s="352"/>
      <c r="DRA19" s="352"/>
      <c r="DRB19" s="352"/>
      <c r="DRC19" s="352"/>
      <c r="DRD19" s="352"/>
      <c r="DRE19" s="352"/>
      <c r="DRF19" s="352"/>
      <c r="DRG19" s="352"/>
      <c r="DRH19" s="352"/>
      <c r="DRI19" s="352"/>
      <c r="DRJ19" s="352"/>
      <c r="DRK19" s="352"/>
      <c r="DRL19" s="352"/>
      <c r="DRM19" s="352"/>
      <c r="DRN19" s="352"/>
      <c r="DRO19" s="352"/>
      <c r="DRP19" s="352"/>
      <c r="DRQ19" s="352"/>
      <c r="DRR19" s="352"/>
      <c r="DRS19" s="352"/>
      <c r="DRT19" s="352"/>
      <c r="DRU19" s="352"/>
      <c r="DRV19" s="352"/>
      <c r="DRW19" s="352"/>
      <c r="DRX19" s="352"/>
      <c r="DRY19" s="352"/>
      <c r="DRZ19" s="352"/>
      <c r="DSA19" s="352"/>
      <c r="DSB19" s="352"/>
      <c r="DSC19" s="352"/>
      <c r="DSD19" s="352"/>
      <c r="DSE19" s="352"/>
      <c r="DSF19" s="352"/>
      <c r="DSG19" s="352"/>
      <c r="DSH19" s="352"/>
      <c r="DSI19" s="352"/>
      <c r="DSJ19" s="352"/>
      <c r="DSK19" s="352"/>
      <c r="DSL19" s="352"/>
      <c r="DSM19" s="352"/>
      <c r="DSN19" s="352"/>
      <c r="DSO19" s="352"/>
      <c r="DSP19" s="352"/>
      <c r="DSQ19" s="352"/>
      <c r="DSR19" s="352"/>
      <c r="DSS19" s="352"/>
      <c r="DST19" s="352"/>
      <c r="DSU19" s="352"/>
      <c r="DSV19" s="352"/>
      <c r="DSW19" s="352"/>
      <c r="DSX19" s="352"/>
      <c r="DSY19" s="352"/>
      <c r="DSZ19" s="352"/>
      <c r="DTA19" s="352"/>
      <c r="DTB19" s="352"/>
      <c r="DTC19" s="352"/>
      <c r="DTD19" s="352"/>
      <c r="DTE19" s="352"/>
      <c r="DTF19" s="352"/>
      <c r="DTG19" s="352"/>
      <c r="DTH19" s="352"/>
      <c r="DTI19" s="352"/>
      <c r="DTJ19" s="352"/>
      <c r="DTK19" s="352"/>
      <c r="DTL19" s="352"/>
      <c r="DTM19" s="352"/>
      <c r="DTN19" s="352"/>
      <c r="DTO19" s="352"/>
      <c r="DTP19" s="352"/>
      <c r="DTQ19" s="352"/>
      <c r="DTR19" s="352"/>
      <c r="DTS19" s="352"/>
      <c r="DTT19" s="352"/>
      <c r="DTU19" s="352"/>
      <c r="DTV19" s="352"/>
      <c r="DTW19" s="352"/>
      <c r="DTX19" s="352"/>
      <c r="DTY19" s="352"/>
      <c r="DTZ19" s="352"/>
      <c r="DUA19" s="352"/>
      <c r="DUB19" s="352"/>
      <c r="DUC19" s="352"/>
      <c r="DUD19" s="352"/>
      <c r="DUE19" s="352"/>
      <c r="DUF19" s="352"/>
      <c r="DUG19" s="352"/>
      <c r="DUH19" s="352"/>
      <c r="DUI19" s="352"/>
      <c r="DUJ19" s="352"/>
      <c r="DUK19" s="352"/>
      <c r="DUL19" s="352"/>
      <c r="DUM19" s="352"/>
      <c r="DUN19" s="352"/>
      <c r="DUO19" s="352"/>
      <c r="DUP19" s="352"/>
      <c r="DUQ19" s="352"/>
      <c r="DUR19" s="352"/>
      <c r="DUS19" s="352"/>
      <c r="DUT19" s="352"/>
      <c r="DUU19" s="352"/>
      <c r="DUV19" s="352"/>
      <c r="DUW19" s="352"/>
      <c r="DUX19" s="352"/>
      <c r="DUY19" s="352"/>
      <c r="DUZ19" s="352"/>
      <c r="DVA19" s="352"/>
      <c r="DVB19" s="352"/>
      <c r="DVC19" s="352"/>
      <c r="DVD19" s="352"/>
      <c r="DVE19" s="352"/>
      <c r="DVF19" s="352"/>
      <c r="DVG19" s="352"/>
      <c r="DVH19" s="352"/>
      <c r="DVI19" s="352"/>
      <c r="DVJ19" s="352"/>
      <c r="DVK19" s="352"/>
      <c r="DVL19" s="352"/>
      <c r="DVM19" s="352"/>
      <c r="DVN19" s="352"/>
      <c r="DVO19" s="352"/>
      <c r="DVP19" s="352"/>
      <c r="DVQ19" s="352"/>
      <c r="DVR19" s="352"/>
      <c r="DVS19" s="352"/>
      <c r="DVT19" s="352"/>
      <c r="DVU19" s="352"/>
      <c r="DVV19" s="352"/>
      <c r="DVW19" s="352"/>
      <c r="DVX19" s="352"/>
      <c r="DVY19" s="352"/>
      <c r="DVZ19" s="352"/>
      <c r="DWA19" s="352"/>
      <c r="DWB19" s="352"/>
      <c r="DWC19" s="352"/>
      <c r="DWD19" s="352"/>
      <c r="DWE19" s="352"/>
      <c r="DWF19" s="352"/>
      <c r="DWG19" s="352"/>
      <c r="DWH19" s="352"/>
      <c r="DWI19" s="352"/>
      <c r="DWJ19" s="352"/>
      <c r="DWK19" s="352"/>
      <c r="DWL19" s="352"/>
      <c r="DWM19" s="352"/>
      <c r="DWN19" s="352"/>
      <c r="DWO19" s="352"/>
      <c r="DWP19" s="352"/>
      <c r="DWQ19" s="352"/>
      <c r="DWR19" s="352"/>
      <c r="DWS19" s="352"/>
      <c r="DWT19" s="352"/>
      <c r="DWU19" s="352"/>
      <c r="DWV19" s="352"/>
      <c r="DWW19" s="352"/>
      <c r="DWX19" s="352"/>
      <c r="DWY19" s="352"/>
      <c r="DWZ19" s="352"/>
      <c r="DXA19" s="352"/>
      <c r="DXB19" s="352"/>
      <c r="DXC19" s="352"/>
      <c r="DXD19" s="352"/>
      <c r="DXE19" s="352"/>
      <c r="DXF19" s="352"/>
      <c r="DXG19" s="352"/>
      <c r="DXH19" s="352"/>
      <c r="DXI19" s="352"/>
      <c r="DXJ19" s="352"/>
      <c r="DXK19" s="352"/>
      <c r="DXL19" s="352"/>
      <c r="DXM19" s="352"/>
      <c r="DXN19" s="352"/>
      <c r="DXO19" s="352"/>
      <c r="DXP19" s="352"/>
      <c r="DXQ19" s="352"/>
      <c r="DXR19" s="352"/>
      <c r="DXS19" s="352"/>
      <c r="DXT19" s="352"/>
      <c r="DXU19" s="352"/>
      <c r="DXV19" s="352"/>
      <c r="DXW19" s="352"/>
      <c r="DXX19" s="352"/>
      <c r="DXY19" s="352"/>
      <c r="DXZ19" s="352"/>
      <c r="DYA19" s="352"/>
      <c r="DYB19" s="352"/>
      <c r="DYC19" s="352"/>
      <c r="DYD19" s="352"/>
      <c r="DYE19" s="352"/>
      <c r="DYF19" s="352"/>
      <c r="DYG19" s="352"/>
      <c r="DYH19" s="352"/>
      <c r="DYI19" s="352"/>
      <c r="DYJ19" s="352"/>
      <c r="DYK19" s="352"/>
      <c r="DYL19" s="352"/>
      <c r="DYM19" s="352"/>
      <c r="DYN19" s="352"/>
      <c r="DYO19" s="352"/>
      <c r="DYP19" s="352"/>
      <c r="DYQ19" s="352"/>
      <c r="DYR19" s="352"/>
      <c r="DYS19" s="352"/>
      <c r="DYT19" s="352"/>
      <c r="DYU19" s="352"/>
      <c r="DYV19" s="352"/>
      <c r="DYW19" s="352"/>
      <c r="DYX19" s="352"/>
      <c r="DYY19" s="352"/>
      <c r="DYZ19" s="352"/>
      <c r="DZA19" s="352"/>
      <c r="DZB19" s="352"/>
      <c r="DZC19" s="352"/>
      <c r="DZD19" s="352"/>
      <c r="DZE19" s="352"/>
      <c r="DZF19" s="352"/>
      <c r="DZG19" s="352"/>
      <c r="DZH19" s="352"/>
      <c r="DZI19" s="352"/>
      <c r="DZJ19" s="352"/>
      <c r="DZK19" s="352"/>
      <c r="DZL19" s="352"/>
      <c r="DZM19" s="352"/>
      <c r="DZN19" s="352"/>
      <c r="DZO19" s="352"/>
      <c r="DZP19" s="352"/>
      <c r="DZQ19" s="352"/>
      <c r="DZR19" s="352"/>
      <c r="DZS19" s="352"/>
      <c r="DZT19" s="352"/>
      <c r="DZU19" s="352"/>
      <c r="DZV19" s="352"/>
      <c r="DZW19" s="352"/>
      <c r="DZX19" s="352"/>
      <c r="DZY19" s="352"/>
      <c r="DZZ19" s="352"/>
      <c r="EAA19" s="352"/>
      <c r="EAB19" s="352"/>
      <c r="EAC19" s="352"/>
      <c r="EAD19" s="352"/>
      <c r="EAE19" s="352"/>
      <c r="EAF19" s="352"/>
      <c r="EAG19" s="352"/>
      <c r="EAH19" s="352"/>
      <c r="EAI19" s="352"/>
      <c r="EAJ19" s="352"/>
      <c r="EAK19" s="352"/>
      <c r="EAL19" s="352"/>
      <c r="EAM19" s="352"/>
      <c r="EAN19" s="352"/>
      <c r="EAO19" s="352"/>
      <c r="EAP19" s="352"/>
      <c r="EAQ19" s="352"/>
      <c r="EAR19" s="352"/>
      <c r="EAS19" s="352"/>
      <c r="EAT19" s="352"/>
      <c r="EAU19" s="352"/>
      <c r="EAV19" s="352"/>
      <c r="EAW19" s="352"/>
      <c r="EAX19" s="352"/>
      <c r="EAY19" s="352"/>
      <c r="EAZ19" s="352"/>
      <c r="EBA19" s="352"/>
      <c r="EBB19" s="352"/>
      <c r="EBC19" s="352"/>
      <c r="EBD19" s="352"/>
      <c r="EBE19" s="352"/>
      <c r="EBF19" s="352"/>
      <c r="EBG19" s="352"/>
      <c r="EBH19" s="352"/>
      <c r="EBI19" s="352"/>
      <c r="EBJ19" s="352"/>
      <c r="EBK19" s="352"/>
      <c r="EBL19" s="352"/>
      <c r="EBM19" s="352"/>
      <c r="EBN19" s="352"/>
      <c r="EBO19" s="352"/>
      <c r="EBP19" s="352"/>
      <c r="EBQ19" s="352"/>
      <c r="EBR19" s="352"/>
      <c r="EBS19" s="352"/>
      <c r="EBT19" s="352"/>
      <c r="EBU19" s="352"/>
      <c r="EBV19" s="352"/>
      <c r="EBW19" s="352"/>
      <c r="EBX19" s="352"/>
      <c r="EBY19" s="352"/>
      <c r="EBZ19" s="352"/>
      <c r="ECA19" s="352"/>
      <c r="ECB19" s="352"/>
      <c r="ECC19" s="352"/>
      <c r="ECD19" s="352"/>
      <c r="ECE19" s="352"/>
      <c r="ECF19" s="352"/>
      <c r="ECG19" s="352"/>
      <c r="ECH19" s="352"/>
      <c r="ECI19" s="352"/>
      <c r="ECJ19" s="352"/>
      <c r="ECK19" s="352"/>
      <c r="ECL19" s="352"/>
      <c r="ECM19" s="352"/>
      <c r="ECN19" s="352"/>
      <c r="ECO19" s="352"/>
      <c r="ECP19" s="352"/>
      <c r="ECQ19" s="352"/>
      <c r="ECR19" s="352"/>
      <c r="ECS19" s="352"/>
      <c r="ECT19" s="352"/>
      <c r="ECU19" s="352"/>
      <c r="ECV19" s="352"/>
      <c r="ECW19" s="352"/>
      <c r="ECX19" s="352"/>
      <c r="ECY19" s="352"/>
      <c r="ECZ19" s="352"/>
      <c r="EDA19" s="352"/>
      <c r="EDB19" s="352"/>
      <c r="EDC19" s="352"/>
      <c r="EDD19" s="352"/>
      <c r="EDE19" s="352"/>
      <c r="EDF19" s="352"/>
      <c r="EDG19" s="352"/>
      <c r="EDH19" s="352"/>
      <c r="EDI19" s="352"/>
      <c r="EDJ19" s="352"/>
      <c r="EDK19" s="352"/>
      <c r="EDL19" s="352"/>
      <c r="EDM19" s="352"/>
      <c r="EDN19" s="352"/>
      <c r="EDO19" s="352"/>
      <c r="EDP19" s="352"/>
      <c r="EDQ19" s="352"/>
      <c r="EDR19" s="352"/>
      <c r="EDS19" s="352"/>
      <c r="EDT19" s="352"/>
      <c r="EDU19" s="352"/>
      <c r="EDV19" s="352"/>
      <c r="EDW19" s="352"/>
      <c r="EDX19" s="352"/>
      <c r="EDY19" s="352"/>
      <c r="EDZ19" s="352"/>
      <c r="EEA19" s="352"/>
      <c r="EEB19" s="352"/>
      <c r="EEC19" s="352"/>
      <c r="EED19" s="352"/>
      <c r="EEE19" s="352"/>
      <c r="EEF19" s="352"/>
      <c r="EEG19" s="352"/>
      <c r="EEH19" s="352"/>
      <c r="EEI19" s="352"/>
      <c r="EEJ19" s="352"/>
      <c r="EEK19" s="352"/>
      <c r="EEL19" s="352"/>
      <c r="EEM19" s="352"/>
      <c r="EEN19" s="352"/>
      <c r="EEO19" s="352"/>
      <c r="EEP19" s="352"/>
      <c r="EEQ19" s="352"/>
      <c r="EER19" s="352"/>
      <c r="EES19" s="352"/>
      <c r="EET19" s="352"/>
      <c r="EEU19" s="352"/>
      <c r="EEV19" s="352"/>
      <c r="EEW19" s="352"/>
      <c r="EEX19" s="352"/>
      <c r="EEY19" s="352"/>
      <c r="EEZ19" s="352"/>
      <c r="EFA19" s="352"/>
      <c r="EFB19" s="352"/>
      <c r="EFC19" s="352"/>
      <c r="EFD19" s="352"/>
      <c r="EFE19" s="352"/>
      <c r="EFF19" s="352"/>
      <c r="EFG19" s="352"/>
      <c r="EFH19" s="352"/>
      <c r="EFI19" s="352"/>
      <c r="EFJ19" s="352"/>
      <c r="EFK19" s="352"/>
      <c r="EFL19" s="352"/>
      <c r="EFM19" s="352"/>
      <c r="EFN19" s="352"/>
      <c r="EFO19" s="352"/>
      <c r="EFP19" s="352"/>
      <c r="EFQ19" s="352"/>
      <c r="EFR19" s="352"/>
      <c r="EFS19" s="352"/>
      <c r="EFT19" s="352"/>
      <c r="EFU19" s="352"/>
      <c r="EFV19" s="352"/>
      <c r="EFW19" s="352"/>
      <c r="EFX19" s="352"/>
      <c r="EFY19" s="352"/>
      <c r="EFZ19" s="352"/>
      <c r="EGA19" s="352"/>
      <c r="EGB19" s="352"/>
      <c r="EGC19" s="352"/>
      <c r="EGD19" s="352"/>
      <c r="EGE19" s="352"/>
      <c r="EGF19" s="352"/>
      <c r="EGG19" s="352"/>
      <c r="EGH19" s="352"/>
      <c r="EGI19" s="352"/>
      <c r="EGJ19" s="352"/>
      <c r="EGK19" s="352"/>
      <c r="EGL19" s="352"/>
      <c r="EGM19" s="352"/>
      <c r="EGN19" s="352"/>
      <c r="EGO19" s="352"/>
      <c r="EGP19" s="352"/>
      <c r="EGQ19" s="352"/>
      <c r="EGR19" s="352"/>
      <c r="EGS19" s="352"/>
      <c r="EGT19" s="352"/>
      <c r="EGU19" s="352"/>
      <c r="EGV19" s="352"/>
      <c r="EGW19" s="352"/>
      <c r="EGX19" s="352"/>
      <c r="EGY19" s="352"/>
      <c r="EGZ19" s="352"/>
      <c r="EHA19" s="352"/>
      <c r="EHB19" s="352"/>
      <c r="EHC19" s="352"/>
      <c r="EHD19" s="352"/>
      <c r="EHE19" s="352"/>
      <c r="EHF19" s="352"/>
      <c r="EHG19" s="352"/>
      <c r="EHH19" s="352"/>
      <c r="EHI19" s="352"/>
      <c r="EHJ19" s="352"/>
      <c r="EHK19" s="352"/>
      <c r="EHL19" s="352"/>
      <c r="EHM19" s="352"/>
      <c r="EHN19" s="352"/>
      <c r="EHO19" s="352"/>
      <c r="EHP19" s="352"/>
      <c r="EHQ19" s="352"/>
      <c r="EHR19" s="352"/>
      <c r="EHS19" s="352"/>
      <c r="EHT19" s="352"/>
      <c r="EHU19" s="352"/>
      <c r="EHV19" s="352"/>
      <c r="EHW19" s="352"/>
      <c r="EHX19" s="352"/>
      <c r="EHY19" s="352"/>
      <c r="EHZ19" s="352"/>
      <c r="EIA19" s="352"/>
      <c r="EIB19" s="352"/>
      <c r="EIC19" s="352"/>
      <c r="EID19" s="352"/>
      <c r="EIE19" s="352"/>
      <c r="EIF19" s="352"/>
      <c r="EIG19" s="352"/>
      <c r="EIH19" s="352"/>
      <c r="EII19" s="352"/>
      <c r="EIJ19" s="352"/>
      <c r="EIK19" s="352"/>
      <c r="EIL19" s="352"/>
      <c r="EIM19" s="352"/>
      <c r="EIN19" s="352"/>
      <c r="EIO19" s="352"/>
      <c r="EIP19" s="352"/>
      <c r="EIQ19" s="352"/>
      <c r="EIR19" s="352"/>
      <c r="EIS19" s="352"/>
      <c r="EIT19" s="352"/>
      <c r="EIU19" s="352"/>
      <c r="EIV19" s="352"/>
      <c r="EIW19" s="352"/>
      <c r="EIX19" s="352"/>
      <c r="EIY19" s="352"/>
      <c r="EIZ19" s="352"/>
      <c r="EJA19" s="352"/>
      <c r="EJB19" s="352"/>
      <c r="EJC19" s="352"/>
      <c r="EJD19" s="352"/>
      <c r="EJE19" s="352"/>
      <c r="EJF19" s="352"/>
      <c r="EJG19" s="352"/>
      <c r="EJH19" s="352"/>
      <c r="EJI19" s="352"/>
      <c r="EJJ19" s="352"/>
      <c r="EJK19" s="352"/>
      <c r="EJL19" s="352"/>
      <c r="EJM19" s="352"/>
      <c r="EJN19" s="352"/>
      <c r="EJO19" s="352"/>
      <c r="EJP19" s="352"/>
      <c r="EJQ19" s="352"/>
      <c r="EJR19" s="352"/>
      <c r="EJS19" s="352"/>
      <c r="EJT19" s="352"/>
      <c r="EJU19" s="352"/>
      <c r="EJV19" s="352"/>
      <c r="EJW19" s="352"/>
      <c r="EJX19" s="352"/>
      <c r="EJY19" s="352"/>
      <c r="EJZ19" s="352"/>
      <c r="EKA19" s="352"/>
      <c r="EKB19" s="352"/>
      <c r="EKC19" s="352"/>
      <c r="EKD19" s="352"/>
      <c r="EKE19" s="352"/>
      <c r="EKF19" s="352"/>
      <c r="EKG19" s="352"/>
      <c r="EKH19" s="352"/>
      <c r="EKI19" s="352"/>
      <c r="EKJ19" s="352"/>
      <c r="EKK19" s="352"/>
      <c r="EKL19" s="352"/>
      <c r="EKM19" s="352"/>
      <c r="EKN19" s="352"/>
      <c r="EKO19" s="352"/>
      <c r="EKP19" s="352"/>
      <c r="EKQ19" s="352"/>
      <c r="EKR19" s="352"/>
      <c r="EKS19" s="352"/>
      <c r="EKT19" s="352"/>
      <c r="EKU19" s="352"/>
      <c r="EKV19" s="352"/>
      <c r="EKW19" s="352"/>
      <c r="EKX19" s="352"/>
      <c r="EKY19" s="352"/>
      <c r="EKZ19" s="352"/>
      <c r="ELA19" s="352"/>
      <c r="ELB19" s="352"/>
      <c r="ELC19" s="352"/>
      <c r="ELD19" s="352"/>
      <c r="ELE19" s="352"/>
      <c r="ELF19" s="352"/>
      <c r="ELG19" s="352"/>
      <c r="ELH19" s="352"/>
      <c r="ELI19" s="352"/>
      <c r="ELJ19" s="352"/>
      <c r="ELK19" s="352"/>
      <c r="ELL19" s="352"/>
      <c r="ELM19" s="352"/>
      <c r="ELN19" s="352"/>
      <c r="ELO19" s="352"/>
      <c r="ELP19" s="352"/>
      <c r="ELQ19" s="352"/>
      <c r="ELR19" s="352"/>
      <c r="ELS19" s="352"/>
      <c r="ELT19" s="352"/>
      <c r="ELU19" s="352"/>
      <c r="ELV19" s="352"/>
      <c r="ELW19" s="352"/>
      <c r="ELX19" s="352"/>
      <c r="ELY19" s="352"/>
      <c r="ELZ19" s="352"/>
      <c r="EMA19" s="352"/>
      <c r="EMB19" s="352"/>
      <c r="EMC19" s="352"/>
      <c r="EMD19" s="352"/>
      <c r="EME19" s="352"/>
      <c r="EMF19" s="352"/>
      <c r="EMG19" s="352"/>
      <c r="EMH19" s="352"/>
      <c r="EMI19" s="352"/>
      <c r="EMJ19" s="352"/>
      <c r="EMK19" s="352"/>
      <c r="EML19" s="352"/>
      <c r="EMM19" s="352"/>
      <c r="EMN19" s="352"/>
      <c r="EMO19" s="352"/>
      <c r="EMP19" s="352"/>
      <c r="EMQ19" s="352"/>
      <c r="EMR19" s="352"/>
      <c r="EMS19" s="352"/>
      <c r="EMT19" s="352"/>
      <c r="EMU19" s="352"/>
      <c r="EMV19" s="352"/>
      <c r="EMW19" s="352"/>
      <c r="EMX19" s="352"/>
      <c r="EMY19" s="352"/>
      <c r="EMZ19" s="352"/>
      <c r="ENA19" s="352"/>
      <c r="ENB19" s="352"/>
      <c r="ENC19" s="352"/>
      <c r="END19" s="352"/>
      <c r="ENE19" s="352"/>
      <c r="ENF19" s="352"/>
      <c r="ENG19" s="352"/>
      <c r="ENH19" s="352"/>
      <c r="ENI19" s="352"/>
      <c r="ENJ19" s="352"/>
      <c r="ENK19" s="352"/>
      <c r="ENL19" s="352"/>
      <c r="ENM19" s="352"/>
      <c r="ENN19" s="352"/>
      <c r="ENO19" s="352"/>
      <c r="ENP19" s="352"/>
      <c r="ENQ19" s="352"/>
      <c r="ENR19" s="352"/>
      <c r="ENS19" s="352"/>
      <c r="ENT19" s="352"/>
      <c r="ENU19" s="352"/>
      <c r="ENV19" s="352"/>
      <c r="ENW19" s="352"/>
      <c r="ENX19" s="352"/>
      <c r="ENY19" s="352"/>
      <c r="ENZ19" s="352"/>
      <c r="EOA19" s="352"/>
      <c r="EOB19" s="352"/>
      <c r="EOC19" s="352"/>
      <c r="EOD19" s="352"/>
      <c r="EOE19" s="352"/>
      <c r="EOF19" s="352"/>
      <c r="EOG19" s="352"/>
      <c r="EOH19" s="352"/>
      <c r="EOI19" s="352"/>
      <c r="EOJ19" s="352"/>
      <c r="EOK19" s="352"/>
      <c r="EOL19" s="352"/>
      <c r="EOM19" s="352"/>
      <c r="EON19" s="352"/>
      <c r="EOO19" s="352"/>
      <c r="EOP19" s="352"/>
      <c r="EOQ19" s="352"/>
      <c r="EOR19" s="352"/>
      <c r="EOS19" s="352"/>
      <c r="EOT19" s="352"/>
      <c r="EOU19" s="352"/>
      <c r="EOV19" s="352"/>
      <c r="EOW19" s="352"/>
      <c r="EOX19" s="352"/>
      <c r="EOY19" s="352"/>
      <c r="EOZ19" s="352"/>
      <c r="EPA19" s="352"/>
      <c r="EPB19" s="352"/>
      <c r="EPC19" s="352"/>
      <c r="EPD19" s="352"/>
      <c r="EPE19" s="352"/>
      <c r="EPF19" s="352"/>
      <c r="EPG19" s="352"/>
      <c r="EPH19" s="352"/>
      <c r="EPI19" s="352"/>
      <c r="EPJ19" s="352"/>
      <c r="EPK19" s="352"/>
      <c r="EPL19" s="352"/>
      <c r="EPM19" s="352"/>
      <c r="EPN19" s="352"/>
      <c r="EPO19" s="352"/>
      <c r="EPP19" s="352"/>
      <c r="EPQ19" s="352"/>
      <c r="EPR19" s="352"/>
      <c r="EPS19" s="352"/>
      <c r="EPT19" s="352"/>
      <c r="EPU19" s="352"/>
      <c r="EPV19" s="352"/>
      <c r="EPW19" s="352"/>
      <c r="EPX19" s="352"/>
      <c r="EPY19" s="352"/>
      <c r="EPZ19" s="352"/>
      <c r="EQA19" s="352"/>
      <c r="EQB19" s="352"/>
      <c r="EQC19" s="352"/>
      <c r="EQD19" s="352"/>
      <c r="EQE19" s="352"/>
      <c r="EQF19" s="352"/>
      <c r="EQG19" s="352"/>
      <c r="EQH19" s="352"/>
      <c r="EQI19" s="352"/>
      <c r="EQJ19" s="352"/>
      <c r="EQK19" s="352"/>
      <c r="EQL19" s="352"/>
      <c r="EQM19" s="352"/>
      <c r="EQN19" s="352"/>
      <c r="EQO19" s="352"/>
      <c r="EQP19" s="352"/>
      <c r="EQQ19" s="352"/>
      <c r="EQR19" s="352"/>
      <c r="EQS19" s="352"/>
      <c r="EQT19" s="352"/>
      <c r="EQU19" s="352"/>
      <c r="EQV19" s="352"/>
      <c r="EQW19" s="352"/>
      <c r="EQX19" s="352"/>
      <c r="EQY19" s="352"/>
      <c r="EQZ19" s="352"/>
      <c r="ERA19" s="352"/>
      <c r="ERB19" s="352"/>
      <c r="ERC19" s="352"/>
      <c r="ERD19" s="352"/>
      <c r="ERE19" s="352"/>
      <c r="ERF19" s="352"/>
      <c r="ERG19" s="352"/>
      <c r="ERH19" s="352"/>
      <c r="ERI19" s="352"/>
      <c r="ERJ19" s="352"/>
      <c r="ERK19" s="352"/>
      <c r="ERL19" s="352"/>
      <c r="ERM19" s="352"/>
      <c r="ERN19" s="352"/>
      <c r="ERO19" s="352"/>
      <c r="ERP19" s="352"/>
      <c r="ERQ19" s="352"/>
      <c r="ERR19" s="352"/>
      <c r="ERS19" s="352"/>
      <c r="ERT19" s="352"/>
      <c r="ERU19" s="352"/>
      <c r="ERV19" s="352"/>
      <c r="ERW19" s="352"/>
      <c r="ERX19" s="352"/>
      <c r="ERY19" s="352"/>
      <c r="ERZ19" s="352"/>
      <c r="ESA19" s="352"/>
      <c r="ESB19" s="352"/>
      <c r="ESC19" s="352"/>
      <c r="ESD19" s="352"/>
      <c r="ESE19" s="352"/>
      <c r="ESF19" s="352"/>
      <c r="ESG19" s="352"/>
      <c r="ESH19" s="352"/>
      <c r="ESI19" s="352"/>
      <c r="ESJ19" s="352"/>
      <c r="ESK19" s="352"/>
      <c r="ESL19" s="352"/>
      <c r="ESM19" s="352"/>
      <c r="ESN19" s="352"/>
      <c r="ESO19" s="352"/>
      <c r="ESP19" s="352"/>
      <c r="ESQ19" s="352"/>
      <c r="ESR19" s="352"/>
      <c r="ESS19" s="352"/>
      <c r="EST19" s="352"/>
      <c r="ESU19" s="352"/>
      <c r="ESV19" s="352"/>
      <c r="ESW19" s="352"/>
      <c r="ESX19" s="352"/>
      <c r="ESY19" s="352"/>
      <c r="ESZ19" s="352"/>
      <c r="ETA19" s="352"/>
      <c r="ETB19" s="352"/>
      <c r="ETC19" s="352"/>
      <c r="ETD19" s="352"/>
      <c r="ETE19" s="352"/>
      <c r="ETF19" s="352"/>
      <c r="ETG19" s="352"/>
      <c r="ETH19" s="352"/>
      <c r="ETI19" s="352"/>
      <c r="ETJ19" s="352"/>
      <c r="ETK19" s="352"/>
      <c r="ETL19" s="352"/>
      <c r="ETM19" s="352"/>
      <c r="ETN19" s="352"/>
      <c r="ETO19" s="352"/>
      <c r="ETP19" s="352"/>
      <c r="ETQ19" s="352"/>
      <c r="ETR19" s="352"/>
      <c r="ETS19" s="352"/>
      <c r="ETT19" s="352"/>
      <c r="ETU19" s="352"/>
      <c r="ETV19" s="352"/>
      <c r="ETW19" s="352"/>
      <c r="ETX19" s="352"/>
      <c r="ETY19" s="352"/>
      <c r="ETZ19" s="352"/>
      <c r="EUA19" s="352"/>
      <c r="EUB19" s="352"/>
      <c r="EUC19" s="352"/>
      <c r="EUD19" s="352"/>
      <c r="EUE19" s="352"/>
      <c r="EUF19" s="352"/>
      <c r="EUG19" s="352"/>
      <c r="EUH19" s="352"/>
      <c r="EUI19" s="352"/>
      <c r="EUJ19" s="352"/>
      <c r="EUK19" s="352"/>
      <c r="EUL19" s="352"/>
      <c r="EUM19" s="352"/>
      <c r="EUN19" s="352"/>
      <c r="EUO19" s="352"/>
      <c r="EUP19" s="352"/>
      <c r="EUQ19" s="352"/>
      <c r="EUR19" s="352"/>
      <c r="EUS19" s="352"/>
      <c r="EUT19" s="352"/>
      <c r="EUU19" s="352"/>
      <c r="EUV19" s="352"/>
      <c r="EUW19" s="352"/>
      <c r="EUX19" s="352"/>
      <c r="EUY19" s="352"/>
      <c r="EUZ19" s="352"/>
      <c r="EVA19" s="352"/>
      <c r="EVB19" s="352"/>
      <c r="EVC19" s="352"/>
      <c r="EVD19" s="352"/>
      <c r="EVE19" s="352"/>
      <c r="EVF19" s="352"/>
      <c r="EVG19" s="352"/>
      <c r="EVH19" s="352"/>
      <c r="EVI19" s="352"/>
      <c r="EVJ19" s="352"/>
      <c r="EVK19" s="352"/>
      <c r="EVL19" s="352"/>
      <c r="EVM19" s="352"/>
      <c r="EVN19" s="352"/>
      <c r="EVO19" s="352"/>
      <c r="EVP19" s="352"/>
      <c r="EVQ19" s="352"/>
      <c r="EVR19" s="352"/>
      <c r="EVS19" s="352"/>
      <c r="EVT19" s="352"/>
      <c r="EVU19" s="352"/>
      <c r="EVV19" s="352"/>
      <c r="EVW19" s="352"/>
      <c r="EVX19" s="352"/>
      <c r="EVY19" s="352"/>
      <c r="EVZ19" s="352"/>
      <c r="EWA19" s="352"/>
      <c r="EWB19" s="352"/>
      <c r="EWC19" s="352"/>
      <c r="EWD19" s="352"/>
      <c r="EWE19" s="352"/>
      <c r="EWF19" s="352"/>
      <c r="EWG19" s="352"/>
      <c r="EWH19" s="352"/>
      <c r="EWI19" s="352"/>
      <c r="EWJ19" s="352"/>
      <c r="EWK19" s="352"/>
      <c r="EWL19" s="352"/>
      <c r="EWM19" s="352"/>
      <c r="EWN19" s="352"/>
      <c r="EWO19" s="352"/>
      <c r="EWP19" s="352"/>
      <c r="EWQ19" s="352"/>
      <c r="EWR19" s="352"/>
      <c r="EWS19" s="352"/>
      <c r="EWT19" s="352"/>
      <c r="EWU19" s="352"/>
      <c r="EWV19" s="352"/>
      <c r="EWW19" s="352"/>
      <c r="EWX19" s="352"/>
      <c r="EWY19" s="352"/>
      <c r="EWZ19" s="352"/>
      <c r="EXA19" s="352"/>
      <c r="EXB19" s="352"/>
      <c r="EXC19" s="352"/>
      <c r="EXD19" s="352"/>
      <c r="EXE19" s="352"/>
      <c r="EXF19" s="352"/>
      <c r="EXG19" s="352"/>
      <c r="EXH19" s="352"/>
      <c r="EXI19" s="352"/>
      <c r="EXJ19" s="352"/>
      <c r="EXK19" s="352"/>
      <c r="EXL19" s="352"/>
      <c r="EXM19" s="352"/>
      <c r="EXN19" s="352"/>
      <c r="EXO19" s="352"/>
      <c r="EXP19" s="352"/>
      <c r="EXQ19" s="352"/>
      <c r="EXR19" s="352"/>
      <c r="EXS19" s="352"/>
      <c r="EXT19" s="352"/>
      <c r="EXU19" s="352"/>
      <c r="EXV19" s="352"/>
      <c r="EXW19" s="352"/>
      <c r="EXX19" s="352"/>
      <c r="EXY19" s="352"/>
      <c r="EXZ19" s="352"/>
      <c r="EYA19" s="352"/>
      <c r="EYB19" s="352"/>
      <c r="EYC19" s="352"/>
      <c r="EYD19" s="352"/>
      <c r="EYE19" s="352"/>
      <c r="EYF19" s="352"/>
      <c r="EYG19" s="352"/>
      <c r="EYH19" s="352"/>
      <c r="EYI19" s="352"/>
      <c r="EYJ19" s="352"/>
      <c r="EYK19" s="352"/>
      <c r="EYL19" s="352"/>
      <c r="EYM19" s="352"/>
      <c r="EYN19" s="352"/>
      <c r="EYO19" s="352"/>
      <c r="EYP19" s="352"/>
      <c r="EYQ19" s="352"/>
      <c r="EYR19" s="352"/>
      <c r="EYS19" s="352"/>
      <c r="EYT19" s="352"/>
      <c r="EYU19" s="352"/>
      <c r="EYV19" s="352"/>
      <c r="EYW19" s="352"/>
      <c r="EYX19" s="352"/>
      <c r="EYY19" s="352"/>
      <c r="EYZ19" s="352"/>
      <c r="EZA19" s="352"/>
      <c r="EZB19" s="352"/>
      <c r="EZC19" s="352"/>
      <c r="EZD19" s="352"/>
      <c r="EZE19" s="352"/>
      <c r="EZF19" s="352"/>
      <c r="EZG19" s="352"/>
      <c r="EZH19" s="352"/>
      <c r="EZI19" s="352"/>
      <c r="EZJ19" s="352"/>
      <c r="EZK19" s="352"/>
      <c r="EZL19" s="352"/>
      <c r="EZM19" s="352"/>
      <c r="EZN19" s="352"/>
      <c r="EZO19" s="352"/>
      <c r="EZP19" s="352"/>
      <c r="EZQ19" s="352"/>
      <c r="EZR19" s="352"/>
      <c r="EZS19" s="352"/>
      <c r="EZT19" s="352"/>
      <c r="EZU19" s="352"/>
      <c r="EZV19" s="352"/>
      <c r="EZW19" s="352"/>
      <c r="EZX19" s="352"/>
      <c r="EZY19" s="352"/>
      <c r="EZZ19" s="352"/>
      <c r="FAA19" s="352"/>
      <c r="FAB19" s="352"/>
      <c r="FAC19" s="352"/>
      <c r="FAD19" s="352"/>
      <c r="FAE19" s="352"/>
      <c r="FAF19" s="352"/>
      <c r="FAG19" s="352"/>
      <c r="FAH19" s="352"/>
      <c r="FAI19" s="352"/>
      <c r="FAJ19" s="352"/>
      <c r="FAK19" s="352"/>
      <c r="FAL19" s="352"/>
      <c r="FAM19" s="352"/>
      <c r="FAN19" s="352"/>
      <c r="FAO19" s="352"/>
      <c r="FAP19" s="352"/>
      <c r="FAQ19" s="352"/>
      <c r="FAR19" s="352"/>
      <c r="FAS19" s="352"/>
      <c r="FAT19" s="352"/>
      <c r="FAU19" s="352"/>
      <c r="FAV19" s="352"/>
      <c r="FAW19" s="352"/>
      <c r="FAX19" s="352"/>
      <c r="FAY19" s="352"/>
      <c r="FAZ19" s="352"/>
      <c r="FBA19" s="352"/>
      <c r="FBB19" s="352"/>
      <c r="FBC19" s="352"/>
      <c r="FBD19" s="352"/>
      <c r="FBE19" s="352"/>
      <c r="FBF19" s="352"/>
      <c r="FBG19" s="352"/>
      <c r="FBH19" s="352"/>
      <c r="FBI19" s="352"/>
      <c r="FBJ19" s="352"/>
      <c r="FBK19" s="352"/>
      <c r="FBL19" s="352"/>
      <c r="FBM19" s="352"/>
      <c r="FBN19" s="352"/>
      <c r="FBO19" s="352"/>
      <c r="FBP19" s="352"/>
      <c r="FBQ19" s="352"/>
      <c r="FBR19" s="352"/>
      <c r="FBS19" s="352"/>
      <c r="FBT19" s="352"/>
      <c r="FBU19" s="352"/>
      <c r="FBV19" s="352"/>
      <c r="FBW19" s="352"/>
      <c r="FBX19" s="352"/>
      <c r="FBY19" s="352"/>
      <c r="FBZ19" s="352"/>
      <c r="FCA19" s="352"/>
      <c r="FCB19" s="352"/>
      <c r="FCC19" s="352"/>
      <c r="FCD19" s="352"/>
      <c r="FCE19" s="352"/>
      <c r="FCF19" s="352"/>
      <c r="FCG19" s="352"/>
      <c r="FCH19" s="352"/>
      <c r="FCI19" s="352"/>
      <c r="FCJ19" s="352"/>
      <c r="FCK19" s="352"/>
      <c r="FCL19" s="352"/>
      <c r="FCM19" s="352"/>
      <c r="FCN19" s="352"/>
      <c r="FCO19" s="352"/>
      <c r="FCP19" s="352"/>
      <c r="FCQ19" s="352"/>
      <c r="FCR19" s="352"/>
      <c r="FCS19" s="352"/>
      <c r="FCT19" s="352"/>
      <c r="FCU19" s="352"/>
      <c r="FCV19" s="352"/>
      <c r="FCW19" s="352"/>
      <c r="FCX19" s="352"/>
      <c r="FCY19" s="352"/>
      <c r="FCZ19" s="352"/>
      <c r="FDA19" s="352"/>
      <c r="FDB19" s="352"/>
      <c r="FDC19" s="352"/>
      <c r="FDD19" s="352"/>
      <c r="FDE19" s="352"/>
      <c r="FDF19" s="352"/>
      <c r="FDG19" s="352"/>
      <c r="FDH19" s="352"/>
      <c r="FDI19" s="352"/>
      <c r="FDJ19" s="352"/>
      <c r="FDK19" s="352"/>
      <c r="FDL19" s="352"/>
      <c r="FDM19" s="352"/>
      <c r="FDN19" s="352"/>
      <c r="FDO19" s="352"/>
      <c r="FDP19" s="352"/>
      <c r="FDQ19" s="352"/>
      <c r="FDR19" s="352"/>
      <c r="FDS19" s="352"/>
      <c r="FDT19" s="352"/>
      <c r="FDU19" s="352"/>
      <c r="FDV19" s="352"/>
      <c r="FDW19" s="352"/>
      <c r="FDX19" s="352"/>
      <c r="FDY19" s="352"/>
      <c r="FDZ19" s="352"/>
      <c r="FEA19" s="352"/>
      <c r="FEB19" s="352"/>
      <c r="FEC19" s="352"/>
      <c r="FED19" s="352"/>
      <c r="FEE19" s="352"/>
      <c r="FEF19" s="352"/>
      <c r="FEG19" s="352"/>
      <c r="FEH19" s="352"/>
      <c r="FEI19" s="352"/>
      <c r="FEJ19" s="352"/>
      <c r="FEK19" s="352"/>
      <c r="FEL19" s="352"/>
      <c r="FEM19" s="352"/>
      <c r="FEN19" s="352"/>
      <c r="FEO19" s="352"/>
      <c r="FEP19" s="352"/>
      <c r="FEQ19" s="352"/>
      <c r="FER19" s="352"/>
      <c r="FES19" s="352"/>
      <c r="FET19" s="352"/>
      <c r="FEU19" s="352"/>
      <c r="FEV19" s="352"/>
      <c r="FEW19" s="352"/>
      <c r="FEX19" s="352"/>
      <c r="FEY19" s="352"/>
      <c r="FEZ19" s="352"/>
      <c r="FFA19" s="352"/>
      <c r="FFB19" s="352"/>
      <c r="FFC19" s="352"/>
      <c r="FFD19" s="352"/>
      <c r="FFE19" s="352"/>
      <c r="FFF19" s="352"/>
      <c r="FFG19" s="352"/>
      <c r="FFH19" s="352"/>
      <c r="FFI19" s="352"/>
      <c r="FFJ19" s="352"/>
      <c r="FFK19" s="352"/>
      <c r="FFL19" s="352"/>
      <c r="FFM19" s="352"/>
      <c r="FFN19" s="352"/>
      <c r="FFO19" s="352"/>
      <c r="FFP19" s="352"/>
      <c r="FFQ19" s="352"/>
      <c r="FFR19" s="352"/>
      <c r="FFS19" s="352"/>
      <c r="FFT19" s="352"/>
      <c r="FFU19" s="352"/>
      <c r="FFV19" s="352"/>
      <c r="FFW19" s="352"/>
      <c r="FFX19" s="352"/>
      <c r="FFY19" s="352"/>
      <c r="FFZ19" s="352"/>
      <c r="FGA19" s="352"/>
      <c r="FGB19" s="352"/>
      <c r="FGC19" s="352"/>
      <c r="FGD19" s="352"/>
      <c r="FGE19" s="352"/>
      <c r="FGF19" s="352"/>
      <c r="FGG19" s="352"/>
      <c r="FGH19" s="352"/>
      <c r="FGI19" s="352"/>
      <c r="FGJ19" s="352"/>
      <c r="FGK19" s="352"/>
      <c r="FGL19" s="352"/>
      <c r="FGM19" s="352"/>
      <c r="FGN19" s="352"/>
      <c r="FGO19" s="352"/>
      <c r="FGP19" s="352"/>
      <c r="FGQ19" s="352"/>
      <c r="FGR19" s="352"/>
      <c r="FGS19" s="352"/>
      <c r="FGT19" s="352"/>
      <c r="FGU19" s="352"/>
      <c r="FGV19" s="352"/>
      <c r="FGW19" s="352"/>
      <c r="FGX19" s="352"/>
      <c r="FGY19" s="352"/>
      <c r="FGZ19" s="352"/>
      <c r="FHA19" s="352"/>
      <c r="FHB19" s="352"/>
      <c r="FHC19" s="352"/>
      <c r="FHD19" s="352"/>
      <c r="FHE19" s="352"/>
      <c r="FHF19" s="352"/>
      <c r="FHG19" s="352"/>
      <c r="FHH19" s="352"/>
      <c r="FHI19" s="352"/>
      <c r="FHJ19" s="352"/>
      <c r="FHK19" s="352"/>
      <c r="FHL19" s="352"/>
      <c r="FHM19" s="352"/>
      <c r="FHN19" s="352"/>
      <c r="FHO19" s="352"/>
      <c r="FHP19" s="352"/>
      <c r="FHQ19" s="352"/>
      <c r="FHR19" s="352"/>
      <c r="FHS19" s="352"/>
      <c r="FHT19" s="352"/>
      <c r="FHU19" s="352"/>
      <c r="FHV19" s="352"/>
      <c r="FHW19" s="352"/>
      <c r="FHX19" s="352"/>
      <c r="FHY19" s="352"/>
      <c r="FHZ19" s="352"/>
      <c r="FIA19" s="352"/>
      <c r="FIB19" s="352"/>
      <c r="FIC19" s="352"/>
      <c r="FID19" s="352"/>
      <c r="FIE19" s="352"/>
      <c r="FIF19" s="352"/>
      <c r="FIG19" s="352"/>
      <c r="FIH19" s="352"/>
      <c r="FII19" s="352"/>
      <c r="FIJ19" s="352"/>
      <c r="FIK19" s="352"/>
      <c r="FIL19" s="352"/>
      <c r="FIM19" s="352"/>
      <c r="FIN19" s="352"/>
      <c r="FIO19" s="352"/>
      <c r="FIP19" s="352"/>
      <c r="FIQ19" s="352"/>
      <c r="FIR19" s="352"/>
      <c r="FIS19" s="352"/>
      <c r="FIT19" s="352"/>
      <c r="FIU19" s="352"/>
      <c r="FIV19" s="352"/>
      <c r="FIW19" s="352"/>
      <c r="FIX19" s="352"/>
      <c r="FIY19" s="352"/>
      <c r="FIZ19" s="352"/>
      <c r="FJA19" s="352"/>
      <c r="FJB19" s="352"/>
      <c r="FJC19" s="352"/>
      <c r="FJD19" s="352"/>
      <c r="FJE19" s="352"/>
      <c r="FJF19" s="352"/>
      <c r="FJG19" s="352"/>
      <c r="FJH19" s="352"/>
      <c r="FJI19" s="352"/>
      <c r="FJJ19" s="352"/>
      <c r="FJK19" s="352"/>
      <c r="FJL19" s="352"/>
      <c r="FJM19" s="352"/>
      <c r="FJN19" s="352"/>
      <c r="FJO19" s="352"/>
      <c r="FJP19" s="352"/>
      <c r="FJQ19" s="352"/>
      <c r="FJR19" s="352"/>
      <c r="FJS19" s="352"/>
      <c r="FJT19" s="352"/>
      <c r="FJU19" s="352"/>
      <c r="FJV19" s="352"/>
      <c r="FJW19" s="352"/>
      <c r="FJX19" s="352"/>
      <c r="FJY19" s="352"/>
      <c r="FJZ19" s="352"/>
      <c r="FKA19" s="352"/>
      <c r="FKB19" s="352"/>
      <c r="FKC19" s="352"/>
      <c r="FKD19" s="352"/>
      <c r="FKE19" s="352"/>
      <c r="FKF19" s="352"/>
      <c r="FKG19" s="352"/>
      <c r="FKH19" s="352"/>
      <c r="FKI19" s="352"/>
      <c r="FKJ19" s="352"/>
      <c r="FKK19" s="352"/>
      <c r="FKL19" s="352"/>
      <c r="FKM19" s="352"/>
      <c r="FKN19" s="352"/>
      <c r="FKO19" s="352"/>
      <c r="FKP19" s="352"/>
      <c r="FKQ19" s="352"/>
      <c r="FKR19" s="352"/>
      <c r="FKS19" s="352"/>
      <c r="FKT19" s="352"/>
      <c r="FKU19" s="352"/>
      <c r="FKV19" s="352"/>
      <c r="FKW19" s="352"/>
      <c r="FKX19" s="352"/>
      <c r="FKY19" s="352"/>
      <c r="FKZ19" s="352"/>
      <c r="FLA19" s="352"/>
      <c r="FLB19" s="352"/>
      <c r="FLC19" s="352"/>
      <c r="FLD19" s="352"/>
      <c r="FLE19" s="352"/>
      <c r="FLF19" s="352"/>
      <c r="FLG19" s="352"/>
      <c r="FLH19" s="352"/>
      <c r="FLI19" s="352"/>
      <c r="FLJ19" s="352"/>
      <c r="FLK19" s="352"/>
      <c r="FLL19" s="352"/>
      <c r="FLM19" s="352"/>
      <c r="FLN19" s="352"/>
      <c r="FLO19" s="352"/>
      <c r="FLP19" s="352"/>
      <c r="FLQ19" s="352"/>
      <c r="FLR19" s="352"/>
      <c r="FLS19" s="352"/>
      <c r="FLT19" s="352"/>
      <c r="FLU19" s="352"/>
      <c r="FLV19" s="352"/>
      <c r="FLW19" s="352"/>
      <c r="FLX19" s="352"/>
      <c r="FLY19" s="352"/>
      <c r="FLZ19" s="352"/>
      <c r="FMA19" s="352"/>
      <c r="FMB19" s="352"/>
      <c r="FMC19" s="352"/>
      <c r="FMD19" s="352"/>
      <c r="FME19" s="352"/>
      <c r="FMF19" s="352"/>
      <c r="FMG19" s="352"/>
      <c r="FMH19" s="352"/>
      <c r="FMI19" s="352"/>
      <c r="FMJ19" s="352"/>
      <c r="FMK19" s="352"/>
      <c r="FML19" s="352"/>
      <c r="FMM19" s="352"/>
      <c r="FMN19" s="352"/>
      <c r="FMO19" s="352"/>
      <c r="FMP19" s="352"/>
      <c r="FMQ19" s="352"/>
      <c r="FMR19" s="352"/>
      <c r="FMS19" s="352"/>
      <c r="FMT19" s="352"/>
      <c r="FMU19" s="352"/>
      <c r="FMV19" s="352"/>
      <c r="FMW19" s="352"/>
      <c r="FMX19" s="352"/>
      <c r="FMY19" s="352"/>
      <c r="FMZ19" s="352"/>
      <c r="FNA19" s="352"/>
      <c r="FNB19" s="352"/>
      <c r="FNC19" s="352"/>
      <c r="FND19" s="352"/>
      <c r="FNE19" s="352"/>
      <c r="FNF19" s="352"/>
      <c r="FNG19" s="352"/>
      <c r="FNH19" s="352"/>
      <c r="FNI19" s="352"/>
      <c r="FNJ19" s="352"/>
      <c r="FNK19" s="352"/>
      <c r="FNL19" s="352"/>
      <c r="FNM19" s="352"/>
      <c r="FNN19" s="352"/>
      <c r="FNO19" s="352"/>
      <c r="FNP19" s="352"/>
      <c r="FNQ19" s="352"/>
      <c r="FNR19" s="352"/>
      <c r="FNS19" s="352"/>
      <c r="FNT19" s="352"/>
      <c r="FNU19" s="352"/>
      <c r="FNV19" s="352"/>
      <c r="FNW19" s="352"/>
      <c r="FNX19" s="352"/>
      <c r="FNY19" s="352"/>
      <c r="FNZ19" s="352"/>
      <c r="FOA19" s="352"/>
      <c r="FOB19" s="352"/>
      <c r="FOC19" s="352"/>
      <c r="FOD19" s="352"/>
      <c r="FOE19" s="352"/>
      <c r="FOF19" s="352"/>
      <c r="FOG19" s="352"/>
      <c r="FOH19" s="352"/>
      <c r="FOI19" s="352"/>
      <c r="FOJ19" s="352"/>
      <c r="FOK19" s="352"/>
      <c r="FOL19" s="352"/>
      <c r="FOM19" s="352"/>
      <c r="FON19" s="352"/>
      <c r="FOO19" s="352"/>
      <c r="FOP19" s="352"/>
      <c r="FOQ19" s="352"/>
      <c r="FOR19" s="352"/>
      <c r="FOS19" s="352"/>
      <c r="FOT19" s="352"/>
      <c r="FOU19" s="352"/>
      <c r="FOV19" s="352"/>
      <c r="FOW19" s="352"/>
      <c r="FOX19" s="352"/>
      <c r="FOY19" s="352"/>
      <c r="FOZ19" s="352"/>
      <c r="FPA19" s="352"/>
      <c r="FPB19" s="352"/>
      <c r="FPC19" s="352"/>
      <c r="FPD19" s="352"/>
      <c r="FPE19" s="352"/>
      <c r="FPF19" s="352"/>
      <c r="FPG19" s="352"/>
      <c r="FPH19" s="352"/>
      <c r="FPI19" s="352"/>
      <c r="FPJ19" s="352"/>
      <c r="FPK19" s="352"/>
      <c r="FPL19" s="352"/>
      <c r="FPM19" s="352"/>
      <c r="FPN19" s="352"/>
      <c r="FPO19" s="352"/>
      <c r="FPP19" s="352"/>
      <c r="FPQ19" s="352"/>
      <c r="FPR19" s="352"/>
      <c r="FPS19" s="352"/>
      <c r="FPT19" s="352"/>
      <c r="FPU19" s="352"/>
      <c r="FPV19" s="352"/>
      <c r="FPW19" s="352"/>
      <c r="FPX19" s="352"/>
      <c r="FPY19" s="352"/>
      <c r="FPZ19" s="352"/>
      <c r="FQA19" s="352"/>
      <c r="FQB19" s="352"/>
      <c r="FQC19" s="352"/>
      <c r="FQD19" s="352"/>
      <c r="FQE19" s="352"/>
      <c r="FQF19" s="352"/>
      <c r="FQG19" s="352"/>
      <c r="FQH19" s="352"/>
      <c r="FQI19" s="352"/>
      <c r="FQJ19" s="352"/>
      <c r="FQK19" s="352"/>
      <c r="FQL19" s="352"/>
      <c r="FQM19" s="352"/>
      <c r="FQN19" s="352"/>
      <c r="FQO19" s="352"/>
      <c r="FQP19" s="352"/>
      <c r="FQQ19" s="352"/>
      <c r="FQR19" s="352"/>
      <c r="FQS19" s="352"/>
      <c r="FQT19" s="352"/>
      <c r="FQU19" s="352"/>
      <c r="FQV19" s="352"/>
      <c r="FQW19" s="352"/>
      <c r="FQX19" s="352"/>
      <c r="FQY19" s="352"/>
      <c r="FQZ19" s="352"/>
      <c r="FRA19" s="352"/>
      <c r="FRB19" s="352"/>
      <c r="FRC19" s="352"/>
      <c r="FRD19" s="352"/>
      <c r="FRE19" s="352"/>
      <c r="FRF19" s="352"/>
      <c r="FRG19" s="352"/>
      <c r="FRH19" s="352"/>
      <c r="FRI19" s="352"/>
      <c r="FRJ19" s="352"/>
      <c r="FRK19" s="352"/>
      <c r="FRL19" s="352"/>
      <c r="FRM19" s="352"/>
      <c r="FRN19" s="352"/>
      <c r="FRO19" s="352"/>
      <c r="FRP19" s="352"/>
      <c r="FRQ19" s="352"/>
      <c r="FRR19" s="352"/>
      <c r="FRS19" s="352"/>
      <c r="FRT19" s="352"/>
      <c r="FRU19" s="352"/>
      <c r="FRV19" s="352"/>
      <c r="FRW19" s="352"/>
      <c r="FRX19" s="352"/>
      <c r="FRY19" s="352"/>
      <c r="FRZ19" s="352"/>
      <c r="FSA19" s="352"/>
      <c r="FSB19" s="352"/>
      <c r="FSC19" s="352"/>
      <c r="FSD19" s="352"/>
      <c r="FSE19" s="352"/>
      <c r="FSF19" s="352"/>
      <c r="FSG19" s="352"/>
      <c r="FSH19" s="352"/>
      <c r="FSI19" s="352"/>
      <c r="FSJ19" s="352"/>
      <c r="FSK19" s="352"/>
      <c r="FSL19" s="352"/>
      <c r="FSM19" s="352"/>
      <c r="FSN19" s="352"/>
      <c r="FSO19" s="352"/>
      <c r="FSP19" s="352"/>
      <c r="FSQ19" s="352"/>
      <c r="FSR19" s="352"/>
      <c r="FSS19" s="352"/>
      <c r="FST19" s="352"/>
      <c r="FSU19" s="352"/>
      <c r="FSV19" s="352"/>
      <c r="FSW19" s="352"/>
      <c r="FSX19" s="352"/>
      <c r="FSY19" s="352"/>
      <c r="FSZ19" s="352"/>
      <c r="FTA19" s="352"/>
      <c r="FTB19" s="352"/>
      <c r="FTC19" s="352"/>
      <c r="FTD19" s="352"/>
      <c r="FTE19" s="352"/>
      <c r="FTF19" s="352"/>
      <c r="FTG19" s="352"/>
      <c r="FTH19" s="352"/>
      <c r="FTI19" s="352"/>
      <c r="FTJ19" s="352"/>
      <c r="FTK19" s="352"/>
      <c r="FTL19" s="352"/>
      <c r="FTM19" s="352"/>
      <c r="FTN19" s="352"/>
      <c r="FTO19" s="352"/>
      <c r="FTP19" s="352"/>
      <c r="FTQ19" s="352"/>
      <c r="FTR19" s="352"/>
      <c r="FTS19" s="352"/>
      <c r="FTT19" s="352"/>
      <c r="FTU19" s="352"/>
      <c r="FTV19" s="352"/>
      <c r="FTW19" s="352"/>
      <c r="FTX19" s="352"/>
      <c r="FTY19" s="352"/>
      <c r="FTZ19" s="352"/>
      <c r="FUA19" s="352"/>
      <c r="FUB19" s="352"/>
      <c r="FUC19" s="352"/>
      <c r="FUD19" s="352"/>
      <c r="FUE19" s="352"/>
      <c r="FUF19" s="352"/>
      <c r="FUG19" s="352"/>
      <c r="FUH19" s="352"/>
      <c r="FUI19" s="352"/>
      <c r="FUJ19" s="352"/>
      <c r="FUK19" s="352"/>
      <c r="FUL19" s="352"/>
      <c r="FUM19" s="352"/>
      <c r="FUN19" s="352"/>
      <c r="FUO19" s="352"/>
      <c r="FUP19" s="352"/>
      <c r="FUQ19" s="352"/>
      <c r="FUR19" s="352"/>
      <c r="FUS19" s="352"/>
      <c r="FUT19" s="352"/>
      <c r="FUU19" s="352"/>
      <c r="FUV19" s="352"/>
      <c r="FUW19" s="352"/>
      <c r="FUX19" s="352"/>
      <c r="FUY19" s="352"/>
      <c r="FUZ19" s="352"/>
      <c r="FVA19" s="352"/>
      <c r="FVB19" s="352"/>
      <c r="FVC19" s="352"/>
      <c r="FVD19" s="352"/>
      <c r="FVE19" s="352"/>
      <c r="FVF19" s="352"/>
      <c r="FVG19" s="352"/>
      <c r="FVH19" s="352"/>
      <c r="FVI19" s="352"/>
      <c r="FVJ19" s="352"/>
      <c r="FVK19" s="352"/>
      <c r="FVL19" s="352"/>
      <c r="FVM19" s="352"/>
      <c r="FVN19" s="352"/>
      <c r="FVO19" s="352"/>
      <c r="FVP19" s="352"/>
      <c r="FVQ19" s="352"/>
      <c r="FVR19" s="352"/>
      <c r="FVS19" s="352"/>
      <c r="FVT19" s="352"/>
      <c r="FVU19" s="352"/>
      <c r="FVV19" s="352"/>
      <c r="FVW19" s="352"/>
      <c r="FVX19" s="352"/>
      <c r="FVY19" s="352"/>
      <c r="FVZ19" s="352"/>
      <c r="FWA19" s="352"/>
      <c r="FWB19" s="352"/>
      <c r="FWC19" s="352"/>
      <c r="FWD19" s="352"/>
      <c r="FWE19" s="352"/>
      <c r="FWF19" s="352"/>
      <c r="FWG19" s="352"/>
      <c r="FWH19" s="352"/>
      <c r="FWI19" s="352"/>
      <c r="FWJ19" s="352"/>
      <c r="FWK19" s="352"/>
      <c r="FWL19" s="352"/>
      <c r="FWM19" s="352"/>
      <c r="FWN19" s="352"/>
      <c r="FWO19" s="352"/>
      <c r="FWP19" s="352"/>
      <c r="FWQ19" s="352"/>
      <c r="FWR19" s="352"/>
      <c r="FWS19" s="352"/>
      <c r="FWT19" s="352"/>
      <c r="FWU19" s="352"/>
      <c r="FWV19" s="352"/>
      <c r="FWW19" s="352"/>
      <c r="FWX19" s="352"/>
      <c r="FWY19" s="352"/>
      <c r="FWZ19" s="352"/>
      <c r="FXA19" s="352"/>
      <c r="FXB19" s="352"/>
      <c r="FXC19" s="352"/>
      <c r="FXD19" s="352"/>
      <c r="FXE19" s="352"/>
      <c r="FXF19" s="352"/>
      <c r="FXG19" s="352"/>
      <c r="FXH19" s="352"/>
      <c r="FXI19" s="352"/>
      <c r="FXJ19" s="352"/>
      <c r="FXK19" s="352"/>
      <c r="FXL19" s="352"/>
      <c r="FXM19" s="352"/>
      <c r="FXN19" s="352"/>
      <c r="FXO19" s="352"/>
      <c r="FXP19" s="352"/>
      <c r="FXQ19" s="352"/>
      <c r="FXR19" s="352"/>
      <c r="FXS19" s="352"/>
      <c r="FXT19" s="352"/>
      <c r="FXU19" s="352"/>
      <c r="FXV19" s="352"/>
      <c r="FXW19" s="352"/>
      <c r="FXX19" s="352"/>
      <c r="FXY19" s="352"/>
      <c r="FXZ19" s="352"/>
      <c r="FYA19" s="352"/>
      <c r="FYB19" s="352"/>
      <c r="FYC19" s="352"/>
      <c r="FYD19" s="352"/>
      <c r="FYE19" s="352"/>
      <c r="FYF19" s="352"/>
      <c r="FYG19" s="352"/>
      <c r="FYH19" s="352"/>
      <c r="FYI19" s="352"/>
      <c r="FYJ19" s="352"/>
      <c r="FYK19" s="352"/>
      <c r="FYL19" s="352"/>
      <c r="FYM19" s="352"/>
      <c r="FYN19" s="352"/>
      <c r="FYO19" s="352"/>
      <c r="FYP19" s="352"/>
      <c r="FYQ19" s="352"/>
      <c r="FYR19" s="352"/>
      <c r="FYS19" s="352"/>
      <c r="FYT19" s="352"/>
      <c r="FYU19" s="352"/>
      <c r="FYV19" s="352"/>
      <c r="FYW19" s="352"/>
      <c r="FYX19" s="352"/>
      <c r="FYY19" s="352"/>
      <c r="FYZ19" s="352"/>
      <c r="FZA19" s="352"/>
      <c r="FZB19" s="352"/>
      <c r="FZC19" s="352"/>
      <c r="FZD19" s="352"/>
      <c r="FZE19" s="352"/>
      <c r="FZF19" s="352"/>
      <c r="FZG19" s="352"/>
      <c r="FZH19" s="352"/>
      <c r="FZI19" s="352"/>
      <c r="FZJ19" s="352"/>
      <c r="FZK19" s="352"/>
      <c r="FZL19" s="352"/>
      <c r="FZM19" s="352"/>
      <c r="FZN19" s="352"/>
      <c r="FZO19" s="352"/>
      <c r="FZP19" s="352"/>
      <c r="FZQ19" s="352"/>
      <c r="FZR19" s="352"/>
      <c r="FZS19" s="352"/>
      <c r="FZT19" s="352"/>
      <c r="FZU19" s="352"/>
      <c r="FZV19" s="352"/>
      <c r="FZW19" s="352"/>
      <c r="FZX19" s="352"/>
      <c r="FZY19" s="352"/>
      <c r="FZZ19" s="352"/>
      <c r="GAA19" s="352"/>
      <c r="GAB19" s="352"/>
      <c r="GAC19" s="352"/>
      <c r="GAD19" s="352"/>
      <c r="GAE19" s="352"/>
      <c r="GAF19" s="352"/>
      <c r="GAG19" s="352"/>
      <c r="GAH19" s="352"/>
      <c r="GAI19" s="352"/>
      <c r="GAJ19" s="352"/>
      <c r="GAK19" s="352"/>
      <c r="GAL19" s="352"/>
      <c r="GAM19" s="352"/>
      <c r="GAN19" s="352"/>
      <c r="GAO19" s="352"/>
      <c r="GAP19" s="352"/>
      <c r="GAQ19" s="352"/>
      <c r="GAR19" s="352"/>
      <c r="GAS19" s="352"/>
      <c r="GAT19" s="352"/>
      <c r="GAU19" s="352"/>
      <c r="GAV19" s="352"/>
      <c r="GAW19" s="352"/>
      <c r="GAX19" s="352"/>
      <c r="GAY19" s="352"/>
      <c r="GAZ19" s="352"/>
      <c r="GBA19" s="352"/>
      <c r="GBB19" s="352"/>
      <c r="GBC19" s="352"/>
      <c r="GBD19" s="352"/>
      <c r="GBE19" s="352"/>
      <c r="GBF19" s="352"/>
      <c r="GBG19" s="352"/>
      <c r="GBH19" s="352"/>
      <c r="GBI19" s="352"/>
      <c r="GBJ19" s="352"/>
      <c r="GBK19" s="352"/>
      <c r="GBL19" s="352"/>
      <c r="GBM19" s="352"/>
      <c r="GBN19" s="352"/>
      <c r="GBO19" s="352"/>
      <c r="GBP19" s="352"/>
      <c r="GBQ19" s="352"/>
      <c r="GBR19" s="352"/>
      <c r="GBS19" s="352"/>
      <c r="GBT19" s="352"/>
      <c r="GBU19" s="352"/>
      <c r="GBV19" s="352"/>
      <c r="GBW19" s="352"/>
      <c r="GBX19" s="352"/>
      <c r="GBY19" s="352"/>
      <c r="GBZ19" s="352"/>
      <c r="GCA19" s="352"/>
      <c r="GCB19" s="352"/>
      <c r="GCC19" s="352"/>
      <c r="GCD19" s="352"/>
      <c r="GCE19" s="352"/>
      <c r="GCF19" s="352"/>
      <c r="GCG19" s="352"/>
      <c r="GCH19" s="352"/>
      <c r="GCI19" s="352"/>
      <c r="GCJ19" s="352"/>
      <c r="GCK19" s="352"/>
      <c r="GCL19" s="352"/>
      <c r="GCM19" s="352"/>
      <c r="GCN19" s="352"/>
      <c r="GCO19" s="352"/>
      <c r="GCP19" s="352"/>
      <c r="GCQ19" s="352"/>
      <c r="GCR19" s="352"/>
      <c r="GCS19" s="352"/>
      <c r="GCT19" s="352"/>
      <c r="GCU19" s="352"/>
      <c r="GCV19" s="352"/>
      <c r="GCW19" s="352"/>
      <c r="GCX19" s="352"/>
      <c r="GCY19" s="352"/>
      <c r="GCZ19" s="352"/>
      <c r="GDA19" s="352"/>
      <c r="GDB19" s="352"/>
      <c r="GDC19" s="352"/>
      <c r="GDD19" s="352"/>
      <c r="GDE19" s="352"/>
      <c r="GDF19" s="352"/>
      <c r="GDG19" s="352"/>
      <c r="GDH19" s="352"/>
      <c r="GDI19" s="352"/>
      <c r="GDJ19" s="352"/>
      <c r="GDK19" s="352"/>
      <c r="GDL19" s="352"/>
      <c r="GDM19" s="352"/>
      <c r="GDN19" s="352"/>
      <c r="GDO19" s="352"/>
      <c r="GDP19" s="352"/>
      <c r="GDQ19" s="352"/>
      <c r="GDR19" s="352"/>
      <c r="GDS19" s="352"/>
      <c r="GDT19" s="352"/>
      <c r="GDU19" s="352"/>
      <c r="GDV19" s="352"/>
      <c r="GDW19" s="352"/>
      <c r="GDX19" s="352"/>
      <c r="GDY19" s="352"/>
      <c r="GDZ19" s="352"/>
      <c r="GEA19" s="352"/>
      <c r="GEB19" s="352"/>
      <c r="GEC19" s="352"/>
      <c r="GED19" s="352"/>
      <c r="GEE19" s="352"/>
      <c r="GEF19" s="352"/>
      <c r="GEG19" s="352"/>
      <c r="GEH19" s="352"/>
      <c r="GEI19" s="352"/>
      <c r="GEJ19" s="352"/>
      <c r="GEK19" s="352"/>
      <c r="GEL19" s="352"/>
      <c r="GEM19" s="352"/>
      <c r="GEN19" s="352"/>
      <c r="GEO19" s="352"/>
      <c r="GEP19" s="352"/>
      <c r="GEQ19" s="352"/>
      <c r="GER19" s="352"/>
      <c r="GES19" s="352"/>
      <c r="GET19" s="352"/>
      <c r="GEU19" s="352"/>
      <c r="GEV19" s="352"/>
      <c r="GEW19" s="352"/>
      <c r="GEX19" s="352"/>
      <c r="GEY19" s="352"/>
      <c r="GEZ19" s="352"/>
      <c r="GFA19" s="352"/>
      <c r="GFB19" s="352"/>
      <c r="GFC19" s="352"/>
      <c r="GFD19" s="352"/>
      <c r="GFE19" s="352"/>
      <c r="GFF19" s="352"/>
      <c r="GFG19" s="352"/>
      <c r="GFH19" s="352"/>
      <c r="GFI19" s="352"/>
      <c r="GFJ19" s="352"/>
      <c r="GFK19" s="352"/>
      <c r="GFL19" s="352"/>
      <c r="GFM19" s="352"/>
      <c r="GFN19" s="352"/>
      <c r="GFO19" s="352"/>
      <c r="GFP19" s="352"/>
      <c r="GFQ19" s="352"/>
      <c r="GFR19" s="352"/>
      <c r="GFS19" s="352"/>
      <c r="GFT19" s="352"/>
      <c r="GFU19" s="352"/>
      <c r="GFV19" s="352"/>
      <c r="GFW19" s="352"/>
      <c r="GFX19" s="352"/>
      <c r="GFY19" s="352"/>
      <c r="GFZ19" s="352"/>
      <c r="GGA19" s="352"/>
      <c r="GGB19" s="352"/>
      <c r="GGC19" s="352"/>
      <c r="GGD19" s="352"/>
      <c r="GGE19" s="352"/>
      <c r="GGF19" s="352"/>
      <c r="GGG19" s="352"/>
      <c r="GGH19" s="352"/>
      <c r="GGI19" s="352"/>
      <c r="GGJ19" s="352"/>
      <c r="GGK19" s="352"/>
      <c r="GGL19" s="352"/>
      <c r="GGM19" s="352"/>
      <c r="GGN19" s="352"/>
      <c r="GGO19" s="352"/>
      <c r="GGP19" s="352"/>
      <c r="GGQ19" s="352"/>
      <c r="GGR19" s="352"/>
      <c r="GGS19" s="352"/>
      <c r="GGT19" s="352"/>
      <c r="GGU19" s="352"/>
      <c r="GGV19" s="352"/>
      <c r="GGW19" s="352"/>
      <c r="GGX19" s="352"/>
      <c r="GGY19" s="352"/>
      <c r="GGZ19" s="352"/>
      <c r="GHA19" s="352"/>
      <c r="GHB19" s="352"/>
      <c r="GHC19" s="352"/>
      <c r="GHD19" s="352"/>
      <c r="GHE19" s="352"/>
      <c r="GHF19" s="352"/>
      <c r="GHG19" s="352"/>
      <c r="GHH19" s="352"/>
      <c r="GHI19" s="352"/>
      <c r="GHJ19" s="352"/>
      <c r="GHK19" s="352"/>
      <c r="GHL19" s="352"/>
      <c r="GHM19" s="352"/>
      <c r="GHN19" s="352"/>
      <c r="GHO19" s="352"/>
      <c r="GHP19" s="352"/>
      <c r="GHQ19" s="352"/>
      <c r="GHR19" s="352"/>
      <c r="GHS19" s="352"/>
      <c r="GHT19" s="352"/>
      <c r="GHU19" s="352"/>
      <c r="GHV19" s="352"/>
      <c r="GHW19" s="352"/>
      <c r="GHX19" s="352"/>
      <c r="GHY19" s="352"/>
      <c r="GHZ19" s="352"/>
      <c r="GIA19" s="352"/>
      <c r="GIB19" s="352"/>
      <c r="GIC19" s="352"/>
      <c r="GID19" s="352"/>
      <c r="GIE19" s="352"/>
      <c r="GIF19" s="352"/>
      <c r="GIG19" s="352"/>
      <c r="GIH19" s="352"/>
      <c r="GII19" s="352"/>
      <c r="GIJ19" s="352"/>
      <c r="GIK19" s="352"/>
      <c r="GIL19" s="352"/>
      <c r="GIM19" s="352"/>
      <c r="GIN19" s="352"/>
      <c r="GIO19" s="352"/>
      <c r="GIP19" s="352"/>
      <c r="GIQ19" s="352"/>
      <c r="GIR19" s="352"/>
      <c r="GIS19" s="352"/>
      <c r="GIT19" s="352"/>
      <c r="GIU19" s="352"/>
      <c r="GIV19" s="352"/>
      <c r="GIW19" s="352"/>
      <c r="GIX19" s="352"/>
      <c r="GIY19" s="352"/>
      <c r="GIZ19" s="352"/>
      <c r="GJA19" s="352"/>
      <c r="GJB19" s="352"/>
      <c r="GJC19" s="352"/>
      <c r="GJD19" s="352"/>
      <c r="GJE19" s="352"/>
      <c r="GJF19" s="352"/>
      <c r="GJG19" s="352"/>
      <c r="GJH19" s="352"/>
      <c r="GJI19" s="352"/>
      <c r="GJJ19" s="352"/>
      <c r="GJK19" s="352"/>
      <c r="GJL19" s="352"/>
      <c r="GJM19" s="352"/>
      <c r="GJN19" s="352"/>
      <c r="GJO19" s="352"/>
      <c r="GJP19" s="352"/>
      <c r="GJQ19" s="352"/>
      <c r="GJR19" s="352"/>
      <c r="GJS19" s="352"/>
      <c r="GJT19" s="352"/>
      <c r="GJU19" s="352"/>
      <c r="GJV19" s="352"/>
      <c r="GJW19" s="352"/>
      <c r="GJX19" s="352"/>
      <c r="GJY19" s="352"/>
      <c r="GJZ19" s="352"/>
      <c r="GKA19" s="352"/>
      <c r="GKB19" s="352"/>
      <c r="GKC19" s="352"/>
      <c r="GKD19" s="352"/>
      <c r="GKE19" s="352"/>
      <c r="GKF19" s="352"/>
      <c r="GKG19" s="352"/>
      <c r="GKH19" s="352"/>
      <c r="GKI19" s="352"/>
      <c r="GKJ19" s="352"/>
      <c r="GKK19" s="352"/>
      <c r="GKL19" s="352"/>
      <c r="GKM19" s="352"/>
      <c r="GKN19" s="352"/>
      <c r="GKO19" s="352"/>
      <c r="GKP19" s="352"/>
      <c r="GKQ19" s="352"/>
      <c r="GKR19" s="352"/>
      <c r="GKS19" s="352"/>
      <c r="GKT19" s="352"/>
      <c r="GKU19" s="352"/>
      <c r="GKV19" s="352"/>
      <c r="GKW19" s="352"/>
      <c r="GKX19" s="352"/>
      <c r="GKY19" s="352"/>
      <c r="GKZ19" s="352"/>
      <c r="GLA19" s="352"/>
      <c r="GLB19" s="352"/>
      <c r="GLC19" s="352"/>
      <c r="GLD19" s="352"/>
      <c r="GLE19" s="352"/>
      <c r="GLF19" s="352"/>
      <c r="GLG19" s="352"/>
      <c r="GLH19" s="352"/>
      <c r="GLI19" s="352"/>
      <c r="GLJ19" s="352"/>
      <c r="GLK19" s="352"/>
      <c r="GLL19" s="352"/>
      <c r="GLM19" s="352"/>
      <c r="GLN19" s="352"/>
      <c r="GLO19" s="352"/>
      <c r="GLP19" s="352"/>
      <c r="GLQ19" s="352"/>
      <c r="GLR19" s="352"/>
      <c r="GLS19" s="352"/>
      <c r="GLT19" s="352"/>
      <c r="GLU19" s="352"/>
      <c r="GLV19" s="352"/>
      <c r="GLW19" s="352"/>
      <c r="GLX19" s="352"/>
      <c r="GLY19" s="352"/>
      <c r="GLZ19" s="352"/>
      <c r="GMA19" s="352"/>
      <c r="GMB19" s="352"/>
      <c r="GMC19" s="352"/>
      <c r="GMD19" s="352"/>
      <c r="GME19" s="352"/>
      <c r="GMF19" s="352"/>
      <c r="GMG19" s="352"/>
      <c r="GMH19" s="352"/>
      <c r="GMI19" s="352"/>
      <c r="GMJ19" s="352"/>
      <c r="GMK19" s="352"/>
      <c r="GML19" s="352"/>
      <c r="GMM19" s="352"/>
      <c r="GMN19" s="352"/>
      <c r="GMO19" s="352"/>
      <c r="GMP19" s="352"/>
      <c r="GMQ19" s="352"/>
      <c r="GMR19" s="352"/>
      <c r="GMS19" s="352"/>
      <c r="GMT19" s="352"/>
      <c r="GMU19" s="352"/>
      <c r="GMV19" s="352"/>
      <c r="GMW19" s="352"/>
      <c r="GMX19" s="352"/>
      <c r="GMY19" s="352"/>
      <c r="GMZ19" s="352"/>
      <c r="GNA19" s="352"/>
      <c r="GNB19" s="352"/>
      <c r="GNC19" s="352"/>
      <c r="GND19" s="352"/>
      <c r="GNE19" s="352"/>
      <c r="GNF19" s="352"/>
      <c r="GNG19" s="352"/>
      <c r="GNH19" s="352"/>
      <c r="GNI19" s="352"/>
      <c r="GNJ19" s="352"/>
      <c r="GNK19" s="352"/>
      <c r="GNL19" s="352"/>
      <c r="GNM19" s="352"/>
      <c r="GNN19" s="352"/>
      <c r="GNO19" s="352"/>
      <c r="GNP19" s="352"/>
      <c r="GNQ19" s="352"/>
      <c r="GNR19" s="352"/>
      <c r="GNS19" s="352"/>
      <c r="GNT19" s="352"/>
      <c r="GNU19" s="352"/>
      <c r="GNV19" s="352"/>
      <c r="GNW19" s="352"/>
      <c r="GNX19" s="352"/>
      <c r="GNY19" s="352"/>
      <c r="GNZ19" s="352"/>
      <c r="GOA19" s="352"/>
      <c r="GOB19" s="352"/>
      <c r="GOC19" s="352"/>
      <c r="GOD19" s="352"/>
      <c r="GOE19" s="352"/>
      <c r="GOF19" s="352"/>
      <c r="GOG19" s="352"/>
      <c r="GOH19" s="352"/>
      <c r="GOI19" s="352"/>
      <c r="GOJ19" s="352"/>
      <c r="GOK19" s="352"/>
      <c r="GOL19" s="352"/>
      <c r="GOM19" s="352"/>
      <c r="GON19" s="352"/>
      <c r="GOO19" s="352"/>
      <c r="GOP19" s="352"/>
      <c r="GOQ19" s="352"/>
      <c r="GOR19" s="352"/>
      <c r="GOS19" s="352"/>
      <c r="GOT19" s="352"/>
      <c r="GOU19" s="352"/>
      <c r="GOV19" s="352"/>
      <c r="GOW19" s="352"/>
      <c r="GOX19" s="352"/>
      <c r="GOY19" s="352"/>
      <c r="GOZ19" s="352"/>
      <c r="GPA19" s="352"/>
      <c r="GPB19" s="352"/>
      <c r="GPC19" s="352"/>
      <c r="GPD19" s="352"/>
      <c r="GPE19" s="352"/>
      <c r="GPF19" s="352"/>
      <c r="GPG19" s="352"/>
      <c r="GPH19" s="352"/>
      <c r="GPI19" s="352"/>
      <c r="GPJ19" s="352"/>
      <c r="GPK19" s="352"/>
      <c r="GPL19" s="352"/>
      <c r="GPM19" s="352"/>
      <c r="GPN19" s="352"/>
      <c r="GPO19" s="352"/>
      <c r="GPP19" s="352"/>
      <c r="GPQ19" s="352"/>
      <c r="GPR19" s="352"/>
      <c r="GPS19" s="352"/>
      <c r="GPT19" s="352"/>
      <c r="GPU19" s="352"/>
      <c r="GPV19" s="352"/>
      <c r="GPW19" s="352"/>
      <c r="GPX19" s="352"/>
      <c r="GPY19" s="352"/>
      <c r="GPZ19" s="352"/>
      <c r="GQA19" s="352"/>
      <c r="GQB19" s="352"/>
      <c r="GQC19" s="352"/>
      <c r="GQD19" s="352"/>
      <c r="GQE19" s="352"/>
      <c r="GQF19" s="352"/>
      <c r="GQG19" s="352"/>
      <c r="GQH19" s="352"/>
      <c r="GQI19" s="352"/>
      <c r="GQJ19" s="352"/>
      <c r="GQK19" s="352"/>
      <c r="GQL19" s="352"/>
      <c r="GQM19" s="352"/>
      <c r="GQN19" s="352"/>
      <c r="GQO19" s="352"/>
      <c r="GQP19" s="352"/>
      <c r="GQQ19" s="352"/>
      <c r="GQR19" s="352"/>
      <c r="GQS19" s="352"/>
      <c r="GQT19" s="352"/>
      <c r="GQU19" s="352"/>
      <c r="GQV19" s="352"/>
      <c r="GQW19" s="352"/>
      <c r="GQX19" s="352"/>
      <c r="GQY19" s="352"/>
      <c r="GQZ19" s="352"/>
      <c r="GRA19" s="352"/>
      <c r="GRB19" s="352"/>
      <c r="GRC19" s="352"/>
      <c r="GRD19" s="352"/>
      <c r="GRE19" s="352"/>
      <c r="GRF19" s="352"/>
      <c r="GRG19" s="352"/>
      <c r="GRH19" s="352"/>
      <c r="GRI19" s="352"/>
      <c r="GRJ19" s="352"/>
      <c r="GRK19" s="352"/>
      <c r="GRL19" s="352"/>
      <c r="GRM19" s="352"/>
      <c r="GRN19" s="352"/>
      <c r="GRO19" s="352"/>
      <c r="GRP19" s="352"/>
      <c r="GRQ19" s="352"/>
      <c r="GRR19" s="352"/>
      <c r="GRS19" s="352"/>
      <c r="GRT19" s="352"/>
      <c r="GRU19" s="352"/>
      <c r="GRV19" s="352"/>
      <c r="GRW19" s="352"/>
      <c r="GRX19" s="352"/>
      <c r="GRY19" s="352"/>
      <c r="GRZ19" s="352"/>
      <c r="GSA19" s="352"/>
      <c r="GSB19" s="352"/>
      <c r="GSC19" s="352"/>
      <c r="GSD19" s="352"/>
      <c r="GSE19" s="352"/>
      <c r="GSF19" s="352"/>
      <c r="GSG19" s="352"/>
      <c r="GSH19" s="352"/>
      <c r="GSI19" s="352"/>
      <c r="GSJ19" s="352"/>
      <c r="GSK19" s="352"/>
      <c r="GSL19" s="352"/>
      <c r="GSM19" s="352"/>
      <c r="GSN19" s="352"/>
      <c r="GSO19" s="352"/>
      <c r="GSP19" s="352"/>
      <c r="GSQ19" s="352"/>
      <c r="GSR19" s="352"/>
      <c r="GSS19" s="352"/>
      <c r="GST19" s="352"/>
      <c r="GSU19" s="352"/>
      <c r="GSV19" s="352"/>
      <c r="GSW19" s="352"/>
      <c r="GSX19" s="352"/>
      <c r="GSY19" s="352"/>
      <c r="GSZ19" s="352"/>
      <c r="GTA19" s="352"/>
      <c r="GTB19" s="352"/>
      <c r="GTC19" s="352"/>
      <c r="GTD19" s="352"/>
      <c r="GTE19" s="352"/>
      <c r="GTF19" s="352"/>
      <c r="GTG19" s="352"/>
      <c r="GTH19" s="352"/>
      <c r="GTI19" s="352"/>
      <c r="GTJ19" s="352"/>
      <c r="GTK19" s="352"/>
      <c r="GTL19" s="352"/>
      <c r="GTM19" s="352"/>
      <c r="GTN19" s="352"/>
      <c r="GTO19" s="352"/>
      <c r="GTP19" s="352"/>
      <c r="GTQ19" s="352"/>
      <c r="GTR19" s="352"/>
      <c r="GTS19" s="352"/>
      <c r="GTT19" s="352"/>
      <c r="GTU19" s="352"/>
      <c r="GTV19" s="352"/>
      <c r="GTW19" s="352"/>
      <c r="GTX19" s="352"/>
      <c r="GTY19" s="352"/>
      <c r="GTZ19" s="352"/>
      <c r="GUA19" s="352"/>
      <c r="GUB19" s="352"/>
      <c r="GUC19" s="352"/>
      <c r="GUD19" s="352"/>
      <c r="GUE19" s="352"/>
      <c r="GUF19" s="352"/>
      <c r="GUG19" s="352"/>
      <c r="GUH19" s="352"/>
      <c r="GUI19" s="352"/>
      <c r="GUJ19" s="352"/>
      <c r="GUK19" s="352"/>
      <c r="GUL19" s="352"/>
      <c r="GUM19" s="352"/>
      <c r="GUN19" s="352"/>
      <c r="GUO19" s="352"/>
      <c r="GUP19" s="352"/>
      <c r="GUQ19" s="352"/>
      <c r="GUR19" s="352"/>
      <c r="GUS19" s="352"/>
      <c r="GUT19" s="352"/>
      <c r="GUU19" s="352"/>
      <c r="GUV19" s="352"/>
      <c r="GUW19" s="352"/>
      <c r="GUX19" s="352"/>
      <c r="GUY19" s="352"/>
      <c r="GUZ19" s="352"/>
      <c r="GVA19" s="352"/>
      <c r="GVB19" s="352"/>
      <c r="GVC19" s="352"/>
      <c r="GVD19" s="352"/>
      <c r="GVE19" s="352"/>
      <c r="GVF19" s="352"/>
      <c r="GVG19" s="352"/>
      <c r="GVH19" s="352"/>
      <c r="GVI19" s="352"/>
      <c r="GVJ19" s="352"/>
      <c r="GVK19" s="352"/>
      <c r="GVL19" s="352"/>
      <c r="GVM19" s="352"/>
      <c r="GVN19" s="352"/>
      <c r="GVO19" s="352"/>
      <c r="GVP19" s="352"/>
      <c r="GVQ19" s="352"/>
      <c r="GVR19" s="352"/>
      <c r="GVS19" s="352"/>
      <c r="GVT19" s="352"/>
      <c r="GVU19" s="352"/>
      <c r="GVV19" s="352"/>
      <c r="GVW19" s="352"/>
      <c r="GVX19" s="352"/>
      <c r="GVY19" s="352"/>
      <c r="GVZ19" s="352"/>
      <c r="GWA19" s="352"/>
      <c r="GWB19" s="352"/>
      <c r="GWC19" s="352"/>
      <c r="GWD19" s="352"/>
      <c r="GWE19" s="352"/>
      <c r="GWF19" s="352"/>
      <c r="GWG19" s="352"/>
      <c r="GWH19" s="352"/>
      <c r="GWI19" s="352"/>
      <c r="GWJ19" s="352"/>
      <c r="GWK19" s="352"/>
      <c r="GWL19" s="352"/>
      <c r="GWM19" s="352"/>
      <c r="GWN19" s="352"/>
      <c r="GWO19" s="352"/>
      <c r="GWP19" s="352"/>
      <c r="GWQ19" s="352"/>
      <c r="GWR19" s="352"/>
      <c r="GWS19" s="352"/>
      <c r="GWT19" s="352"/>
      <c r="GWU19" s="352"/>
      <c r="GWV19" s="352"/>
      <c r="GWW19" s="352"/>
      <c r="GWX19" s="352"/>
      <c r="GWY19" s="352"/>
      <c r="GWZ19" s="352"/>
      <c r="GXA19" s="352"/>
      <c r="GXB19" s="352"/>
      <c r="GXC19" s="352"/>
      <c r="GXD19" s="352"/>
      <c r="GXE19" s="352"/>
      <c r="GXF19" s="352"/>
      <c r="GXG19" s="352"/>
      <c r="GXH19" s="352"/>
      <c r="GXI19" s="352"/>
      <c r="GXJ19" s="352"/>
      <c r="GXK19" s="352"/>
      <c r="GXL19" s="352"/>
      <c r="GXM19" s="352"/>
      <c r="GXN19" s="352"/>
      <c r="GXO19" s="352"/>
      <c r="GXP19" s="352"/>
      <c r="GXQ19" s="352"/>
      <c r="GXR19" s="352"/>
      <c r="GXS19" s="352"/>
      <c r="GXT19" s="352"/>
      <c r="GXU19" s="352"/>
      <c r="GXV19" s="352"/>
      <c r="GXW19" s="352"/>
      <c r="GXX19" s="352"/>
      <c r="GXY19" s="352"/>
      <c r="GXZ19" s="352"/>
      <c r="GYA19" s="352"/>
      <c r="GYB19" s="352"/>
      <c r="GYC19" s="352"/>
      <c r="GYD19" s="352"/>
      <c r="GYE19" s="352"/>
      <c r="GYF19" s="352"/>
      <c r="GYG19" s="352"/>
      <c r="GYH19" s="352"/>
      <c r="GYI19" s="352"/>
      <c r="GYJ19" s="352"/>
      <c r="GYK19" s="352"/>
      <c r="GYL19" s="352"/>
      <c r="GYM19" s="352"/>
      <c r="GYN19" s="352"/>
      <c r="GYO19" s="352"/>
      <c r="GYP19" s="352"/>
      <c r="GYQ19" s="352"/>
      <c r="GYR19" s="352"/>
      <c r="GYS19" s="352"/>
      <c r="GYT19" s="352"/>
      <c r="GYU19" s="352"/>
      <c r="GYV19" s="352"/>
      <c r="GYW19" s="352"/>
      <c r="GYX19" s="352"/>
      <c r="GYY19" s="352"/>
      <c r="GYZ19" s="352"/>
      <c r="GZA19" s="352"/>
      <c r="GZB19" s="352"/>
      <c r="GZC19" s="352"/>
      <c r="GZD19" s="352"/>
      <c r="GZE19" s="352"/>
      <c r="GZF19" s="352"/>
      <c r="GZG19" s="352"/>
      <c r="GZH19" s="352"/>
      <c r="GZI19" s="352"/>
      <c r="GZJ19" s="352"/>
      <c r="GZK19" s="352"/>
      <c r="GZL19" s="352"/>
      <c r="GZM19" s="352"/>
      <c r="GZN19" s="352"/>
      <c r="GZO19" s="352"/>
      <c r="GZP19" s="352"/>
      <c r="GZQ19" s="352"/>
      <c r="GZR19" s="352"/>
      <c r="GZS19" s="352"/>
      <c r="GZT19" s="352"/>
      <c r="GZU19" s="352"/>
      <c r="GZV19" s="352"/>
      <c r="GZW19" s="352"/>
      <c r="GZX19" s="352"/>
      <c r="GZY19" s="352"/>
      <c r="GZZ19" s="352"/>
      <c r="HAA19" s="352"/>
      <c r="HAB19" s="352"/>
      <c r="HAC19" s="352"/>
      <c r="HAD19" s="352"/>
      <c r="HAE19" s="352"/>
      <c r="HAF19" s="352"/>
      <c r="HAG19" s="352"/>
      <c r="HAH19" s="352"/>
      <c r="HAI19" s="352"/>
      <c r="HAJ19" s="352"/>
      <c r="HAK19" s="352"/>
      <c r="HAL19" s="352"/>
      <c r="HAM19" s="352"/>
      <c r="HAN19" s="352"/>
      <c r="HAO19" s="352"/>
      <c r="HAP19" s="352"/>
      <c r="HAQ19" s="352"/>
      <c r="HAR19" s="352"/>
      <c r="HAS19" s="352"/>
      <c r="HAT19" s="352"/>
      <c r="HAU19" s="352"/>
      <c r="HAV19" s="352"/>
      <c r="HAW19" s="352"/>
      <c r="HAX19" s="352"/>
      <c r="HAY19" s="352"/>
      <c r="HAZ19" s="352"/>
      <c r="HBA19" s="352"/>
      <c r="HBB19" s="352"/>
      <c r="HBC19" s="352"/>
      <c r="HBD19" s="352"/>
      <c r="HBE19" s="352"/>
      <c r="HBF19" s="352"/>
      <c r="HBG19" s="352"/>
      <c r="HBH19" s="352"/>
      <c r="HBI19" s="352"/>
      <c r="HBJ19" s="352"/>
      <c r="HBK19" s="352"/>
      <c r="HBL19" s="352"/>
      <c r="HBM19" s="352"/>
      <c r="HBN19" s="352"/>
      <c r="HBO19" s="352"/>
      <c r="HBP19" s="352"/>
      <c r="HBQ19" s="352"/>
      <c r="HBR19" s="352"/>
      <c r="HBS19" s="352"/>
      <c r="HBT19" s="352"/>
      <c r="HBU19" s="352"/>
      <c r="HBV19" s="352"/>
      <c r="HBW19" s="352"/>
      <c r="HBX19" s="352"/>
      <c r="HBY19" s="352"/>
      <c r="HBZ19" s="352"/>
      <c r="HCA19" s="352"/>
      <c r="HCB19" s="352"/>
      <c r="HCC19" s="352"/>
      <c r="HCD19" s="352"/>
      <c r="HCE19" s="352"/>
      <c r="HCF19" s="352"/>
      <c r="HCG19" s="352"/>
      <c r="HCH19" s="352"/>
      <c r="HCI19" s="352"/>
      <c r="HCJ19" s="352"/>
      <c r="HCK19" s="352"/>
      <c r="HCL19" s="352"/>
      <c r="HCM19" s="352"/>
      <c r="HCN19" s="352"/>
      <c r="HCO19" s="352"/>
      <c r="HCP19" s="352"/>
      <c r="HCQ19" s="352"/>
      <c r="HCR19" s="352"/>
      <c r="HCS19" s="352"/>
      <c r="HCT19" s="352"/>
      <c r="HCU19" s="352"/>
      <c r="HCV19" s="352"/>
      <c r="HCW19" s="352"/>
      <c r="HCX19" s="352"/>
      <c r="HCY19" s="352"/>
      <c r="HCZ19" s="352"/>
      <c r="HDA19" s="352"/>
      <c r="HDB19" s="352"/>
      <c r="HDC19" s="352"/>
      <c r="HDD19" s="352"/>
      <c r="HDE19" s="352"/>
      <c r="HDF19" s="352"/>
      <c r="HDG19" s="352"/>
      <c r="HDH19" s="352"/>
      <c r="HDI19" s="352"/>
      <c r="HDJ19" s="352"/>
      <c r="HDK19" s="352"/>
      <c r="HDL19" s="352"/>
      <c r="HDM19" s="352"/>
      <c r="HDN19" s="352"/>
      <c r="HDO19" s="352"/>
      <c r="HDP19" s="352"/>
      <c r="HDQ19" s="352"/>
      <c r="HDR19" s="352"/>
      <c r="HDS19" s="352"/>
      <c r="HDT19" s="352"/>
      <c r="HDU19" s="352"/>
      <c r="HDV19" s="352"/>
      <c r="HDW19" s="352"/>
      <c r="HDX19" s="352"/>
      <c r="HDY19" s="352"/>
      <c r="HDZ19" s="352"/>
      <c r="HEA19" s="352"/>
      <c r="HEB19" s="352"/>
      <c r="HEC19" s="352"/>
      <c r="HED19" s="352"/>
      <c r="HEE19" s="352"/>
      <c r="HEF19" s="352"/>
      <c r="HEG19" s="352"/>
      <c r="HEH19" s="352"/>
      <c r="HEI19" s="352"/>
      <c r="HEJ19" s="352"/>
      <c r="HEK19" s="352"/>
      <c r="HEL19" s="352"/>
      <c r="HEM19" s="352"/>
      <c r="HEN19" s="352"/>
      <c r="HEO19" s="352"/>
      <c r="HEP19" s="352"/>
      <c r="HEQ19" s="352"/>
      <c r="HER19" s="352"/>
      <c r="HES19" s="352"/>
      <c r="HET19" s="352"/>
      <c r="HEU19" s="352"/>
      <c r="HEV19" s="352"/>
      <c r="HEW19" s="352"/>
      <c r="HEX19" s="352"/>
      <c r="HEY19" s="352"/>
      <c r="HEZ19" s="352"/>
      <c r="HFA19" s="352"/>
      <c r="HFB19" s="352"/>
      <c r="HFC19" s="352"/>
      <c r="HFD19" s="352"/>
      <c r="HFE19" s="352"/>
      <c r="HFF19" s="352"/>
      <c r="HFG19" s="352"/>
      <c r="HFH19" s="352"/>
      <c r="HFI19" s="352"/>
      <c r="HFJ19" s="352"/>
      <c r="HFK19" s="352"/>
      <c r="HFL19" s="352"/>
      <c r="HFM19" s="352"/>
      <c r="HFN19" s="352"/>
      <c r="HFO19" s="352"/>
      <c r="HFP19" s="352"/>
      <c r="HFQ19" s="352"/>
      <c r="HFR19" s="352"/>
      <c r="HFS19" s="352"/>
      <c r="HFT19" s="352"/>
      <c r="HFU19" s="352"/>
      <c r="HFV19" s="352"/>
      <c r="HFW19" s="352"/>
      <c r="HFX19" s="352"/>
      <c r="HFY19" s="352"/>
      <c r="HFZ19" s="352"/>
      <c r="HGA19" s="352"/>
      <c r="HGB19" s="352"/>
      <c r="HGC19" s="352"/>
      <c r="HGD19" s="352"/>
      <c r="HGE19" s="352"/>
      <c r="HGF19" s="352"/>
      <c r="HGG19" s="352"/>
      <c r="HGH19" s="352"/>
      <c r="HGI19" s="352"/>
      <c r="HGJ19" s="352"/>
      <c r="HGK19" s="352"/>
      <c r="HGL19" s="352"/>
      <c r="HGM19" s="352"/>
      <c r="HGN19" s="352"/>
      <c r="HGO19" s="352"/>
      <c r="HGP19" s="352"/>
      <c r="HGQ19" s="352"/>
      <c r="HGR19" s="352"/>
      <c r="HGS19" s="352"/>
      <c r="HGT19" s="352"/>
      <c r="HGU19" s="352"/>
      <c r="HGV19" s="352"/>
      <c r="HGW19" s="352"/>
      <c r="HGX19" s="352"/>
      <c r="HGY19" s="352"/>
      <c r="HGZ19" s="352"/>
      <c r="HHA19" s="352"/>
      <c r="HHB19" s="352"/>
      <c r="HHC19" s="352"/>
      <c r="HHD19" s="352"/>
      <c r="HHE19" s="352"/>
      <c r="HHF19" s="352"/>
      <c r="HHG19" s="352"/>
      <c r="HHH19" s="352"/>
      <c r="HHI19" s="352"/>
      <c r="HHJ19" s="352"/>
      <c r="HHK19" s="352"/>
      <c r="HHL19" s="352"/>
      <c r="HHM19" s="352"/>
      <c r="HHN19" s="352"/>
      <c r="HHO19" s="352"/>
      <c r="HHP19" s="352"/>
      <c r="HHQ19" s="352"/>
      <c r="HHR19" s="352"/>
      <c r="HHS19" s="352"/>
      <c r="HHT19" s="352"/>
      <c r="HHU19" s="352"/>
      <c r="HHV19" s="352"/>
      <c r="HHW19" s="352"/>
      <c r="HHX19" s="352"/>
      <c r="HHY19" s="352"/>
      <c r="HHZ19" s="352"/>
      <c r="HIA19" s="352"/>
      <c r="HIB19" s="352"/>
      <c r="HIC19" s="352"/>
      <c r="HID19" s="352"/>
      <c r="HIE19" s="352"/>
      <c r="HIF19" s="352"/>
      <c r="HIG19" s="352"/>
      <c r="HIH19" s="352"/>
      <c r="HII19" s="352"/>
      <c r="HIJ19" s="352"/>
      <c r="HIK19" s="352"/>
      <c r="HIL19" s="352"/>
      <c r="HIM19" s="352"/>
      <c r="HIN19" s="352"/>
      <c r="HIO19" s="352"/>
      <c r="HIP19" s="352"/>
      <c r="HIQ19" s="352"/>
      <c r="HIR19" s="352"/>
      <c r="HIS19" s="352"/>
      <c r="HIT19" s="352"/>
      <c r="HIU19" s="352"/>
      <c r="HIV19" s="352"/>
      <c r="HIW19" s="352"/>
      <c r="HIX19" s="352"/>
      <c r="HIY19" s="352"/>
      <c r="HIZ19" s="352"/>
      <c r="HJA19" s="352"/>
      <c r="HJB19" s="352"/>
      <c r="HJC19" s="352"/>
      <c r="HJD19" s="352"/>
      <c r="HJE19" s="352"/>
      <c r="HJF19" s="352"/>
      <c r="HJG19" s="352"/>
      <c r="HJH19" s="352"/>
      <c r="HJI19" s="352"/>
      <c r="HJJ19" s="352"/>
      <c r="HJK19" s="352"/>
      <c r="HJL19" s="352"/>
      <c r="HJM19" s="352"/>
      <c r="HJN19" s="352"/>
      <c r="HJO19" s="352"/>
      <c r="HJP19" s="352"/>
      <c r="HJQ19" s="352"/>
      <c r="HJR19" s="352"/>
      <c r="HJS19" s="352"/>
      <c r="HJT19" s="352"/>
      <c r="HJU19" s="352"/>
      <c r="HJV19" s="352"/>
      <c r="HJW19" s="352"/>
      <c r="HJX19" s="352"/>
      <c r="HJY19" s="352"/>
      <c r="HJZ19" s="352"/>
      <c r="HKA19" s="352"/>
      <c r="HKB19" s="352"/>
      <c r="HKC19" s="352"/>
      <c r="HKD19" s="352"/>
      <c r="HKE19" s="352"/>
      <c r="HKF19" s="352"/>
      <c r="HKG19" s="352"/>
      <c r="HKH19" s="352"/>
      <c r="HKI19" s="352"/>
      <c r="HKJ19" s="352"/>
      <c r="HKK19" s="352"/>
      <c r="HKL19" s="352"/>
      <c r="HKM19" s="352"/>
      <c r="HKN19" s="352"/>
      <c r="HKO19" s="352"/>
      <c r="HKP19" s="352"/>
      <c r="HKQ19" s="352"/>
      <c r="HKR19" s="352"/>
      <c r="HKS19" s="352"/>
      <c r="HKT19" s="352"/>
      <c r="HKU19" s="352"/>
      <c r="HKV19" s="352"/>
      <c r="HKW19" s="352"/>
      <c r="HKX19" s="352"/>
      <c r="HKY19" s="352"/>
      <c r="HKZ19" s="352"/>
      <c r="HLA19" s="352"/>
      <c r="HLB19" s="352"/>
      <c r="HLC19" s="352"/>
      <c r="HLD19" s="352"/>
      <c r="HLE19" s="352"/>
      <c r="HLF19" s="352"/>
      <c r="HLG19" s="352"/>
      <c r="HLH19" s="352"/>
      <c r="HLI19" s="352"/>
      <c r="HLJ19" s="352"/>
      <c r="HLK19" s="352"/>
      <c r="HLL19" s="352"/>
      <c r="HLM19" s="352"/>
      <c r="HLN19" s="352"/>
      <c r="HLO19" s="352"/>
      <c r="HLP19" s="352"/>
      <c r="HLQ19" s="352"/>
      <c r="HLR19" s="352"/>
      <c r="HLS19" s="352"/>
      <c r="HLT19" s="352"/>
      <c r="HLU19" s="352"/>
      <c r="HLV19" s="352"/>
      <c r="HLW19" s="352"/>
      <c r="HLX19" s="352"/>
      <c r="HLY19" s="352"/>
      <c r="HLZ19" s="352"/>
      <c r="HMA19" s="352"/>
      <c r="HMB19" s="352"/>
      <c r="HMC19" s="352"/>
      <c r="HMD19" s="352"/>
      <c r="HME19" s="352"/>
      <c r="HMF19" s="352"/>
      <c r="HMG19" s="352"/>
      <c r="HMH19" s="352"/>
      <c r="HMI19" s="352"/>
      <c r="HMJ19" s="352"/>
      <c r="HMK19" s="352"/>
      <c r="HML19" s="352"/>
      <c r="HMM19" s="352"/>
      <c r="HMN19" s="352"/>
      <c r="HMO19" s="352"/>
      <c r="HMP19" s="352"/>
      <c r="HMQ19" s="352"/>
      <c r="HMR19" s="352"/>
      <c r="HMS19" s="352"/>
      <c r="HMT19" s="352"/>
      <c r="HMU19" s="352"/>
      <c r="HMV19" s="352"/>
      <c r="HMW19" s="352"/>
      <c r="HMX19" s="352"/>
      <c r="HMY19" s="352"/>
      <c r="HMZ19" s="352"/>
      <c r="HNA19" s="352"/>
      <c r="HNB19" s="352"/>
      <c r="HNC19" s="352"/>
      <c r="HND19" s="352"/>
      <c r="HNE19" s="352"/>
      <c r="HNF19" s="352"/>
      <c r="HNG19" s="352"/>
      <c r="HNH19" s="352"/>
      <c r="HNI19" s="352"/>
      <c r="HNJ19" s="352"/>
      <c r="HNK19" s="352"/>
      <c r="HNL19" s="352"/>
      <c r="HNM19" s="352"/>
      <c r="HNN19" s="352"/>
      <c r="HNO19" s="352"/>
      <c r="HNP19" s="352"/>
      <c r="HNQ19" s="352"/>
      <c r="HNR19" s="352"/>
      <c r="HNS19" s="352"/>
      <c r="HNT19" s="352"/>
      <c r="HNU19" s="352"/>
      <c r="HNV19" s="352"/>
      <c r="HNW19" s="352"/>
      <c r="HNX19" s="352"/>
      <c r="HNY19" s="352"/>
      <c r="HNZ19" s="352"/>
      <c r="HOA19" s="352"/>
      <c r="HOB19" s="352"/>
      <c r="HOC19" s="352"/>
      <c r="HOD19" s="352"/>
      <c r="HOE19" s="352"/>
      <c r="HOF19" s="352"/>
      <c r="HOG19" s="352"/>
      <c r="HOH19" s="352"/>
      <c r="HOI19" s="352"/>
      <c r="HOJ19" s="352"/>
      <c r="HOK19" s="352"/>
      <c r="HOL19" s="352"/>
      <c r="HOM19" s="352"/>
      <c r="HON19" s="352"/>
      <c r="HOO19" s="352"/>
      <c r="HOP19" s="352"/>
      <c r="HOQ19" s="352"/>
      <c r="HOR19" s="352"/>
      <c r="HOS19" s="352"/>
      <c r="HOT19" s="352"/>
      <c r="HOU19" s="352"/>
      <c r="HOV19" s="352"/>
      <c r="HOW19" s="352"/>
      <c r="HOX19" s="352"/>
      <c r="HOY19" s="352"/>
      <c r="HOZ19" s="352"/>
      <c r="HPA19" s="352"/>
      <c r="HPB19" s="352"/>
      <c r="HPC19" s="352"/>
      <c r="HPD19" s="352"/>
      <c r="HPE19" s="352"/>
      <c r="HPF19" s="352"/>
      <c r="HPG19" s="352"/>
      <c r="HPH19" s="352"/>
      <c r="HPI19" s="352"/>
      <c r="HPJ19" s="352"/>
      <c r="HPK19" s="352"/>
      <c r="HPL19" s="352"/>
      <c r="HPM19" s="352"/>
      <c r="HPN19" s="352"/>
      <c r="HPO19" s="352"/>
      <c r="HPP19" s="352"/>
      <c r="HPQ19" s="352"/>
      <c r="HPR19" s="352"/>
      <c r="HPS19" s="352"/>
      <c r="HPT19" s="352"/>
      <c r="HPU19" s="352"/>
      <c r="HPV19" s="352"/>
      <c r="HPW19" s="352"/>
      <c r="HPX19" s="352"/>
      <c r="HPY19" s="352"/>
      <c r="HPZ19" s="352"/>
      <c r="HQA19" s="352"/>
      <c r="HQB19" s="352"/>
      <c r="HQC19" s="352"/>
      <c r="HQD19" s="352"/>
      <c r="HQE19" s="352"/>
      <c r="HQF19" s="352"/>
      <c r="HQG19" s="352"/>
      <c r="HQH19" s="352"/>
      <c r="HQI19" s="352"/>
      <c r="HQJ19" s="352"/>
      <c r="HQK19" s="352"/>
      <c r="HQL19" s="352"/>
      <c r="HQM19" s="352"/>
      <c r="HQN19" s="352"/>
      <c r="HQO19" s="352"/>
      <c r="HQP19" s="352"/>
      <c r="HQQ19" s="352"/>
      <c r="HQR19" s="352"/>
      <c r="HQS19" s="352"/>
      <c r="HQT19" s="352"/>
      <c r="HQU19" s="352"/>
      <c r="HQV19" s="352"/>
      <c r="HQW19" s="352"/>
      <c r="HQX19" s="352"/>
      <c r="HQY19" s="352"/>
      <c r="HQZ19" s="352"/>
      <c r="HRA19" s="352"/>
      <c r="HRB19" s="352"/>
      <c r="HRC19" s="352"/>
      <c r="HRD19" s="352"/>
      <c r="HRE19" s="352"/>
      <c r="HRF19" s="352"/>
      <c r="HRG19" s="352"/>
      <c r="HRH19" s="352"/>
      <c r="HRI19" s="352"/>
      <c r="HRJ19" s="352"/>
      <c r="HRK19" s="352"/>
      <c r="HRL19" s="352"/>
      <c r="HRM19" s="352"/>
      <c r="HRN19" s="352"/>
      <c r="HRO19" s="352"/>
      <c r="HRP19" s="352"/>
      <c r="HRQ19" s="352"/>
      <c r="HRR19" s="352"/>
      <c r="HRS19" s="352"/>
      <c r="HRT19" s="352"/>
      <c r="HRU19" s="352"/>
      <c r="HRV19" s="352"/>
      <c r="HRW19" s="352"/>
      <c r="HRX19" s="352"/>
      <c r="HRY19" s="352"/>
      <c r="HRZ19" s="352"/>
      <c r="HSA19" s="352"/>
      <c r="HSB19" s="352"/>
      <c r="HSC19" s="352"/>
      <c r="HSD19" s="352"/>
      <c r="HSE19" s="352"/>
      <c r="HSF19" s="352"/>
      <c r="HSG19" s="352"/>
      <c r="HSH19" s="352"/>
      <c r="HSI19" s="352"/>
      <c r="HSJ19" s="352"/>
      <c r="HSK19" s="352"/>
      <c r="HSL19" s="352"/>
      <c r="HSM19" s="352"/>
      <c r="HSN19" s="352"/>
      <c r="HSO19" s="352"/>
      <c r="HSP19" s="352"/>
      <c r="HSQ19" s="352"/>
      <c r="HSR19" s="352"/>
      <c r="HSS19" s="352"/>
      <c r="HST19" s="352"/>
      <c r="HSU19" s="352"/>
      <c r="HSV19" s="352"/>
      <c r="HSW19" s="352"/>
      <c r="HSX19" s="352"/>
      <c r="HSY19" s="352"/>
      <c r="HSZ19" s="352"/>
      <c r="HTA19" s="352"/>
      <c r="HTB19" s="352"/>
      <c r="HTC19" s="352"/>
      <c r="HTD19" s="352"/>
      <c r="HTE19" s="352"/>
      <c r="HTF19" s="352"/>
      <c r="HTG19" s="352"/>
      <c r="HTH19" s="352"/>
      <c r="HTI19" s="352"/>
      <c r="HTJ19" s="352"/>
      <c r="HTK19" s="352"/>
      <c r="HTL19" s="352"/>
      <c r="HTM19" s="352"/>
      <c r="HTN19" s="352"/>
      <c r="HTO19" s="352"/>
      <c r="HTP19" s="352"/>
      <c r="HTQ19" s="352"/>
      <c r="HTR19" s="352"/>
      <c r="HTS19" s="352"/>
      <c r="HTT19" s="352"/>
      <c r="HTU19" s="352"/>
      <c r="HTV19" s="352"/>
      <c r="HTW19" s="352"/>
      <c r="HTX19" s="352"/>
      <c r="HTY19" s="352"/>
      <c r="HTZ19" s="352"/>
      <c r="HUA19" s="352"/>
      <c r="HUB19" s="352"/>
      <c r="HUC19" s="352"/>
      <c r="HUD19" s="352"/>
      <c r="HUE19" s="352"/>
      <c r="HUF19" s="352"/>
      <c r="HUG19" s="352"/>
      <c r="HUH19" s="352"/>
      <c r="HUI19" s="352"/>
      <c r="HUJ19" s="352"/>
      <c r="HUK19" s="352"/>
      <c r="HUL19" s="352"/>
      <c r="HUM19" s="352"/>
      <c r="HUN19" s="352"/>
      <c r="HUO19" s="352"/>
      <c r="HUP19" s="352"/>
      <c r="HUQ19" s="352"/>
      <c r="HUR19" s="352"/>
      <c r="HUS19" s="352"/>
      <c r="HUT19" s="352"/>
      <c r="HUU19" s="352"/>
      <c r="HUV19" s="352"/>
      <c r="HUW19" s="352"/>
      <c r="HUX19" s="352"/>
      <c r="HUY19" s="352"/>
      <c r="HUZ19" s="352"/>
      <c r="HVA19" s="352"/>
      <c r="HVB19" s="352"/>
      <c r="HVC19" s="352"/>
      <c r="HVD19" s="352"/>
      <c r="HVE19" s="352"/>
      <c r="HVF19" s="352"/>
      <c r="HVG19" s="352"/>
      <c r="HVH19" s="352"/>
      <c r="HVI19" s="352"/>
      <c r="HVJ19" s="352"/>
      <c r="HVK19" s="352"/>
      <c r="HVL19" s="352"/>
      <c r="HVM19" s="352"/>
      <c r="HVN19" s="352"/>
      <c r="HVO19" s="352"/>
      <c r="HVP19" s="352"/>
      <c r="HVQ19" s="352"/>
      <c r="HVR19" s="352"/>
      <c r="HVS19" s="352"/>
      <c r="HVT19" s="352"/>
      <c r="HVU19" s="352"/>
      <c r="HVV19" s="352"/>
      <c r="HVW19" s="352"/>
      <c r="HVX19" s="352"/>
      <c r="HVY19" s="352"/>
      <c r="HVZ19" s="352"/>
      <c r="HWA19" s="352"/>
      <c r="HWB19" s="352"/>
      <c r="HWC19" s="352"/>
      <c r="HWD19" s="352"/>
      <c r="HWE19" s="352"/>
      <c r="HWF19" s="352"/>
      <c r="HWG19" s="352"/>
      <c r="HWH19" s="352"/>
      <c r="HWI19" s="352"/>
      <c r="HWJ19" s="352"/>
      <c r="HWK19" s="352"/>
      <c r="HWL19" s="352"/>
      <c r="HWM19" s="352"/>
      <c r="HWN19" s="352"/>
      <c r="HWO19" s="352"/>
      <c r="HWP19" s="352"/>
      <c r="HWQ19" s="352"/>
      <c r="HWR19" s="352"/>
      <c r="HWS19" s="352"/>
      <c r="HWT19" s="352"/>
      <c r="HWU19" s="352"/>
      <c r="HWV19" s="352"/>
      <c r="HWW19" s="352"/>
      <c r="HWX19" s="352"/>
      <c r="HWY19" s="352"/>
      <c r="HWZ19" s="352"/>
      <c r="HXA19" s="352"/>
      <c r="HXB19" s="352"/>
      <c r="HXC19" s="352"/>
      <c r="HXD19" s="352"/>
      <c r="HXE19" s="352"/>
      <c r="HXF19" s="352"/>
      <c r="HXG19" s="352"/>
      <c r="HXH19" s="352"/>
      <c r="HXI19" s="352"/>
      <c r="HXJ19" s="352"/>
      <c r="HXK19" s="352"/>
      <c r="HXL19" s="352"/>
      <c r="HXM19" s="352"/>
      <c r="HXN19" s="352"/>
      <c r="HXO19" s="352"/>
      <c r="HXP19" s="352"/>
      <c r="HXQ19" s="352"/>
      <c r="HXR19" s="352"/>
      <c r="HXS19" s="352"/>
      <c r="HXT19" s="352"/>
      <c r="HXU19" s="352"/>
      <c r="HXV19" s="352"/>
      <c r="HXW19" s="352"/>
      <c r="HXX19" s="352"/>
      <c r="HXY19" s="352"/>
      <c r="HXZ19" s="352"/>
      <c r="HYA19" s="352"/>
      <c r="HYB19" s="352"/>
      <c r="HYC19" s="352"/>
      <c r="HYD19" s="352"/>
      <c r="HYE19" s="352"/>
      <c r="HYF19" s="352"/>
      <c r="HYG19" s="352"/>
      <c r="HYH19" s="352"/>
      <c r="HYI19" s="352"/>
      <c r="HYJ19" s="352"/>
      <c r="HYK19" s="352"/>
      <c r="HYL19" s="352"/>
      <c r="HYM19" s="352"/>
      <c r="HYN19" s="352"/>
      <c r="HYO19" s="352"/>
      <c r="HYP19" s="352"/>
      <c r="HYQ19" s="352"/>
      <c r="HYR19" s="352"/>
      <c r="HYS19" s="352"/>
      <c r="HYT19" s="352"/>
      <c r="HYU19" s="352"/>
      <c r="HYV19" s="352"/>
      <c r="HYW19" s="352"/>
      <c r="HYX19" s="352"/>
      <c r="HYY19" s="352"/>
      <c r="HYZ19" s="352"/>
      <c r="HZA19" s="352"/>
      <c r="HZB19" s="352"/>
      <c r="HZC19" s="352"/>
      <c r="HZD19" s="352"/>
      <c r="HZE19" s="352"/>
      <c r="HZF19" s="352"/>
      <c r="HZG19" s="352"/>
      <c r="HZH19" s="352"/>
      <c r="HZI19" s="352"/>
      <c r="HZJ19" s="352"/>
      <c r="HZK19" s="352"/>
      <c r="HZL19" s="352"/>
      <c r="HZM19" s="352"/>
      <c r="HZN19" s="352"/>
      <c r="HZO19" s="352"/>
      <c r="HZP19" s="352"/>
      <c r="HZQ19" s="352"/>
      <c r="HZR19" s="352"/>
      <c r="HZS19" s="352"/>
      <c r="HZT19" s="352"/>
      <c r="HZU19" s="352"/>
      <c r="HZV19" s="352"/>
      <c r="HZW19" s="352"/>
      <c r="HZX19" s="352"/>
      <c r="HZY19" s="352"/>
      <c r="HZZ19" s="352"/>
      <c r="IAA19" s="352"/>
      <c r="IAB19" s="352"/>
      <c r="IAC19" s="352"/>
      <c r="IAD19" s="352"/>
      <c r="IAE19" s="352"/>
      <c r="IAF19" s="352"/>
      <c r="IAG19" s="352"/>
      <c r="IAH19" s="352"/>
      <c r="IAI19" s="352"/>
      <c r="IAJ19" s="352"/>
      <c r="IAK19" s="352"/>
      <c r="IAL19" s="352"/>
      <c r="IAM19" s="352"/>
      <c r="IAN19" s="352"/>
      <c r="IAO19" s="352"/>
      <c r="IAP19" s="352"/>
      <c r="IAQ19" s="352"/>
      <c r="IAR19" s="352"/>
      <c r="IAS19" s="352"/>
      <c r="IAT19" s="352"/>
      <c r="IAU19" s="352"/>
      <c r="IAV19" s="352"/>
      <c r="IAW19" s="352"/>
      <c r="IAX19" s="352"/>
      <c r="IAY19" s="352"/>
      <c r="IAZ19" s="352"/>
      <c r="IBA19" s="352"/>
      <c r="IBB19" s="352"/>
      <c r="IBC19" s="352"/>
      <c r="IBD19" s="352"/>
      <c r="IBE19" s="352"/>
      <c r="IBF19" s="352"/>
      <c r="IBG19" s="352"/>
      <c r="IBH19" s="352"/>
      <c r="IBI19" s="352"/>
      <c r="IBJ19" s="352"/>
      <c r="IBK19" s="352"/>
      <c r="IBL19" s="352"/>
      <c r="IBM19" s="352"/>
      <c r="IBN19" s="352"/>
      <c r="IBO19" s="352"/>
      <c r="IBP19" s="352"/>
      <c r="IBQ19" s="352"/>
      <c r="IBR19" s="352"/>
      <c r="IBS19" s="352"/>
      <c r="IBT19" s="352"/>
      <c r="IBU19" s="352"/>
      <c r="IBV19" s="352"/>
      <c r="IBW19" s="352"/>
      <c r="IBX19" s="352"/>
      <c r="IBY19" s="352"/>
      <c r="IBZ19" s="352"/>
      <c r="ICA19" s="352"/>
      <c r="ICB19" s="352"/>
      <c r="ICC19" s="352"/>
      <c r="ICD19" s="352"/>
      <c r="ICE19" s="352"/>
      <c r="ICF19" s="352"/>
      <c r="ICG19" s="352"/>
      <c r="ICH19" s="352"/>
      <c r="ICI19" s="352"/>
      <c r="ICJ19" s="352"/>
      <c r="ICK19" s="352"/>
      <c r="ICL19" s="352"/>
      <c r="ICM19" s="352"/>
      <c r="ICN19" s="352"/>
      <c r="ICO19" s="352"/>
      <c r="ICP19" s="352"/>
      <c r="ICQ19" s="352"/>
      <c r="ICR19" s="352"/>
      <c r="ICS19" s="352"/>
      <c r="ICT19" s="352"/>
      <c r="ICU19" s="352"/>
      <c r="ICV19" s="352"/>
      <c r="ICW19" s="352"/>
      <c r="ICX19" s="352"/>
      <c r="ICY19" s="352"/>
      <c r="ICZ19" s="352"/>
      <c r="IDA19" s="352"/>
      <c r="IDB19" s="352"/>
      <c r="IDC19" s="352"/>
      <c r="IDD19" s="352"/>
      <c r="IDE19" s="352"/>
      <c r="IDF19" s="352"/>
      <c r="IDG19" s="352"/>
      <c r="IDH19" s="352"/>
      <c r="IDI19" s="352"/>
      <c r="IDJ19" s="352"/>
      <c r="IDK19" s="352"/>
      <c r="IDL19" s="352"/>
      <c r="IDM19" s="352"/>
      <c r="IDN19" s="352"/>
      <c r="IDO19" s="352"/>
      <c r="IDP19" s="352"/>
      <c r="IDQ19" s="352"/>
      <c r="IDR19" s="352"/>
      <c r="IDS19" s="352"/>
      <c r="IDT19" s="352"/>
      <c r="IDU19" s="352"/>
      <c r="IDV19" s="352"/>
      <c r="IDW19" s="352"/>
      <c r="IDX19" s="352"/>
      <c r="IDY19" s="352"/>
      <c r="IDZ19" s="352"/>
      <c r="IEA19" s="352"/>
      <c r="IEB19" s="352"/>
      <c r="IEC19" s="352"/>
      <c r="IED19" s="352"/>
      <c r="IEE19" s="352"/>
      <c r="IEF19" s="352"/>
      <c r="IEG19" s="352"/>
      <c r="IEH19" s="352"/>
      <c r="IEI19" s="352"/>
      <c r="IEJ19" s="352"/>
      <c r="IEK19" s="352"/>
      <c r="IEL19" s="352"/>
      <c r="IEM19" s="352"/>
      <c r="IEN19" s="352"/>
      <c r="IEO19" s="352"/>
      <c r="IEP19" s="352"/>
      <c r="IEQ19" s="352"/>
      <c r="IER19" s="352"/>
      <c r="IES19" s="352"/>
      <c r="IET19" s="352"/>
      <c r="IEU19" s="352"/>
      <c r="IEV19" s="352"/>
      <c r="IEW19" s="352"/>
      <c r="IEX19" s="352"/>
      <c r="IEY19" s="352"/>
      <c r="IEZ19" s="352"/>
      <c r="IFA19" s="352"/>
      <c r="IFB19" s="352"/>
      <c r="IFC19" s="352"/>
      <c r="IFD19" s="352"/>
      <c r="IFE19" s="352"/>
      <c r="IFF19" s="352"/>
      <c r="IFG19" s="352"/>
      <c r="IFH19" s="352"/>
      <c r="IFI19" s="352"/>
      <c r="IFJ19" s="352"/>
      <c r="IFK19" s="352"/>
      <c r="IFL19" s="352"/>
      <c r="IFM19" s="352"/>
      <c r="IFN19" s="352"/>
      <c r="IFO19" s="352"/>
      <c r="IFP19" s="352"/>
      <c r="IFQ19" s="352"/>
      <c r="IFR19" s="352"/>
      <c r="IFS19" s="352"/>
      <c r="IFT19" s="352"/>
      <c r="IFU19" s="352"/>
      <c r="IFV19" s="352"/>
      <c r="IFW19" s="352"/>
      <c r="IFX19" s="352"/>
      <c r="IFY19" s="352"/>
      <c r="IFZ19" s="352"/>
      <c r="IGA19" s="352"/>
      <c r="IGB19" s="352"/>
      <c r="IGC19" s="352"/>
      <c r="IGD19" s="352"/>
      <c r="IGE19" s="352"/>
      <c r="IGF19" s="352"/>
      <c r="IGG19" s="352"/>
      <c r="IGH19" s="352"/>
      <c r="IGI19" s="352"/>
      <c r="IGJ19" s="352"/>
      <c r="IGK19" s="352"/>
      <c r="IGL19" s="352"/>
      <c r="IGM19" s="352"/>
      <c r="IGN19" s="352"/>
      <c r="IGO19" s="352"/>
      <c r="IGP19" s="352"/>
      <c r="IGQ19" s="352"/>
      <c r="IGR19" s="352"/>
      <c r="IGS19" s="352"/>
      <c r="IGT19" s="352"/>
      <c r="IGU19" s="352"/>
      <c r="IGV19" s="352"/>
      <c r="IGW19" s="352"/>
      <c r="IGX19" s="352"/>
      <c r="IGY19" s="352"/>
      <c r="IGZ19" s="352"/>
      <c r="IHA19" s="352"/>
      <c r="IHB19" s="352"/>
      <c r="IHC19" s="352"/>
      <c r="IHD19" s="352"/>
      <c r="IHE19" s="352"/>
      <c r="IHF19" s="352"/>
      <c r="IHG19" s="352"/>
      <c r="IHH19" s="352"/>
      <c r="IHI19" s="352"/>
      <c r="IHJ19" s="352"/>
      <c r="IHK19" s="352"/>
      <c r="IHL19" s="352"/>
      <c r="IHM19" s="352"/>
      <c r="IHN19" s="352"/>
      <c r="IHO19" s="352"/>
      <c r="IHP19" s="352"/>
      <c r="IHQ19" s="352"/>
      <c r="IHR19" s="352"/>
      <c r="IHS19" s="352"/>
      <c r="IHT19" s="352"/>
      <c r="IHU19" s="352"/>
      <c r="IHV19" s="352"/>
      <c r="IHW19" s="352"/>
      <c r="IHX19" s="352"/>
      <c r="IHY19" s="352"/>
      <c r="IHZ19" s="352"/>
      <c r="IIA19" s="352"/>
      <c r="IIB19" s="352"/>
      <c r="IIC19" s="352"/>
      <c r="IID19" s="352"/>
      <c r="IIE19" s="352"/>
      <c r="IIF19" s="352"/>
      <c r="IIG19" s="352"/>
      <c r="IIH19" s="352"/>
      <c r="III19" s="352"/>
      <c r="IIJ19" s="352"/>
      <c r="IIK19" s="352"/>
      <c r="IIL19" s="352"/>
      <c r="IIM19" s="352"/>
      <c r="IIN19" s="352"/>
      <c r="IIO19" s="352"/>
      <c r="IIP19" s="352"/>
      <c r="IIQ19" s="352"/>
      <c r="IIR19" s="352"/>
      <c r="IIS19" s="352"/>
      <c r="IIT19" s="352"/>
      <c r="IIU19" s="352"/>
      <c r="IIV19" s="352"/>
      <c r="IIW19" s="352"/>
      <c r="IIX19" s="352"/>
      <c r="IIY19" s="352"/>
      <c r="IIZ19" s="352"/>
      <c r="IJA19" s="352"/>
      <c r="IJB19" s="352"/>
      <c r="IJC19" s="352"/>
      <c r="IJD19" s="352"/>
      <c r="IJE19" s="352"/>
      <c r="IJF19" s="352"/>
      <c r="IJG19" s="352"/>
      <c r="IJH19" s="352"/>
      <c r="IJI19" s="352"/>
      <c r="IJJ19" s="352"/>
      <c r="IJK19" s="352"/>
      <c r="IJL19" s="352"/>
      <c r="IJM19" s="352"/>
      <c r="IJN19" s="352"/>
      <c r="IJO19" s="352"/>
      <c r="IJP19" s="352"/>
      <c r="IJQ19" s="352"/>
      <c r="IJR19" s="352"/>
      <c r="IJS19" s="352"/>
      <c r="IJT19" s="352"/>
      <c r="IJU19" s="352"/>
      <c r="IJV19" s="352"/>
      <c r="IJW19" s="352"/>
      <c r="IJX19" s="352"/>
      <c r="IJY19" s="352"/>
      <c r="IJZ19" s="352"/>
      <c r="IKA19" s="352"/>
      <c r="IKB19" s="352"/>
      <c r="IKC19" s="352"/>
      <c r="IKD19" s="352"/>
      <c r="IKE19" s="352"/>
      <c r="IKF19" s="352"/>
      <c r="IKG19" s="352"/>
      <c r="IKH19" s="352"/>
      <c r="IKI19" s="352"/>
      <c r="IKJ19" s="352"/>
      <c r="IKK19" s="352"/>
      <c r="IKL19" s="352"/>
      <c r="IKM19" s="352"/>
      <c r="IKN19" s="352"/>
      <c r="IKO19" s="352"/>
      <c r="IKP19" s="352"/>
      <c r="IKQ19" s="352"/>
      <c r="IKR19" s="352"/>
      <c r="IKS19" s="352"/>
      <c r="IKT19" s="352"/>
      <c r="IKU19" s="352"/>
      <c r="IKV19" s="352"/>
      <c r="IKW19" s="352"/>
      <c r="IKX19" s="352"/>
      <c r="IKY19" s="352"/>
      <c r="IKZ19" s="352"/>
      <c r="ILA19" s="352"/>
      <c r="ILB19" s="352"/>
      <c r="ILC19" s="352"/>
      <c r="ILD19" s="352"/>
      <c r="ILE19" s="352"/>
      <c r="ILF19" s="352"/>
      <c r="ILG19" s="352"/>
      <c r="ILH19" s="352"/>
      <c r="ILI19" s="352"/>
      <c r="ILJ19" s="352"/>
      <c r="ILK19" s="352"/>
      <c r="ILL19" s="352"/>
      <c r="ILM19" s="352"/>
      <c r="ILN19" s="352"/>
      <c r="ILO19" s="352"/>
      <c r="ILP19" s="352"/>
      <c r="ILQ19" s="352"/>
      <c r="ILR19" s="352"/>
      <c r="ILS19" s="352"/>
      <c r="ILT19" s="352"/>
      <c r="ILU19" s="352"/>
      <c r="ILV19" s="352"/>
      <c r="ILW19" s="352"/>
      <c r="ILX19" s="352"/>
      <c r="ILY19" s="352"/>
      <c r="ILZ19" s="352"/>
      <c r="IMA19" s="352"/>
      <c r="IMB19" s="352"/>
      <c r="IMC19" s="352"/>
      <c r="IMD19" s="352"/>
      <c r="IME19" s="352"/>
      <c r="IMF19" s="352"/>
      <c r="IMG19" s="352"/>
      <c r="IMH19" s="352"/>
      <c r="IMI19" s="352"/>
      <c r="IMJ19" s="352"/>
      <c r="IMK19" s="352"/>
      <c r="IML19" s="352"/>
      <c r="IMM19" s="352"/>
      <c r="IMN19" s="352"/>
      <c r="IMO19" s="352"/>
      <c r="IMP19" s="352"/>
      <c r="IMQ19" s="352"/>
      <c r="IMR19" s="352"/>
      <c r="IMS19" s="352"/>
      <c r="IMT19" s="352"/>
      <c r="IMU19" s="352"/>
      <c r="IMV19" s="352"/>
      <c r="IMW19" s="352"/>
      <c r="IMX19" s="352"/>
      <c r="IMY19" s="352"/>
      <c r="IMZ19" s="352"/>
      <c r="INA19" s="352"/>
      <c r="INB19" s="352"/>
      <c r="INC19" s="352"/>
      <c r="IND19" s="352"/>
      <c r="INE19" s="352"/>
      <c r="INF19" s="352"/>
      <c r="ING19" s="352"/>
      <c r="INH19" s="352"/>
      <c r="INI19" s="352"/>
      <c r="INJ19" s="352"/>
      <c r="INK19" s="352"/>
      <c r="INL19" s="352"/>
      <c r="INM19" s="352"/>
      <c r="INN19" s="352"/>
      <c r="INO19" s="352"/>
      <c r="INP19" s="352"/>
      <c r="INQ19" s="352"/>
      <c r="INR19" s="352"/>
      <c r="INS19" s="352"/>
      <c r="INT19" s="352"/>
      <c r="INU19" s="352"/>
      <c r="INV19" s="352"/>
      <c r="INW19" s="352"/>
      <c r="INX19" s="352"/>
      <c r="INY19" s="352"/>
      <c r="INZ19" s="352"/>
      <c r="IOA19" s="352"/>
      <c r="IOB19" s="352"/>
      <c r="IOC19" s="352"/>
      <c r="IOD19" s="352"/>
      <c r="IOE19" s="352"/>
      <c r="IOF19" s="352"/>
      <c r="IOG19" s="352"/>
      <c r="IOH19" s="352"/>
      <c r="IOI19" s="352"/>
      <c r="IOJ19" s="352"/>
      <c r="IOK19" s="352"/>
      <c r="IOL19" s="352"/>
      <c r="IOM19" s="352"/>
      <c r="ION19" s="352"/>
      <c r="IOO19" s="352"/>
      <c r="IOP19" s="352"/>
      <c r="IOQ19" s="352"/>
      <c r="IOR19" s="352"/>
      <c r="IOS19" s="352"/>
      <c r="IOT19" s="352"/>
      <c r="IOU19" s="352"/>
      <c r="IOV19" s="352"/>
      <c r="IOW19" s="352"/>
      <c r="IOX19" s="352"/>
      <c r="IOY19" s="352"/>
      <c r="IOZ19" s="352"/>
      <c r="IPA19" s="352"/>
      <c r="IPB19" s="352"/>
      <c r="IPC19" s="352"/>
      <c r="IPD19" s="352"/>
      <c r="IPE19" s="352"/>
      <c r="IPF19" s="352"/>
      <c r="IPG19" s="352"/>
      <c r="IPH19" s="352"/>
      <c r="IPI19" s="352"/>
      <c r="IPJ19" s="352"/>
      <c r="IPK19" s="352"/>
      <c r="IPL19" s="352"/>
      <c r="IPM19" s="352"/>
      <c r="IPN19" s="352"/>
      <c r="IPO19" s="352"/>
      <c r="IPP19" s="352"/>
      <c r="IPQ19" s="352"/>
      <c r="IPR19" s="352"/>
      <c r="IPS19" s="352"/>
      <c r="IPT19" s="352"/>
      <c r="IPU19" s="352"/>
      <c r="IPV19" s="352"/>
      <c r="IPW19" s="352"/>
      <c r="IPX19" s="352"/>
      <c r="IPY19" s="352"/>
      <c r="IPZ19" s="352"/>
      <c r="IQA19" s="352"/>
      <c r="IQB19" s="352"/>
      <c r="IQC19" s="352"/>
      <c r="IQD19" s="352"/>
      <c r="IQE19" s="352"/>
      <c r="IQF19" s="352"/>
      <c r="IQG19" s="352"/>
      <c r="IQH19" s="352"/>
      <c r="IQI19" s="352"/>
      <c r="IQJ19" s="352"/>
      <c r="IQK19" s="352"/>
      <c r="IQL19" s="352"/>
      <c r="IQM19" s="352"/>
      <c r="IQN19" s="352"/>
      <c r="IQO19" s="352"/>
      <c r="IQP19" s="352"/>
      <c r="IQQ19" s="352"/>
      <c r="IQR19" s="352"/>
      <c r="IQS19" s="352"/>
      <c r="IQT19" s="352"/>
      <c r="IQU19" s="352"/>
      <c r="IQV19" s="352"/>
      <c r="IQW19" s="352"/>
      <c r="IQX19" s="352"/>
      <c r="IQY19" s="352"/>
      <c r="IQZ19" s="352"/>
      <c r="IRA19" s="352"/>
      <c r="IRB19" s="352"/>
      <c r="IRC19" s="352"/>
      <c r="IRD19" s="352"/>
      <c r="IRE19" s="352"/>
      <c r="IRF19" s="352"/>
      <c r="IRG19" s="352"/>
      <c r="IRH19" s="352"/>
      <c r="IRI19" s="352"/>
      <c r="IRJ19" s="352"/>
      <c r="IRK19" s="352"/>
      <c r="IRL19" s="352"/>
      <c r="IRM19" s="352"/>
      <c r="IRN19" s="352"/>
      <c r="IRO19" s="352"/>
      <c r="IRP19" s="352"/>
      <c r="IRQ19" s="352"/>
      <c r="IRR19" s="352"/>
      <c r="IRS19" s="352"/>
      <c r="IRT19" s="352"/>
      <c r="IRU19" s="352"/>
      <c r="IRV19" s="352"/>
      <c r="IRW19" s="352"/>
      <c r="IRX19" s="352"/>
      <c r="IRY19" s="352"/>
      <c r="IRZ19" s="352"/>
      <c r="ISA19" s="352"/>
      <c r="ISB19" s="352"/>
      <c r="ISC19" s="352"/>
      <c r="ISD19" s="352"/>
      <c r="ISE19" s="352"/>
      <c r="ISF19" s="352"/>
      <c r="ISG19" s="352"/>
      <c r="ISH19" s="352"/>
      <c r="ISI19" s="352"/>
      <c r="ISJ19" s="352"/>
      <c r="ISK19" s="352"/>
      <c r="ISL19" s="352"/>
      <c r="ISM19" s="352"/>
      <c r="ISN19" s="352"/>
      <c r="ISO19" s="352"/>
      <c r="ISP19" s="352"/>
      <c r="ISQ19" s="352"/>
      <c r="ISR19" s="352"/>
      <c r="ISS19" s="352"/>
      <c r="IST19" s="352"/>
      <c r="ISU19" s="352"/>
      <c r="ISV19" s="352"/>
      <c r="ISW19" s="352"/>
      <c r="ISX19" s="352"/>
      <c r="ISY19" s="352"/>
      <c r="ISZ19" s="352"/>
      <c r="ITA19" s="352"/>
      <c r="ITB19" s="352"/>
      <c r="ITC19" s="352"/>
      <c r="ITD19" s="352"/>
      <c r="ITE19" s="352"/>
      <c r="ITF19" s="352"/>
      <c r="ITG19" s="352"/>
      <c r="ITH19" s="352"/>
      <c r="ITI19" s="352"/>
      <c r="ITJ19" s="352"/>
      <c r="ITK19" s="352"/>
      <c r="ITL19" s="352"/>
      <c r="ITM19" s="352"/>
      <c r="ITN19" s="352"/>
      <c r="ITO19" s="352"/>
      <c r="ITP19" s="352"/>
      <c r="ITQ19" s="352"/>
      <c r="ITR19" s="352"/>
      <c r="ITS19" s="352"/>
      <c r="ITT19" s="352"/>
      <c r="ITU19" s="352"/>
      <c r="ITV19" s="352"/>
      <c r="ITW19" s="352"/>
      <c r="ITX19" s="352"/>
      <c r="ITY19" s="352"/>
      <c r="ITZ19" s="352"/>
      <c r="IUA19" s="352"/>
      <c r="IUB19" s="352"/>
      <c r="IUC19" s="352"/>
      <c r="IUD19" s="352"/>
      <c r="IUE19" s="352"/>
      <c r="IUF19" s="352"/>
      <c r="IUG19" s="352"/>
      <c r="IUH19" s="352"/>
      <c r="IUI19" s="352"/>
      <c r="IUJ19" s="352"/>
      <c r="IUK19" s="352"/>
      <c r="IUL19" s="352"/>
      <c r="IUM19" s="352"/>
      <c r="IUN19" s="352"/>
      <c r="IUO19" s="352"/>
      <c r="IUP19" s="352"/>
      <c r="IUQ19" s="352"/>
      <c r="IUR19" s="352"/>
      <c r="IUS19" s="352"/>
      <c r="IUT19" s="352"/>
      <c r="IUU19" s="352"/>
      <c r="IUV19" s="352"/>
      <c r="IUW19" s="352"/>
      <c r="IUX19" s="352"/>
      <c r="IUY19" s="352"/>
      <c r="IUZ19" s="352"/>
      <c r="IVA19" s="352"/>
      <c r="IVB19" s="352"/>
      <c r="IVC19" s="352"/>
      <c r="IVD19" s="352"/>
      <c r="IVE19" s="352"/>
      <c r="IVF19" s="352"/>
      <c r="IVG19" s="352"/>
      <c r="IVH19" s="352"/>
      <c r="IVI19" s="352"/>
      <c r="IVJ19" s="352"/>
      <c r="IVK19" s="352"/>
      <c r="IVL19" s="352"/>
      <c r="IVM19" s="352"/>
      <c r="IVN19" s="352"/>
      <c r="IVO19" s="352"/>
      <c r="IVP19" s="352"/>
      <c r="IVQ19" s="352"/>
      <c r="IVR19" s="352"/>
      <c r="IVS19" s="352"/>
      <c r="IVT19" s="352"/>
      <c r="IVU19" s="352"/>
      <c r="IVV19" s="352"/>
      <c r="IVW19" s="352"/>
      <c r="IVX19" s="352"/>
      <c r="IVY19" s="352"/>
      <c r="IVZ19" s="352"/>
      <c r="IWA19" s="352"/>
      <c r="IWB19" s="352"/>
      <c r="IWC19" s="352"/>
      <c r="IWD19" s="352"/>
      <c r="IWE19" s="352"/>
      <c r="IWF19" s="352"/>
      <c r="IWG19" s="352"/>
      <c r="IWH19" s="352"/>
      <c r="IWI19" s="352"/>
      <c r="IWJ19" s="352"/>
      <c r="IWK19" s="352"/>
      <c r="IWL19" s="352"/>
      <c r="IWM19" s="352"/>
      <c r="IWN19" s="352"/>
      <c r="IWO19" s="352"/>
      <c r="IWP19" s="352"/>
      <c r="IWQ19" s="352"/>
      <c r="IWR19" s="352"/>
      <c r="IWS19" s="352"/>
      <c r="IWT19" s="352"/>
      <c r="IWU19" s="352"/>
      <c r="IWV19" s="352"/>
      <c r="IWW19" s="352"/>
      <c r="IWX19" s="352"/>
      <c r="IWY19" s="352"/>
      <c r="IWZ19" s="352"/>
      <c r="IXA19" s="352"/>
      <c r="IXB19" s="352"/>
      <c r="IXC19" s="352"/>
      <c r="IXD19" s="352"/>
      <c r="IXE19" s="352"/>
      <c r="IXF19" s="352"/>
      <c r="IXG19" s="352"/>
      <c r="IXH19" s="352"/>
      <c r="IXI19" s="352"/>
      <c r="IXJ19" s="352"/>
      <c r="IXK19" s="352"/>
      <c r="IXL19" s="352"/>
      <c r="IXM19" s="352"/>
      <c r="IXN19" s="352"/>
      <c r="IXO19" s="352"/>
      <c r="IXP19" s="352"/>
      <c r="IXQ19" s="352"/>
      <c r="IXR19" s="352"/>
      <c r="IXS19" s="352"/>
      <c r="IXT19" s="352"/>
      <c r="IXU19" s="352"/>
      <c r="IXV19" s="352"/>
      <c r="IXW19" s="352"/>
      <c r="IXX19" s="352"/>
      <c r="IXY19" s="352"/>
      <c r="IXZ19" s="352"/>
      <c r="IYA19" s="352"/>
      <c r="IYB19" s="352"/>
      <c r="IYC19" s="352"/>
      <c r="IYD19" s="352"/>
      <c r="IYE19" s="352"/>
      <c r="IYF19" s="352"/>
      <c r="IYG19" s="352"/>
      <c r="IYH19" s="352"/>
      <c r="IYI19" s="352"/>
      <c r="IYJ19" s="352"/>
      <c r="IYK19" s="352"/>
      <c r="IYL19" s="352"/>
      <c r="IYM19" s="352"/>
      <c r="IYN19" s="352"/>
      <c r="IYO19" s="352"/>
      <c r="IYP19" s="352"/>
      <c r="IYQ19" s="352"/>
      <c r="IYR19" s="352"/>
      <c r="IYS19" s="352"/>
      <c r="IYT19" s="352"/>
      <c r="IYU19" s="352"/>
      <c r="IYV19" s="352"/>
      <c r="IYW19" s="352"/>
      <c r="IYX19" s="352"/>
      <c r="IYY19" s="352"/>
      <c r="IYZ19" s="352"/>
      <c r="IZA19" s="352"/>
      <c r="IZB19" s="352"/>
      <c r="IZC19" s="352"/>
      <c r="IZD19" s="352"/>
      <c r="IZE19" s="352"/>
      <c r="IZF19" s="352"/>
      <c r="IZG19" s="352"/>
      <c r="IZH19" s="352"/>
      <c r="IZI19" s="352"/>
      <c r="IZJ19" s="352"/>
      <c r="IZK19" s="352"/>
      <c r="IZL19" s="352"/>
      <c r="IZM19" s="352"/>
      <c r="IZN19" s="352"/>
      <c r="IZO19" s="352"/>
      <c r="IZP19" s="352"/>
      <c r="IZQ19" s="352"/>
      <c r="IZR19" s="352"/>
      <c r="IZS19" s="352"/>
      <c r="IZT19" s="352"/>
      <c r="IZU19" s="352"/>
      <c r="IZV19" s="352"/>
      <c r="IZW19" s="352"/>
      <c r="IZX19" s="352"/>
      <c r="IZY19" s="352"/>
      <c r="IZZ19" s="352"/>
      <c r="JAA19" s="352"/>
      <c r="JAB19" s="352"/>
      <c r="JAC19" s="352"/>
      <c r="JAD19" s="352"/>
      <c r="JAE19" s="352"/>
      <c r="JAF19" s="352"/>
      <c r="JAG19" s="352"/>
      <c r="JAH19" s="352"/>
      <c r="JAI19" s="352"/>
      <c r="JAJ19" s="352"/>
      <c r="JAK19" s="352"/>
      <c r="JAL19" s="352"/>
      <c r="JAM19" s="352"/>
      <c r="JAN19" s="352"/>
      <c r="JAO19" s="352"/>
      <c r="JAP19" s="352"/>
      <c r="JAQ19" s="352"/>
      <c r="JAR19" s="352"/>
      <c r="JAS19" s="352"/>
      <c r="JAT19" s="352"/>
      <c r="JAU19" s="352"/>
      <c r="JAV19" s="352"/>
      <c r="JAW19" s="352"/>
      <c r="JAX19" s="352"/>
      <c r="JAY19" s="352"/>
      <c r="JAZ19" s="352"/>
      <c r="JBA19" s="352"/>
      <c r="JBB19" s="352"/>
      <c r="JBC19" s="352"/>
      <c r="JBD19" s="352"/>
      <c r="JBE19" s="352"/>
      <c r="JBF19" s="352"/>
      <c r="JBG19" s="352"/>
      <c r="JBH19" s="352"/>
      <c r="JBI19" s="352"/>
      <c r="JBJ19" s="352"/>
      <c r="JBK19" s="352"/>
      <c r="JBL19" s="352"/>
      <c r="JBM19" s="352"/>
      <c r="JBN19" s="352"/>
      <c r="JBO19" s="352"/>
      <c r="JBP19" s="352"/>
      <c r="JBQ19" s="352"/>
      <c r="JBR19" s="352"/>
      <c r="JBS19" s="352"/>
      <c r="JBT19" s="352"/>
      <c r="JBU19" s="352"/>
      <c r="JBV19" s="352"/>
      <c r="JBW19" s="352"/>
      <c r="JBX19" s="352"/>
      <c r="JBY19" s="352"/>
      <c r="JBZ19" s="352"/>
      <c r="JCA19" s="352"/>
      <c r="JCB19" s="352"/>
      <c r="JCC19" s="352"/>
      <c r="JCD19" s="352"/>
      <c r="JCE19" s="352"/>
      <c r="JCF19" s="352"/>
      <c r="JCG19" s="352"/>
      <c r="JCH19" s="352"/>
      <c r="JCI19" s="352"/>
      <c r="JCJ19" s="352"/>
      <c r="JCK19" s="352"/>
      <c r="JCL19" s="352"/>
      <c r="JCM19" s="352"/>
      <c r="JCN19" s="352"/>
      <c r="JCO19" s="352"/>
      <c r="JCP19" s="352"/>
      <c r="JCQ19" s="352"/>
      <c r="JCR19" s="352"/>
      <c r="JCS19" s="352"/>
      <c r="JCT19" s="352"/>
      <c r="JCU19" s="352"/>
      <c r="JCV19" s="352"/>
      <c r="JCW19" s="352"/>
      <c r="JCX19" s="352"/>
      <c r="JCY19" s="352"/>
      <c r="JCZ19" s="352"/>
      <c r="JDA19" s="352"/>
      <c r="JDB19" s="352"/>
      <c r="JDC19" s="352"/>
      <c r="JDD19" s="352"/>
      <c r="JDE19" s="352"/>
      <c r="JDF19" s="352"/>
      <c r="JDG19" s="352"/>
      <c r="JDH19" s="352"/>
      <c r="JDI19" s="352"/>
      <c r="JDJ19" s="352"/>
      <c r="JDK19" s="352"/>
      <c r="JDL19" s="352"/>
      <c r="JDM19" s="352"/>
      <c r="JDN19" s="352"/>
      <c r="JDO19" s="352"/>
      <c r="JDP19" s="352"/>
      <c r="JDQ19" s="352"/>
      <c r="JDR19" s="352"/>
      <c r="JDS19" s="352"/>
      <c r="JDT19" s="352"/>
      <c r="JDU19" s="352"/>
      <c r="JDV19" s="352"/>
      <c r="JDW19" s="352"/>
      <c r="JDX19" s="352"/>
      <c r="JDY19" s="352"/>
      <c r="JDZ19" s="352"/>
      <c r="JEA19" s="352"/>
      <c r="JEB19" s="352"/>
      <c r="JEC19" s="352"/>
      <c r="JED19" s="352"/>
      <c r="JEE19" s="352"/>
      <c r="JEF19" s="352"/>
      <c r="JEG19" s="352"/>
      <c r="JEH19" s="352"/>
      <c r="JEI19" s="352"/>
      <c r="JEJ19" s="352"/>
      <c r="JEK19" s="352"/>
      <c r="JEL19" s="352"/>
      <c r="JEM19" s="352"/>
      <c r="JEN19" s="352"/>
      <c r="JEO19" s="352"/>
      <c r="JEP19" s="352"/>
      <c r="JEQ19" s="352"/>
      <c r="JER19" s="352"/>
      <c r="JES19" s="352"/>
      <c r="JET19" s="352"/>
      <c r="JEU19" s="352"/>
      <c r="JEV19" s="352"/>
      <c r="JEW19" s="352"/>
      <c r="JEX19" s="352"/>
      <c r="JEY19" s="352"/>
      <c r="JEZ19" s="352"/>
      <c r="JFA19" s="352"/>
      <c r="JFB19" s="352"/>
      <c r="JFC19" s="352"/>
      <c r="JFD19" s="352"/>
      <c r="JFE19" s="352"/>
      <c r="JFF19" s="352"/>
      <c r="JFG19" s="352"/>
      <c r="JFH19" s="352"/>
      <c r="JFI19" s="352"/>
      <c r="JFJ19" s="352"/>
      <c r="JFK19" s="352"/>
      <c r="JFL19" s="352"/>
      <c r="JFM19" s="352"/>
      <c r="JFN19" s="352"/>
      <c r="JFO19" s="352"/>
      <c r="JFP19" s="352"/>
      <c r="JFQ19" s="352"/>
      <c r="JFR19" s="352"/>
      <c r="JFS19" s="352"/>
      <c r="JFT19" s="352"/>
      <c r="JFU19" s="352"/>
      <c r="JFV19" s="352"/>
      <c r="JFW19" s="352"/>
      <c r="JFX19" s="352"/>
      <c r="JFY19" s="352"/>
      <c r="JFZ19" s="352"/>
      <c r="JGA19" s="352"/>
      <c r="JGB19" s="352"/>
      <c r="JGC19" s="352"/>
      <c r="JGD19" s="352"/>
      <c r="JGE19" s="352"/>
      <c r="JGF19" s="352"/>
      <c r="JGG19" s="352"/>
      <c r="JGH19" s="352"/>
      <c r="JGI19" s="352"/>
      <c r="JGJ19" s="352"/>
      <c r="JGK19" s="352"/>
      <c r="JGL19" s="352"/>
      <c r="JGM19" s="352"/>
      <c r="JGN19" s="352"/>
      <c r="JGO19" s="352"/>
      <c r="JGP19" s="352"/>
      <c r="JGQ19" s="352"/>
      <c r="JGR19" s="352"/>
      <c r="JGS19" s="352"/>
      <c r="JGT19" s="352"/>
      <c r="JGU19" s="352"/>
      <c r="JGV19" s="352"/>
      <c r="JGW19" s="352"/>
      <c r="JGX19" s="352"/>
      <c r="JGY19" s="352"/>
      <c r="JGZ19" s="352"/>
      <c r="JHA19" s="352"/>
      <c r="JHB19" s="352"/>
      <c r="JHC19" s="352"/>
      <c r="JHD19" s="352"/>
      <c r="JHE19" s="352"/>
      <c r="JHF19" s="352"/>
      <c r="JHG19" s="352"/>
      <c r="JHH19" s="352"/>
      <c r="JHI19" s="352"/>
      <c r="JHJ19" s="352"/>
      <c r="JHK19" s="352"/>
      <c r="JHL19" s="352"/>
      <c r="JHM19" s="352"/>
      <c r="JHN19" s="352"/>
      <c r="JHO19" s="352"/>
      <c r="JHP19" s="352"/>
      <c r="JHQ19" s="352"/>
      <c r="JHR19" s="352"/>
      <c r="JHS19" s="352"/>
      <c r="JHT19" s="352"/>
      <c r="JHU19" s="352"/>
      <c r="JHV19" s="352"/>
      <c r="JHW19" s="352"/>
      <c r="JHX19" s="352"/>
      <c r="JHY19" s="352"/>
      <c r="JHZ19" s="352"/>
      <c r="JIA19" s="352"/>
      <c r="JIB19" s="352"/>
      <c r="JIC19" s="352"/>
      <c r="JID19" s="352"/>
      <c r="JIE19" s="352"/>
      <c r="JIF19" s="352"/>
      <c r="JIG19" s="352"/>
      <c r="JIH19" s="352"/>
      <c r="JII19" s="352"/>
      <c r="JIJ19" s="352"/>
      <c r="JIK19" s="352"/>
      <c r="JIL19" s="352"/>
      <c r="JIM19" s="352"/>
      <c r="JIN19" s="352"/>
      <c r="JIO19" s="352"/>
      <c r="JIP19" s="352"/>
      <c r="JIQ19" s="352"/>
      <c r="JIR19" s="352"/>
      <c r="JIS19" s="352"/>
      <c r="JIT19" s="352"/>
      <c r="JIU19" s="352"/>
      <c r="JIV19" s="352"/>
      <c r="JIW19" s="352"/>
      <c r="JIX19" s="352"/>
      <c r="JIY19" s="352"/>
      <c r="JIZ19" s="352"/>
      <c r="JJA19" s="352"/>
      <c r="JJB19" s="352"/>
      <c r="JJC19" s="352"/>
      <c r="JJD19" s="352"/>
      <c r="JJE19" s="352"/>
      <c r="JJF19" s="352"/>
      <c r="JJG19" s="352"/>
      <c r="JJH19" s="352"/>
      <c r="JJI19" s="352"/>
      <c r="JJJ19" s="352"/>
      <c r="JJK19" s="352"/>
      <c r="JJL19" s="352"/>
      <c r="JJM19" s="352"/>
      <c r="JJN19" s="352"/>
      <c r="JJO19" s="352"/>
      <c r="JJP19" s="352"/>
      <c r="JJQ19" s="352"/>
      <c r="JJR19" s="352"/>
      <c r="JJS19" s="352"/>
      <c r="JJT19" s="352"/>
      <c r="JJU19" s="352"/>
      <c r="JJV19" s="352"/>
      <c r="JJW19" s="352"/>
      <c r="JJX19" s="352"/>
      <c r="JJY19" s="352"/>
      <c r="JJZ19" s="352"/>
      <c r="JKA19" s="352"/>
      <c r="JKB19" s="352"/>
      <c r="JKC19" s="352"/>
      <c r="JKD19" s="352"/>
      <c r="JKE19" s="352"/>
      <c r="JKF19" s="352"/>
      <c r="JKG19" s="352"/>
      <c r="JKH19" s="352"/>
      <c r="JKI19" s="352"/>
      <c r="JKJ19" s="352"/>
      <c r="JKK19" s="352"/>
      <c r="JKL19" s="352"/>
      <c r="JKM19" s="352"/>
      <c r="JKN19" s="352"/>
      <c r="JKO19" s="352"/>
      <c r="JKP19" s="352"/>
      <c r="JKQ19" s="352"/>
      <c r="JKR19" s="352"/>
      <c r="JKS19" s="352"/>
      <c r="JKT19" s="352"/>
      <c r="JKU19" s="352"/>
      <c r="JKV19" s="352"/>
      <c r="JKW19" s="352"/>
      <c r="JKX19" s="352"/>
      <c r="JKY19" s="352"/>
      <c r="JKZ19" s="352"/>
      <c r="JLA19" s="352"/>
      <c r="JLB19" s="352"/>
      <c r="JLC19" s="352"/>
      <c r="JLD19" s="352"/>
      <c r="JLE19" s="352"/>
      <c r="JLF19" s="352"/>
      <c r="JLG19" s="352"/>
      <c r="JLH19" s="352"/>
      <c r="JLI19" s="352"/>
      <c r="JLJ19" s="352"/>
      <c r="JLK19" s="352"/>
      <c r="JLL19" s="352"/>
      <c r="JLM19" s="352"/>
      <c r="JLN19" s="352"/>
      <c r="JLO19" s="352"/>
      <c r="JLP19" s="352"/>
      <c r="JLQ19" s="352"/>
      <c r="JLR19" s="352"/>
      <c r="JLS19" s="352"/>
      <c r="JLT19" s="352"/>
      <c r="JLU19" s="352"/>
      <c r="JLV19" s="352"/>
      <c r="JLW19" s="352"/>
      <c r="JLX19" s="352"/>
      <c r="JLY19" s="352"/>
      <c r="JLZ19" s="352"/>
      <c r="JMA19" s="352"/>
      <c r="JMB19" s="352"/>
      <c r="JMC19" s="352"/>
      <c r="JMD19" s="352"/>
      <c r="JME19" s="352"/>
      <c r="JMF19" s="352"/>
      <c r="JMG19" s="352"/>
      <c r="JMH19" s="352"/>
      <c r="JMI19" s="352"/>
      <c r="JMJ19" s="352"/>
      <c r="JMK19" s="352"/>
      <c r="JML19" s="352"/>
      <c r="JMM19" s="352"/>
      <c r="JMN19" s="352"/>
      <c r="JMO19" s="352"/>
      <c r="JMP19" s="352"/>
      <c r="JMQ19" s="352"/>
      <c r="JMR19" s="352"/>
      <c r="JMS19" s="352"/>
      <c r="JMT19" s="352"/>
      <c r="JMU19" s="352"/>
      <c r="JMV19" s="352"/>
      <c r="JMW19" s="352"/>
      <c r="JMX19" s="352"/>
      <c r="JMY19" s="352"/>
      <c r="JMZ19" s="352"/>
      <c r="JNA19" s="352"/>
      <c r="JNB19" s="352"/>
      <c r="JNC19" s="352"/>
      <c r="JND19" s="352"/>
      <c r="JNE19" s="352"/>
      <c r="JNF19" s="352"/>
      <c r="JNG19" s="352"/>
      <c r="JNH19" s="352"/>
      <c r="JNI19" s="352"/>
      <c r="JNJ19" s="352"/>
      <c r="JNK19" s="352"/>
      <c r="JNL19" s="352"/>
      <c r="JNM19" s="352"/>
      <c r="JNN19" s="352"/>
      <c r="JNO19" s="352"/>
      <c r="JNP19" s="352"/>
      <c r="JNQ19" s="352"/>
      <c r="JNR19" s="352"/>
      <c r="JNS19" s="352"/>
      <c r="JNT19" s="352"/>
      <c r="JNU19" s="352"/>
      <c r="JNV19" s="352"/>
      <c r="JNW19" s="352"/>
      <c r="JNX19" s="352"/>
      <c r="JNY19" s="352"/>
      <c r="JNZ19" s="352"/>
      <c r="JOA19" s="352"/>
      <c r="JOB19" s="352"/>
      <c r="JOC19" s="352"/>
      <c r="JOD19" s="352"/>
      <c r="JOE19" s="352"/>
      <c r="JOF19" s="352"/>
      <c r="JOG19" s="352"/>
      <c r="JOH19" s="352"/>
      <c r="JOI19" s="352"/>
      <c r="JOJ19" s="352"/>
      <c r="JOK19" s="352"/>
      <c r="JOL19" s="352"/>
      <c r="JOM19" s="352"/>
      <c r="JON19" s="352"/>
      <c r="JOO19" s="352"/>
      <c r="JOP19" s="352"/>
      <c r="JOQ19" s="352"/>
      <c r="JOR19" s="352"/>
      <c r="JOS19" s="352"/>
      <c r="JOT19" s="352"/>
      <c r="JOU19" s="352"/>
      <c r="JOV19" s="352"/>
      <c r="JOW19" s="352"/>
      <c r="JOX19" s="352"/>
      <c r="JOY19" s="352"/>
      <c r="JOZ19" s="352"/>
      <c r="JPA19" s="352"/>
      <c r="JPB19" s="352"/>
      <c r="JPC19" s="352"/>
      <c r="JPD19" s="352"/>
      <c r="JPE19" s="352"/>
      <c r="JPF19" s="352"/>
      <c r="JPG19" s="352"/>
      <c r="JPH19" s="352"/>
      <c r="JPI19" s="352"/>
      <c r="JPJ19" s="352"/>
      <c r="JPK19" s="352"/>
      <c r="JPL19" s="352"/>
      <c r="JPM19" s="352"/>
      <c r="JPN19" s="352"/>
      <c r="JPO19" s="352"/>
      <c r="JPP19" s="352"/>
      <c r="JPQ19" s="352"/>
      <c r="JPR19" s="352"/>
      <c r="JPS19" s="352"/>
      <c r="JPT19" s="352"/>
      <c r="JPU19" s="352"/>
      <c r="JPV19" s="352"/>
      <c r="JPW19" s="352"/>
      <c r="JPX19" s="352"/>
      <c r="JPY19" s="352"/>
      <c r="JPZ19" s="352"/>
      <c r="JQA19" s="352"/>
      <c r="JQB19" s="352"/>
      <c r="JQC19" s="352"/>
      <c r="JQD19" s="352"/>
      <c r="JQE19" s="352"/>
      <c r="JQF19" s="352"/>
      <c r="JQG19" s="352"/>
      <c r="JQH19" s="352"/>
      <c r="JQI19" s="352"/>
      <c r="JQJ19" s="352"/>
      <c r="JQK19" s="352"/>
      <c r="JQL19" s="352"/>
      <c r="JQM19" s="352"/>
      <c r="JQN19" s="352"/>
      <c r="JQO19" s="352"/>
      <c r="JQP19" s="352"/>
      <c r="JQQ19" s="352"/>
      <c r="JQR19" s="352"/>
      <c r="JQS19" s="352"/>
      <c r="JQT19" s="352"/>
      <c r="JQU19" s="352"/>
      <c r="JQV19" s="352"/>
      <c r="JQW19" s="352"/>
      <c r="JQX19" s="352"/>
      <c r="JQY19" s="352"/>
      <c r="JQZ19" s="352"/>
      <c r="JRA19" s="352"/>
      <c r="JRB19" s="352"/>
      <c r="JRC19" s="352"/>
      <c r="JRD19" s="352"/>
      <c r="JRE19" s="352"/>
      <c r="JRF19" s="352"/>
      <c r="JRG19" s="352"/>
      <c r="JRH19" s="352"/>
      <c r="JRI19" s="352"/>
      <c r="JRJ19" s="352"/>
      <c r="JRK19" s="352"/>
      <c r="JRL19" s="352"/>
      <c r="JRM19" s="352"/>
      <c r="JRN19" s="352"/>
      <c r="JRO19" s="352"/>
      <c r="JRP19" s="352"/>
      <c r="JRQ19" s="352"/>
      <c r="JRR19" s="352"/>
      <c r="JRS19" s="352"/>
      <c r="JRT19" s="352"/>
      <c r="JRU19" s="352"/>
      <c r="JRV19" s="352"/>
      <c r="JRW19" s="352"/>
      <c r="JRX19" s="352"/>
      <c r="JRY19" s="352"/>
      <c r="JRZ19" s="352"/>
      <c r="JSA19" s="352"/>
      <c r="JSB19" s="352"/>
      <c r="JSC19" s="352"/>
      <c r="JSD19" s="352"/>
      <c r="JSE19" s="352"/>
      <c r="JSF19" s="352"/>
      <c r="JSG19" s="352"/>
      <c r="JSH19" s="352"/>
      <c r="JSI19" s="352"/>
      <c r="JSJ19" s="352"/>
      <c r="JSK19" s="352"/>
      <c r="JSL19" s="352"/>
      <c r="JSM19" s="352"/>
      <c r="JSN19" s="352"/>
      <c r="JSO19" s="352"/>
      <c r="JSP19" s="352"/>
      <c r="JSQ19" s="352"/>
      <c r="JSR19" s="352"/>
      <c r="JSS19" s="352"/>
      <c r="JST19" s="352"/>
      <c r="JSU19" s="352"/>
      <c r="JSV19" s="352"/>
      <c r="JSW19" s="352"/>
      <c r="JSX19" s="352"/>
      <c r="JSY19" s="352"/>
      <c r="JSZ19" s="352"/>
      <c r="JTA19" s="352"/>
      <c r="JTB19" s="352"/>
      <c r="JTC19" s="352"/>
      <c r="JTD19" s="352"/>
      <c r="JTE19" s="352"/>
      <c r="JTF19" s="352"/>
      <c r="JTG19" s="352"/>
      <c r="JTH19" s="352"/>
      <c r="JTI19" s="352"/>
      <c r="JTJ19" s="352"/>
      <c r="JTK19" s="352"/>
      <c r="JTL19" s="352"/>
      <c r="JTM19" s="352"/>
      <c r="JTN19" s="352"/>
      <c r="JTO19" s="352"/>
      <c r="JTP19" s="352"/>
      <c r="JTQ19" s="352"/>
      <c r="JTR19" s="352"/>
      <c r="JTS19" s="352"/>
      <c r="JTT19" s="352"/>
      <c r="JTU19" s="352"/>
      <c r="JTV19" s="352"/>
      <c r="JTW19" s="352"/>
      <c r="JTX19" s="352"/>
      <c r="JTY19" s="352"/>
      <c r="JTZ19" s="352"/>
      <c r="JUA19" s="352"/>
      <c r="JUB19" s="352"/>
      <c r="JUC19" s="352"/>
      <c r="JUD19" s="352"/>
      <c r="JUE19" s="352"/>
      <c r="JUF19" s="352"/>
      <c r="JUG19" s="352"/>
      <c r="JUH19" s="352"/>
      <c r="JUI19" s="352"/>
      <c r="JUJ19" s="352"/>
      <c r="JUK19" s="352"/>
      <c r="JUL19" s="352"/>
      <c r="JUM19" s="352"/>
      <c r="JUN19" s="352"/>
      <c r="JUO19" s="352"/>
      <c r="JUP19" s="352"/>
      <c r="JUQ19" s="352"/>
      <c r="JUR19" s="352"/>
      <c r="JUS19" s="352"/>
      <c r="JUT19" s="352"/>
      <c r="JUU19" s="352"/>
      <c r="JUV19" s="352"/>
      <c r="JUW19" s="352"/>
      <c r="JUX19" s="352"/>
      <c r="JUY19" s="352"/>
      <c r="JUZ19" s="352"/>
      <c r="JVA19" s="352"/>
      <c r="JVB19" s="352"/>
      <c r="JVC19" s="352"/>
      <c r="JVD19" s="352"/>
      <c r="JVE19" s="352"/>
      <c r="JVF19" s="352"/>
      <c r="JVG19" s="352"/>
      <c r="JVH19" s="352"/>
      <c r="JVI19" s="352"/>
      <c r="JVJ19" s="352"/>
      <c r="JVK19" s="352"/>
      <c r="JVL19" s="352"/>
      <c r="JVM19" s="352"/>
      <c r="JVN19" s="352"/>
      <c r="JVO19" s="352"/>
      <c r="JVP19" s="352"/>
      <c r="JVQ19" s="352"/>
      <c r="JVR19" s="352"/>
      <c r="JVS19" s="352"/>
      <c r="JVT19" s="352"/>
      <c r="JVU19" s="352"/>
      <c r="JVV19" s="352"/>
      <c r="JVW19" s="352"/>
      <c r="JVX19" s="352"/>
      <c r="JVY19" s="352"/>
      <c r="JVZ19" s="352"/>
      <c r="JWA19" s="352"/>
      <c r="JWB19" s="352"/>
      <c r="JWC19" s="352"/>
      <c r="JWD19" s="352"/>
      <c r="JWE19" s="352"/>
      <c r="JWF19" s="352"/>
      <c r="JWG19" s="352"/>
      <c r="JWH19" s="352"/>
      <c r="JWI19" s="352"/>
      <c r="JWJ19" s="352"/>
      <c r="JWK19" s="352"/>
      <c r="JWL19" s="352"/>
      <c r="JWM19" s="352"/>
      <c r="JWN19" s="352"/>
      <c r="JWO19" s="352"/>
      <c r="JWP19" s="352"/>
      <c r="JWQ19" s="352"/>
      <c r="JWR19" s="352"/>
      <c r="JWS19" s="352"/>
      <c r="JWT19" s="352"/>
      <c r="JWU19" s="352"/>
      <c r="JWV19" s="352"/>
      <c r="JWW19" s="352"/>
      <c r="JWX19" s="352"/>
      <c r="JWY19" s="352"/>
      <c r="JWZ19" s="352"/>
      <c r="JXA19" s="352"/>
      <c r="JXB19" s="352"/>
      <c r="JXC19" s="352"/>
      <c r="JXD19" s="352"/>
      <c r="JXE19" s="352"/>
      <c r="JXF19" s="352"/>
      <c r="JXG19" s="352"/>
      <c r="JXH19" s="352"/>
      <c r="JXI19" s="352"/>
      <c r="JXJ19" s="352"/>
      <c r="JXK19" s="352"/>
      <c r="JXL19" s="352"/>
      <c r="JXM19" s="352"/>
      <c r="JXN19" s="352"/>
      <c r="JXO19" s="352"/>
      <c r="JXP19" s="352"/>
      <c r="JXQ19" s="352"/>
      <c r="JXR19" s="352"/>
      <c r="JXS19" s="352"/>
      <c r="JXT19" s="352"/>
      <c r="JXU19" s="352"/>
      <c r="JXV19" s="352"/>
      <c r="JXW19" s="352"/>
      <c r="JXX19" s="352"/>
      <c r="JXY19" s="352"/>
      <c r="JXZ19" s="352"/>
      <c r="JYA19" s="352"/>
      <c r="JYB19" s="352"/>
      <c r="JYC19" s="352"/>
      <c r="JYD19" s="352"/>
      <c r="JYE19" s="352"/>
      <c r="JYF19" s="352"/>
      <c r="JYG19" s="352"/>
      <c r="JYH19" s="352"/>
      <c r="JYI19" s="352"/>
      <c r="JYJ19" s="352"/>
      <c r="JYK19" s="352"/>
      <c r="JYL19" s="352"/>
      <c r="JYM19" s="352"/>
      <c r="JYN19" s="352"/>
      <c r="JYO19" s="352"/>
      <c r="JYP19" s="352"/>
      <c r="JYQ19" s="352"/>
      <c r="JYR19" s="352"/>
      <c r="JYS19" s="352"/>
      <c r="JYT19" s="352"/>
      <c r="JYU19" s="352"/>
      <c r="JYV19" s="352"/>
      <c r="JYW19" s="352"/>
      <c r="JYX19" s="352"/>
      <c r="JYY19" s="352"/>
      <c r="JYZ19" s="352"/>
      <c r="JZA19" s="352"/>
      <c r="JZB19" s="352"/>
      <c r="JZC19" s="352"/>
      <c r="JZD19" s="352"/>
      <c r="JZE19" s="352"/>
      <c r="JZF19" s="352"/>
      <c r="JZG19" s="352"/>
      <c r="JZH19" s="352"/>
      <c r="JZI19" s="352"/>
      <c r="JZJ19" s="352"/>
      <c r="JZK19" s="352"/>
      <c r="JZL19" s="352"/>
      <c r="JZM19" s="352"/>
      <c r="JZN19" s="352"/>
      <c r="JZO19" s="352"/>
      <c r="JZP19" s="352"/>
      <c r="JZQ19" s="352"/>
      <c r="JZR19" s="352"/>
      <c r="JZS19" s="352"/>
      <c r="JZT19" s="352"/>
      <c r="JZU19" s="352"/>
      <c r="JZV19" s="352"/>
      <c r="JZW19" s="352"/>
      <c r="JZX19" s="352"/>
      <c r="JZY19" s="352"/>
      <c r="JZZ19" s="352"/>
      <c r="KAA19" s="352"/>
      <c r="KAB19" s="352"/>
      <c r="KAC19" s="352"/>
      <c r="KAD19" s="352"/>
      <c r="KAE19" s="352"/>
      <c r="KAF19" s="352"/>
      <c r="KAG19" s="352"/>
      <c r="KAH19" s="352"/>
      <c r="KAI19" s="352"/>
      <c r="KAJ19" s="352"/>
      <c r="KAK19" s="352"/>
      <c r="KAL19" s="352"/>
      <c r="KAM19" s="352"/>
      <c r="KAN19" s="352"/>
      <c r="KAO19" s="352"/>
      <c r="KAP19" s="352"/>
      <c r="KAQ19" s="352"/>
      <c r="KAR19" s="352"/>
      <c r="KAS19" s="352"/>
      <c r="KAT19" s="352"/>
      <c r="KAU19" s="352"/>
      <c r="KAV19" s="352"/>
      <c r="KAW19" s="352"/>
      <c r="KAX19" s="352"/>
      <c r="KAY19" s="352"/>
      <c r="KAZ19" s="352"/>
      <c r="KBA19" s="352"/>
      <c r="KBB19" s="352"/>
      <c r="KBC19" s="352"/>
      <c r="KBD19" s="352"/>
      <c r="KBE19" s="352"/>
      <c r="KBF19" s="352"/>
      <c r="KBG19" s="352"/>
      <c r="KBH19" s="352"/>
      <c r="KBI19" s="352"/>
      <c r="KBJ19" s="352"/>
      <c r="KBK19" s="352"/>
      <c r="KBL19" s="352"/>
      <c r="KBM19" s="352"/>
      <c r="KBN19" s="352"/>
      <c r="KBO19" s="352"/>
      <c r="KBP19" s="352"/>
      <c r="KBQ19" s="352"/>
      <c r="KBR19" s="352"/>
      <c r="KBS19" s="352"/>
      <c r="KBT19" s="352"/>
      <c r="KBU19" s="352"/>
      <c r="KBV19" s="352"/>
      <c r="KBW19" s="352"/>
      <c r="KBX19" s="352"/>
      <c r="KBY19" s="352"/>
      <c r="KBZ19" s="352"/>
      <c r="KCA19" s="352"/>
      <c r="KCB19" s="352"/>
      <c r="KCC19" s="352"/>
      <c r="KCD19" s="352"/>
      <c r="KCE19" s="352"/>
      <c r="KCF19" s="352"/>
      <c r="KCG19" s="352"/>
      <c r="KCH19" s="352"/>
      <c r="KCI19" s="352"/>
      <c r="KCJ19" s="352"/>
      <c r="KCK19" s="352"/>
      <c r="KCL19" s="352"/>
      <c r="KCM19" s="352"/>
      <c r="KCN19" s="352"/>
      <c r="KCO19" s="352"/>
      <c r="KCP19" s="352"/>
      <c r="KCQ19" s="352"/>
      <c r="KCR19" s="352"/>
      <c r="KCS19" s="352"/>
      <c r="KCT19" s="352"/>
      <c r="KCU19" s="352"/>
      <c r="KCV19" s="352"/>
      <c r="KCW19" s="352"/>
      <c r="KCX19" s="352"/>
      <c r="KCY19" s="352"/>
      <c r="KCZ19" s="352"/>
      <c r="KDA19" s="352"/>
      <c r="KDB19" s="352"/>
      <c r="KDC19" s="352"/>
      <c r="KDD19" s="352"/>
      <c r="KDE19" s="352"/>
      <c r="KDF19" s="352"/>
      <c r="KDG19" s="352"/>
      <c r="KDH19" s="352"/>
      <c r="KDI19" s="352"/>
      <c r="KDJ19" s="352"/>
      <c r="KDK19" s="352"/>
      <c r="KDL19" s="352"/>
      <c r="KDM19" s="352"/>
      <c r="KDN19" s="352"/>
      <c r="KDO19" s="352"/>
      <c r="KDP19" s="352"/>
      <c r="KDQ19" s="352"/>
      <c r="KDR19" s="352"/>
      <c r="KDS19" s="352"/>
      <c r="KDT19" s="352"/>
      <c r="KDU19" s="352"/>
      <c r="KDV19" s="352"/>
      <c r="KDW19" s="352"/>
      <c r="KDX19" s="352"/>
      <c r="KDY19" s="352"/>
      <c r="KDZ19" s="352"/>
      <c r="KEA19" s="352"/>
      <c r="KEB19" s="352"/>
      <c r="KEC19" s="352"/>
      <c r="KED19" s="352"/>
      <c r="KEE19" s="352"/>
      <c r="KEF19" s="352"/>
      <c r="KEG19" s="352"/>
      <c r="KEH19" s="352"/>
      <c r="KEI19" s="352"/>
      <c r="KEJ19" s="352"/>
      <c r="KEK19" s="352"/>
      <c r="KEL19" s="352"/>
      <c r="KEM19" s="352"/>
      <c r="KEN19" s="352"/>
      <c r="KEO19" s="352"/>
      <c r="KEP19" s="352"/>
      <c r="KEQ19" s="352"/>
      <c r="KER19" s="352"/>
      <c r="KES19" s="352"/>
      <c r="KET19" s="352"/>
      <c r="KEU19" s="352"/>
      <c r="KEV19" s="352"/>
      <c r="KEW19" s="352"/>
      <c r="KEX19" s="352"/>
      <c r="KEY19" s="352"/>
      <c r="KEZ19" s="352"/>
      <c r="KFA19" s="352"/>
      <c r="KFB19" s="352"/>
      <c r="KFC19" s="352"/>
      <c r="KFD19" s="352"/>
      <c r="KFE19" s="352"/>
      <c r="KFF19" s="352"/>
      <c r="KFG19" s="352"/>
      <c r="KFH19" s="352"/>
      <c r="KFI19" s="352"/>
      <c r="KFJ19" s="352"/>
      <c r="KFK19" s="352"/>
      <c r="KFL19" s="352"/>
      <c r="KFM19" s="352"/>
      <c r="KFN19" s="352"/>
      <c r="KFO19" s="352"/>
      <c r="KFP19" s="352"/>
      <c r="KFQ19" s="352"/>
      <c r="KFR19" s="352"/>
      <c r="KFS19" s="352"/>
      <c r="KFT19" s="352"/>
      <c r="KFU19" s="352"/>
      <c r="KFV19" s="352"/>
      <c r="KFW19" s="352"/>
      <c r="KFX19" s="352"/>
      <c r="KFY19" s="352"/>
      <c r="KFZ19" s="352"/>
      <c r="KGA19" s="352"/>
      <c r="KGB19" s="352"/>
      <c r="KGC19" s="352"/>
      <c r="KGD19" s="352"/>
      <c r="KGE19" s="352"/>
      <c r="KGF19" s="352"/>
      <c r="KGG19" s="352"/>
      <c r="KGH19" s="352"/>
      <c r="KGI19" s="352"/>
      <c r="KGJ19" s="352"/>
      <c r="KGK19" s="352"/>
      <c r="KGL19" s="352"/>
      <c r="KGM19" s="352"/>
      <c r="KGN19" s="352"/>
      <c r="KGO19" s="352"/>
      <c r="KGP19" s="352"/>
      <c r="KGQ19" s="352"/>
      <c r="KGR19" s="352"/>
      <c r="KGS19" s="352"/>
      <c r="KGT19" s="352"/>
      <c r="KGU19" s="352"/>
      <c r="KGV19" s="352"/>
      <c r="KGW19" s="352"/>
      <c r="KGX19" s="352"/>
      <c r="KGY19" s="352"/>
      <c r="KGZ19" s="352"/>
      <c r="KHA19" s="352"/>
      <c r="KHB19" s="352"/>
      <c r="KHC19" s="352"/>
      <c r="KHD19" s="352"/>
      <c r="KHE19" s="352"/>
      <c r="KHF19" s="352"/>
      <c r="KHG19" s="352"/>
      <c r="KHH19" s="352"/>
      <c r="KHI19" s="352"/>
      <c r="KHJ19" s="352"/>
      <c r="KHK19" s="352"/>
      <c r="KHL19" s="352"/>
      <c r="KHM19" s="352"/>
      <c r="KHN19" s="352"/>
      <c r="KHO19" s="352"/>
      <c r="KHP19" s="352"/>
      <c r="KHQ19" s="352"/>
      <c r="KHR19" s="352"/>
      <c r="KHS19" s="352"/>
      <c r="KHT19" s="352"/>
      <c r="KHU19" s="352"/>
      <c r="KHV19" s="352"/>
      <c r="KHW19" s="352"/>
      <c r="KHX19" s="352"/>
      <c r="KHY19" s="352"/>
      <c r="KHZ19" s="352"/>
      <c r="KIA19" s="352"/>
      <c r="KIB19" s="352"/>
      <c r="KIC19" s="352"/>
      <c r="KID19" s="352"/>
      <c r="KIE19" s="352"/>
      <c r="KIF19" s="352"/>
      <c r="KIG19" s="352"/>
      <c r="KIH19" s="352"/>
      <c r="KII19" s="352"/>
      <c r="KIJ19" s="352"/>
      <c r="KIK19" s="352"/>
      <c r="KIL19" s="352"/>
      <c r="KIM19" s="352"/>
      <c r="KIN19" s="352"/>
      <c r="KIO19" s="352"/>
      <c r="KIP19" s="352"/>
      <c r="KIQ19" s="352"/>
      <c r="KIR19" s="352"/>
      <c r="KIS19" s="352"/>
      <c r="KIT19" s="352"/>
      <c r="KIU19" s="352"/>
      <c r="KIV19" s="352"/>
      <c r="KIW19" s="352"/>
      <c r="KIX19" s="352"/>
      <c r="KIY19" s="352"/>
      <c r="KIZ19" s="352"/>
      <c r="KJA19" s="352"/>
      <c r="KJB19" s="352"/>
      <c r="KJC19" s="352"/>
      <c r="KJD19" s="352"/>
      <c r="KJE19" s="352"/>
      <c r="KJF19" s="352"/>
      <c r="KJG19" s="352"/>
      <c r="KJH19" s="352"/>
      <c r="KJI19" s="352"/>
      <c r="KJJ19" s="352"/>
      <c r="KJK19" s="352"/>
      <c r="KJL19" s="352"/>
      <c r="KJM19" s="352"/>
      <c r="KJN19" s="352"/>
      <c r="KJO19" s="352"/>
      <c r="KJP19" s="352"/>
      <c r="KJQ19" s="352"/>
      <c r="KJR19" s="352"/>
      <c r="KJS19" s="352"/>
      <c r="KJT19" s="352"/>
      <c r="KJU19" s="352"/>
      <c r="KJV19" s="352"/>
      <c r="KJW19" s="352"/>
      <c r="KJX19" s="352"/>
      <c r="KJY19" s="352"/>
      <c r="KJZ19" s="352"/>
      <c r="KKA19" s="352"/>
      <c r="KKB19" s="352"/>
      <c r="KKC19" s="352"/>
      <c r="KKD19" s="352"/>
      <c r="KKE19" s="352"/>
      <c r="KKF19" s="352"/>
      <c r="KKG19" s="352"/>
      <c r="KKH19" s="352"/>
      <c r="KKI19" s="352"/>
      <c r="KKJ19" s="352"/>
      <c r="KKK19" s="352"/>
      <c r="KKL19" s="352"/>
      <c r="KKM19" s="352"/>
      <c r="KKN19" s="352"/>
      <c r="KKO19" s="352"/>
      <c r="KKP19" s="352"/>
      <c r="KKQ19" s="352"/>
      <c r="KKR19" s="352"/>
      <c r="KKS19" s="352"/>
      <c r="KKT19" s="352"/>
      <c r="KKU19" s="352"/>
      <c r="KKV19" s="352"/>
      <c r="KKW19" s="352"/>
      <c r="KKX19" s="352"/>
      <c r="KKY19" s="352"/>
      <c r="KKZ19" s="352"/>
      <c r="KLA19" s="352"/>
      <c r="KLB19" s="352"/>
      <c r="KLC19" s="352"/>
      <c r="KLD19" s="352"/>
      <c r="KLE19" s="352"/>
      <c r="KLF19" s="352"/>
      <c r="KLG19" s="352"/>
      <c r="KLH19" s="352"/>
      <c r="KLI19" s="352"/>
      <c r="KLJ19" s="352"/>
      <c r="KLK19" s="352"/>
      <c r="KLL19" s="352"/>
      <c r="KLM19" s="352"/>
      <c r="KLN19" s="352"/>
      <c r="KLO19" s="352"/>
      <c r="KLP19" s="352"/>
      <c r="KLQ19" s="352"/>
      <c r="KLR19" s="352"/>
      <c r="KLS19" s="352"/>
      <c r="KLT19" s="352"/>
      <c r="KLU19" s="352"/>
      <c r="KLV19" s="352"/>
      <c r="KLW19" s="352"/>
      <c r="KLX19" s="352"/>
      <c r="KLY19" s="352"/>
      <c r="KLZ19" s="352"/>
      <c r="KMA19" s="352"/>
      <c r="KMB19" s="352"/>
      <c r="KMC19" s="352"/>
      <c r="KMD19" s="352"/>
      <c r="KME19" s="352"/>
      <c r="KMF19" s="352"/>
      <c r="KMG19" s="352"/>
      <c r="KMH19" s="352"/>
      <c r="KMI19" s="352"/>
      <c r="KMJ19" s="352"/>
      <c r="KMK19" s="352"/>
      <c r="KML19" s="352"/>
      <c r="KMM19" s="352"/>
      <c r="KMN19" s="352"/>
      <c r="KMO19" s="352"/>
      <c r="KMP19" s="352"/>
      <c r="KMQ19" s="352"/>
      <c r="KMR19" s="352"/>
      <c r="KMS19" s="352"/>
      <c r="KMT19" s="352"/>
      <c r="KMU19" s="352"/>
      <c r="KMV19" s="352"/>
      <c r="KMW19" s="352"/>
      <c r="KMX19" s="352"/>
      <c r="KMY19" s="352"/>
      <c r="KMZ19" s="352"/>
      <c r="KNA19" s="352"/>
      <c r="KNB19" s="352"/>
      <c r="KNC19" s="352"/>
      <c r="KND19" s="352"/>
      <c r="KNE19" s="352"/>
      <c r="KNF19" s="352"/>
      <c r="KNG19" s="352"/>
      <c r="KNH19" s="352"/>
      <c r="KNI19" s="352"/>
      <c r="KNJ19" s="352"/>
      <c r="KNK19" s="352"/>
      <c r="KNL19" s="352"/>
      <c r="KNM19" s="352"/>
      <c r="KNN19" s="352"/>
      <c r="KNO19" s="352"/>
      <c r="KNP19" s="352"/>
      <c r="KNQ19" s="352"/>
      <c r="KNR19" s="352"/>
      <c r="KNS19" s="352"/>
      <c r="KNT19" s="352"/>
      <c r="KNU19" s="352"/>
      <c r="KNV19" s="352"/>
      <c r="KNW19" s="352"/>
      <c r="KNX19" s="352"/>
      <c r="KNY19" s="352"/>
      <c r="KNZ19" s="352"/>
      <c r="KOA19" s="352"/>
      <c r="KOB19" s="352"/>
      <c r="KOC19" s="352"/>
      <c r="KOD19" s="352"/>
      <c r="KOE19" s="352"/>
      <c r="KOF19" s="352"/>
      <c r="KOG19" s="352"/>
      <c r="KOH19" s="352"/>
      <c r="KOI19" s="352"/>
      <c r="KOJ19" s="352"/>
      <c r="KOK19" s="352"/>
      <c r="KOL19" s="352"/>
      <c r="KOM19" s="352"/>
      <c r="KON19" s="352"/>
      <c r="KOO19" s="352"/>
      <c r="KOP19" s="352"/>
      <c r="KOQ19" s="352"/>
      <c r="KOR19" s="352"/>
      <c r="KOS19" s="352"/>
      <c r="KOT19" s="352"/>
      <c r="KOU19" s="352"/>
      <c r="KOV19" s="352"/>
      <c r="KOW19" s="352"/>
      <c r="KOX19" s="352"/>
      <c r="KOY19" s="352"/>
      <c r="KOZ19" s="352"/>
      <c r="KPA19" s="352"/>
      <c r="KPB19" s="352"/>
      <c r="KPC19" s="352"/>
      <c r="KPD19" s="352"/>
      <c r="KPE19" s="352"/>
      <c r="KPF19" s="352"/>
      <c r="KPG19" s="352"/>
      <c r="KPH19" s="352"/>
      <c r="KPI19" s="352"/>
      <c r="KPJ19" s="352"/>
      <c r="KPK19" s="352"/>
      <c r="KPL19" s="352"/>
      <c r="KPM19" s="352"/>
      <c r="KPN19" s="352"/>
      <c r="KPO19" s="352"/>
      <c r="KPP19" s="352"/>
      <c r="KPQ19" s="352"/>
      <c r="KPR19" s="352"/>
      <c r="KPS19" s="352"/>
      <c r="KPT19" s="352"/>
      <c r="KPU19" s="352"/>
      <c r="KPV19" s="352"/>
      <c r="KPW19" s="352"/>
      <c r="KPX19" s="352"/>
      <c r="KPY19" s="352"/>
      <c r="KPZ19" s="352"/>
      <c r="KQA19" s="352"/>
      <c r="KQB19" s="352"/>
      <c r="KQC19" s="352"/>
      <c r="KQD19" s="352"/>
      <c r="KQE19" s="352"/>
      <c r="KQF19" s="352"/>
      <c r="KQG19" s="352"/>
      <c r="KQH19" s="352"/>
      <c r="KQI19" s="352"/>
      <c r="KQJ19" s="352"/>
      <c r="KQK19" s="352"/>
      <c r="KQL19" s="352"/>
      <c r="KQM19" s="352"/>
      <c r="KQN19" s="352"/>
      <c r="KQO19" s="352"/>
      <c r="KQP19" s="352"/>
      <c r="KQQ19" s="352"/>
      <c r="KQR19" s="352"/>
      <c r="KQS19" s="352"/>
      <c r="KQT19" s="352"/>
      <c r="KQU19" s="352"/>
      <c r="KQV19" s="352"/>
      <c r="KQW19" s="352"/>
      <c r="KQX19" s="352"/>
      <c r="KQY19" s="352"/>
      <c r="KQZ19" s="352"/>
      <c r="KRA19" s="352"/>
      <c r="KRB19" s="352"/>
      <c r="KRC19" s="352"/>
      <c r="KRD19" s="352"/>
      <c r="KRE19" s="352"/>
      <c r="KRF19" s="352"/>
      <c r="KRG19" s="352"/>
      <c r="KRH19" s="352"/>
      <c r="KRI19" s="352"/>
      <c r="KRJ19" s="352"/>
      <c r="KRK19" s="352"/>
      <c r="KRL19" s="352"/>
      <c r="KRM19" s="352"/>
      <c r="KRN19" s="352"/>
      <c r="KRO19" s="352"/>
      <c r="KRP19" s="352"/>
      <c r="KRQ19" s="352"/>
      <c r="KRR19" s="352"/>
      <c r="KRS19" s="352"/>
      <c r="KRT19" s="352"/>
      <c r="KRU19" s="352"/>
      <c r="KRV19" s="352"/>
      <c r="KRW19" s="352"/>
      <c r="KRX19" s="352"/>
      <c r="KRY19" s="352"/>
      <c r="KRZ19" s="352"/>
      <c r="KSA19" s="352"/>
      <c r="KSB19" s="352"/>
      <c r="KSC19" s="352"/>
      <c r="KSD19" s="352"/>
      <c r="KSE19" s="352"/>
      <c r="KSF19" s="352"/>
      <c r="KSG19" s="352"/>
      <c r="KSH19" s="352"/>
      <c r="KSI19" s="352"/>
      <c r="KSJ19" s="352"/>
      <c r="KSK19" s="352"/>
      <c r="KSL19" s="352"/>
      <c r="KSM19" s="352"/>
      <c r="KSN19" s="352"/>
      <c r="KSO19" s="352"/>
      <c r="KSP19" s="352"/>
      <c r="KSQ19" s="352"/>
      <c r="KSR19" s="352"/>
      <c r="KSS19" s="352"/>
      <c r="KST19" s="352"/>
      <c r="KSU19" s="352"/>
      <c r="KSV19" s="352"/>
      <c r="KSW19" s="352"/>
      <c r="KSX19" s="352"/>
      <c r="KSY19" s="352"/>
      <c r="KSZ19" s="352"/>
      <c r="KTA19" s="352"/>
      <c r="KTB19" s="352"/>
      <c r="KTC19" s="352"/>
      <c r="KTD19" s="352"/>
      <c r="KTE19" s="352"/>
      <c r="KTF19" s="352"/>
      <c r="KTG19" s="352"/>
      <c r="KTH19" s="352"/>
      <c r="KTI19" s="352"/>
      <c r="KTJ19" s="352"/>
      <c r="KTK19" s="352"/>
      <c r="KTL19" s="352"/>
      <c r="KTM19" s="352"/>
      <c r="KTN19" s="352"/>
      <c r="KTO19" s="352"/>
      <c r="KTP19" s="352"/>
      <c r="KTQ19" s="352"/>
      <c r="KTR19" s="352"/>
      <c r="KTS19" s="352"/>
      <c r="KTT19" s="352"/>
      <c r="KTU19" s="352"/>
      <c r="KTV19" s="352"/>
      <c r="KTW19" s="352"/>
      <c r="KTX19" s="352"/>
      <c r="KTY19" s="352"/>
      <c r="KTZ19" s="352"/>
      <c r="KUA19" s="352"/>
      <c r="KUB19" s="352"/>
      <c r="KUC19" s="352"/>
      <c r="KUD19" s="352"/>
      <c r="KUE19" s="352"/>
      <c r="KUF19" s="352"/>
      <c r="KUG19" s="352"/>
      <c r="KUH19" s="352"/>
      <c r="KUI19" s="352"/>
      <c r="KUJ19" s="352"/>
      <c r="KUK19" s="352"/>
      <c r="KUL19" s="352"/>
      <c r="KUM19" s="352"/>
      <c r="KUN19" s="352"/>
      <c r="KUO19" s="352"/>
      <c r="KUP19" s="352"/>
      <c r="KUQ19" s="352"/>
      <c r="KUR19" s="352"/>
      <c r="KUS19" s="352"/>
      <c r="KUT19" s="352"/>
      <c r="KUU19" s="352"/>
      <c r="KUV19" s="352"/>
      <c r="KUW19" s="352"/>
      <c r="KUX19" s="352"/>
      <c r="KUY19" s="352"/>
      <c r="KUZ19" s="352"/>
      <c r="KVA19" s="352"/>
      <c r="KVB19" s="352"/>
      <c r="KVC19" s="352"/>
      <c r="KVD19" s="352"/>
      <c r="KVE19" s="352"/>
      <c r="KVF19" s="352"/>
      <c r="KVG19" s="352"/>
      <c r="KVH19" s="352"/>
      <c r="KVI19" s="352"/>
      <c r="KVJ19" s="352"/>
      <c r="KVK19" s="352"/>
      <c r="KVL19" s="352"/>
      <c r="KVM19" s="352"/>
      <c r="KVN19" s="352"/>
      <c r="KVO19" s="352"/>
      <c r="KVP19" s="352"/>
      <c r="KVQ19" s="352"/>
      <c r="KVR19" s="352"/>
      <c r="KVS19" s="352"/>
      <c r="KVT19" s="352"/>
      <c r="KVU19" s="352"/>
      <c r="KVV19" s="352"/>
      <c r="KVW19" s="352"/>
      <c r="KVX19" s="352"/>
      <c r="KVY19" s="352"/>
      <c r="KVZ19" s="352"/>
      <c r="KWA19" s="352"/>
      <c r="KWB19" s="352"/>
      <c r="KWC19" s="352"/>
      <c r="KWD19" s="352"/>
      <c r="KWE19" s="352"/>
      <c r="KWF19" s="352"/>
      <c r="KWG19" s="352"/>
      <c r="KWH19" s="352"/>
      <c r="KWI19" s="352"/>
      <c r="KWJ19" s="352"/>
      <c r="KWK19" s="352"/>
      <c r="KWL19" s="352"/>
      <c r="KWM19" s="352"/>
      <c r="KWN19" s="352"/>
      <c r="KWO19" s="352"/>
      <c r="KWP19" s="352"/>
      <c r="KWQ19" s="352"/>
      <c r="KWR19" s="352"/>
      <c r="KWS19" s="352"/>
      <c r="KWT19" s="352"/>
      <c r="KWU19" s="352"/>
      <c r="KWV19" s="352"/>
      <c r="KWW19" s="352"/>
      <c r="KWX19" s="352"/>
      <c r="KWY19" s="352"/>
      <c r="KWZ19" s="352"/>
      <c r="KXA19" s="352"/>
      <c r="KXB19" s="352"/>
      <c r="KXC19" s="352"/>
      <c r="KXD19" s="352"/>
      <c r="KXE19" s="352"/>
      <c r="KXF19" s="352"/>
      <c r="KXG19" s="352"/>
      <c r="KXH19" s="352"/>
      <c r="KXI19" s="352"/>
      <c r="KXJ19" s="352"/>
      <c r="KXK19" s="352"/>
      <c r="KXL19" s="352"/>
      <c r="KXM19" s="352"/>
      <c r="KXN19" s="352"/>
      <c r="KXO19" s="352"/>
      <c r="KXP19" s="352"/>
      <c r="KXQ19" s="352"/>
      <c r="KXR19" s="352"/>
      <c r="KXS19" s="352"/>
      <c r="KXT19" s="352"/>
      <c r="KXU19" s="352"/>
      <c r="KXV19" s="352"/>
      <c r="KXW19" s="352"/>
      <c r="KXX19" s="352"/>
      <c r="KXY19" s="352"/>
      <c r="KXZ19" s="352"/>
      <c r="KYA19" s="352"/>
      <c r="KYB19" s="352"/>
      <c r="KYC19" s="352"/>
      <c r="KYD19" s="352"/>
      <c r="KYE19" s="352"/>
      <c r="KYF19" s="352"/>
      <c r="KYG19" s="352"/>
      <c r="KYH19" s="352"/>
      <c r="KYI19" s="352"/>
      <c r="KYJ19" s="352"/>
      <c r="KYK19" s="352"/>
      <c r="KYL19" s="352"/>
      <c r="KYM19" s="352"/>
      <c r="KYN19" s="352"/>
      <c r="KYO19" s="352"/>
      <c r="KYP19" s="352"/>
      <c r="KYQ19" s="352"/>
      <c r="KYR19" s="352"/>
      <c r="KYS19" s="352"/>
      <c r="KYT19" s="352"/>
      <c r="KYU19" s="352"/>
      <c r="KYV19" s="352"/>
      <c r="KYW19" s="352"/>
      <c r="KYX19" s="352"/>
      <c r="KYY19" s="352"/>
      <c r="KYZ19" s="352"/>
      <c r="KZA19" s="352"/>
      <c r="KZB19" s="352"/>
      <c r="KZC19" s="352"/>
      <c r="KZD19" s="352"/>
      <c r="KZE19" s="352"/>
      <c r="KZF19" s="352"/>
      <c r="KZG19" s="352"/>
      <c r="KZH19" s="352"/>
      <c r="KZI19" s="352"/>
      <c r="KZJ19" s="352"/>
      <c r="KZK19" s="352"/>
      <c r="KZL19" s="352"/>
      <c r="KZM19" s="352"/>
      <c r="KZN19" s="352"/>
      <c r="KZO19" s="352"/>
      <c r="KZP19" s="352"/>
      <c r="KZQ19" s="352"/>
      <c r="KZR19" s="352"/>
      <c r="KZS19" s="352"/>
      <c r="KZT19" s="352"/>
      <c r="KZU19" s="352"/>
      <c r="KZV19" s="352"/>
      <c r="KZW19" s="352"/>
      <c r="KZX19" s="352"/>
      <c r="KZY19" s="352"/>
      <c r="KZZ19" s="352"/>
      <c r="LAA19" s="352"/>
      <c r="LAB19" s="352"/>
      <c r="LAC19" s="352"/>
      <c r="LAD19" s="352"/>
      <c r="LAE19" s="352"/>
      <c r="LAF19" s="352"/>
      <c r="LAG19" s="352"/>
      <c r="LAH19" s="352"/>
      <c r="LAI19" s="352"/>
      <c r="LAJ19" s="352"/>
      <c r="LAK19" s="352"/>
      <c r="LAL19" s="352"/>
      <c r="LAM19" s="352"/>
      <c r="LAN19" s="352"/>
      <c r="LAO19" s="352"/>
      <c r="LAP19" s="352"/>
      <c r="LAQ19" s="352"/>
      <c r="LAR19" s="352"/>
      <c r="LAS19" s="352"/>
      <c r="LAT19" s="352"/>
      <c r="LAU19" s="352"/>
      <c r="LAV19" s="352"/>
      <c r="LAW19" s="352"/>
      <c r="LAX19" s="352"/>
      <c r="LAY19" s="352"/>
      <c r="LAZ19" s="352"/>
      <c r="LBA19" s="352"/>
      <c r="LBB19" s="352"/>
      <c r="LBC19" s="352"/>
      <c r="LBD19" s="352"/>
      <c r="LBE19" s="352"/>
      <c r="LBF19" s="352"/>
      <c r="LBG19" s="352"/>
      <c r="LBH19" s="352"/>
      <c r="LBI19" s="352"/>
      <c r="LBJ19" s="352"/>
      <c r="LBK19" s="352"/>
      <c r="LBL19" s="352"/>
      <c r="LBM19" s="352"/>
      <c r="LBN19" s="352"/>
      <c r="LBO19" s="352"/>
      <c r="LBP19" s="352"/>
      <c r="LBQ19" s="352"/>
      <c r="LBR19" s="352"/>
      <c r="LBS19" s="352"/>
      <c r="LBT19" s="352"/>
      <c r="LBU19" s="352"/>
      <c r="LBV19" s="352"/>
      <c r="LBW19" s="352"/>
      <c r="LBX19" s="352"/>
      <c r="LBY19" s="352"/>
      <c r="LBZ19" s="352"/>
      <c r="LCA19" s="352"/>
      <c r="LCB19" s="352"/>
      <c r="LCC19" s="352"/>
      <c r="LCD19" s="352"/>
      <c r="LCE19" s="352"/>
      <c r="LCF19" s="352"/>
      <c r="LCG19" s="352"/>
      <c r="LCH19" s="352"/>
      <c r="LCI19" s="352"/>
      <c r="LCJ19" s="352"/>
      <c r="LCK19" s="352"/>
      <c r="LCL19" s="352"/>
      <c r="LCM19" s="352"/>
      <c r="LCN19" s="352"/>
      <c r="LCO19" s="352"/>
      <c r="LCP19" s="352"/>
      <c r="LCQ19" s="352"/>
      <c r="LCR19" s="352"/>
      <c r="LCS19" s="352"/>
      <c r="LCT19" s="352"/>
      <c r="LCU19" s="352"/>
      <c r="LCV19" s="352"/>
      <c r="LCW19" s="352"/>
      <c r="LCX19" s="352"/>
      <c r="LCY19" s="352"/>
      <c r="LCZ19" s="352"/>
      <c r="LDA19" s="352"/>
      <c r="LDB19" s="352"/>
      <c r="LDC19" s="352"/>
      <c r="LDD19" s="352"/>
      <c r="LDE19" s="352"/>
      <c r="LDF19" s="352"/>
      <c r="LDG19" s="352"/>
      <c r="LDH19" s="352"/>
      <c r="LDI19" s="352"/>
      <c r="LDJ19" s="352"/>
      <c r="LDK19" s="352"/>
      <c r="LDL19" s="352"/>
      <c r="LDM19" s="352"/>
      <c r="LDN19" s="352"/>
      <c r="LDO19" s="352"/>
      <c r="LDP19" s="352"/>
      <c r="LDQ19" s="352"/>
      <c r="LDR19" s="352"/>
      <c r="LDS19" s="352"/>
      <c r="LDT19" s="352"/>
      <c r="LDU19" s="352"/>
      <c r="LDV19" s="352"/>
      <c r="LDW19" s="352"/>
      <c r="LDX19" s="352"/>
      <c r="LDY19" s="352"/>
      <c r="LDZ19" s="352"/>
      <c r="LEA19" s="352"/>
      <c r="LEB19" s="352"/>
      <c r="LEC19" s="352"/>
      <c r="LED19" s="352"/>
      <c r="LEE19" s="352"/>
      <c r="LEF19" s="352"/>
      <c r="LEG19" s="352"/>
      <c r="LEH19" s="352"/>
      <c r="LEI19" s="352"/>
      <c r="LEJ19" s="352"/>
      <c r="LEK19" s="352"/>
      <c r="LEL19" s="352"/>
      <c r="LEM19" s="352"/>
      <c r="LEN19" s="352"/>
      <c r="LEO19" s="352"/>
      <c r="LEP19" s="352"/>
      <c r="LEQ19" s="352"/>
      <c r="LER19" s="352"/>
      <c r="LES19" s="352"/>
      <c r="LET19" s="352"/>
      <c r="LEU19" s="352"/>
      <c r="LEV19" s="352"/>
      <c r="LEW19" s="352"/>
      <c r="LEX19" s="352"/>
      <c r="LEY19" s="352"/>
      <c r="LEZ19" s="352"/>
      <c r="LFA19" s="352"/>
      <c r="LFB19" s="352"/>
      <c r="LFC19" s="352"/>
      <c r="LFD19" s="352"/>
      <c r="LFE19" s="352"/>
      <c r="LFF19" s="352"/>
      <c r="LFG19" s="352"/>
      <c r="LFH19" s="352"/>
      <c r="LFI19" s="352"/>
      <c r="LFJ19" s="352"/>
      <c r="LFK19" s="352"/>
      <c r="LFL19" s="352"/>
      <c r="LFM19" s="352"/>
      <c r="LFN19" s="352"/>
      <c r="LFO19" s="352"/>
      <c r="LFP19" s="352"/>
      <c r="LFQ19" s="352"/>
      <c r="LFR19" s="352"/>
      <c r="LFS19" s="352"/>
      <c r="LFT19" s="352"/>
      <c r="LFU19" s="352"/>
      <c r="LFV19" s="352"/>
      <c r="LFW19" s="352"/>
      <c r="LFX19" s="352"/>
      <c r="LFY19" s="352"/>
      <c r="LFZ19" s="352"/>
      <c r="LGA19" s="352"/>
      <c r="LGB19" s="352"/>
      <c r="LGC19" s="352"/>
      <c r="LGD19" s="352"/>
      <c r="LGE19" s="352"/>
      <c r="LGF19" s="352"/>
      <c r="LGG19" s="352"/>
      <c r="LGH19" s="352"/>
      <c r="LGI19" s="352"/>
      <c r="LGJ19" s="352"/>
      <c r="LGK19" s="352"/>
      <c r="LGL19" s="352"/>
      <c r="LGM19" s="352"/>
      <c r="LGN19" s="352"/>
      <c r="LGO19" s="352"/>
      <c r="LGP19" s="352"/>
      <c r="LGQ19" s="352"/>
      <c r="LGR19" s="352"/>
      <c r="LGS19" s="352"/>
      <c r="LGT19" s="352"/>
      <c r="LGU19" s="352"/>
      <c r="LGV19" s="352"/>
      <c r="LGW19" s="352"/>
      <c r="LGX19" s="352"/>
      <c r="LGY19" s="352"/>
      <c r="LGZ19" s="352"/>
      <c r="LHA19" s="352"/>
      <c r="LHB19" s="352"/>
      <c r="LHC19" s="352"/>
      <c r="LHD19" s="352"/>
      <c r="LHE19" s="352"/>
      <c r="LHF19" s="352"/>
      <c r="LHG19" s="352"/>
      <c r="LHH19" s="352"/>
      <c r="LHI19" s="352"/>
      <c r="LHJ19" s="352"/>
      <c r="LHK19" s="352"/>
      <c r="LHL19" s="352"/>
      <c r="LHM19" s="352"/>
      <c r="LHN19" s="352"/>
      <c r="LHO19" s="352"/>
      <c r="LHP19" s="352"/>
      <c r="LHQ19" s="352"/>
      <c r="LHR19" s="352"/>
      <c r="LHS19" s="352"/>
      <c r="LHT19" s="352"/>
      <c r="LHU19" s="352"/>
      <c r="LHV19" s="352"/>
      <c r="LHW19" s="352"/>
      <c r="LHX19" s="352"/>
      <c r="LHY19" s="352"/>
      <c r="LHZ19" s="352"/>
      <c r="LIA19" s="352"/>
      <c r="LIB19" s="352"/>
      <c r="LIC19" s="352"/>
      <c r="LID19" s="352"/>
      <c r="LIE19" s="352"/>
      <c r="LIF19" s="352"/>
      <c r="LIG19" s="352"/>
      <c r="LIH19" s="352"/>
      <c r="LII19" s="352"/>
      <c r="LIJ19" s="352"/>
      <c r="LIK19" s="352"/>
      <c r="LIL19" s="352"/>
      <c r="LIM19" s="352"/>
      <c r="LIN19" s="352"/>
      <c r="LIO19" s="352"/>
      <c r="LIP19" s="352"/>
      <c r="LIQ19" s="352"/>
      <c r="LIR19" s="352"/>
      <c r="LIS19" s="352"/>
      <c r="LIT19" s="352"/>
      <c r="LIU19" s="352"/>
      <c r="LIV19" s="352"/>
      <c r="LIW19" s="352"/>
      <c r="LIX19" s="352"/>
      <c r="LIY19" s="352"/>
      <c r="LIZ19" s="352"/>
      <c r="LJA19" s="352"/>
      <c r="LJB19" s="352"/>
      <c r="LJC19" s="352"/>
      <c r="LJD19" s="352"/>
      <c r="LJE19" s="352"/>
      <c r="LJF19" s="352"/>
      <c r="LJG19" s="352"/>
      <c r="LJH19" s="352"/>
      <c r="LJI19" s="352"/>
      <c r="LJJ19" s="352"/>
      <c r="LJK19" s="352"/>
      <c r="LJL19" s="352"/>
      <c r="LJM19" s="352"/>
      <c r="LJN19" s="352"/>
      <c r="LJO19" s="352"/>
      <c r="LJP19" s="352"/>
      <c r="LJQ19" s="352"/>
      <c r="LJR19" s="352"/>
      <c r="LJS19" s="352"/>
      <c r="LJT19" s="352"/>
      <c r="LJU19" s="352"/>
      <c r="LJV19" s="352"/>
      <c r="LJW19" s="352"/>
      <c r="LJX19" s="352"/>
      <c r="LJY19" s="352"/>
      <c r="LJZ19" s="352"/>
      <c r="LKA19" s="352"/>
      <c r="LKB19" s="352"/>
      <c r="LKC19" s="352"/>
      <c r="LKD19" s="352"/>
      <c r="LKE19" s="352"/>
      <c r="LKF19" s="352"/>
      <c r="LKG19" s="352"/>
      <c r="LKH19" s="352"/>
      <c r="LKI19" s="352"/>
      <c r="LKJ19" s="352"/>
      <c r="LKK19" s="352"/>
      <c r="LKL19" s="352"/>
      <c r="LKM19" s="352"/>
      <c r="LKN19" s="352"/>
      <c r="LKO19" s="352"/>
      <c r="LKP19" s="352"/>
      <c r="LKQ19" s="352"/>
      <c r="LKR19" s="352"/>
      <c r="LKS19" s="352"/>
      <c r="LKT19" s="352"/>
      <c r="LKU19" s="352"/>
      <c r="LKV19" s="352"/>
      <c r="LKW19" s="352"/>
      <c r="LKX19" s="352"/>
      <c r="LKY19" s="352"/>
      <c r="LKZ19" s="352"/>
      <c r="LLA19" s="352"/>
      <c r="LLB19" s="352"/>
      <c r="LLC19" s="352"/>
      <c r="LLD19" s="352"/>
      <c r="LLE19" s="352"/>
      <c r="LLF19" s="352"/>
      <c r="LLG19" s="352"/>
      <c r="LLH19" s="352"/>
      <c r="LLI19" s="352"/>
      <c r="LLJ19" s="352"/>
      <c r="LLK19" s="352"/>
      <c r="LLL19" s="352"/>
      <c r="LLM19" s="352"/>
      <c r="LLN19" s="352"/>
      <c r="LLO19" s="352"/>
      <c r="LLP19" s="352"/>
      <c r="LLQ19" s="352"/>
      <c r="LLR19" s="352"/>
      <c r="LLS19" s="352"/>
      <c r="LLT19" s="352"/>
      <c r="LLU19" s="352"/>
      <c r="LLV19" s="352"/>
      <c r="LLW19" s="352"/>
      <c r="LLX19" s="352"/>
      <c r="LLY19" s="352"/>
      <c r="LLZ19" s="352"/>
      <c r="LMA19" s="352"/>
      <c r="LMB19" s="352"/>
      <c r="LMC19" s="352"/>
      <c r="LMD19" s="352"/>
      <c r="LME19" s="352"/>
      <c r="LMF19" s="352"/>
      <c r="LMG19" s="352"/>
      <c r="LMH19" s="352"/>
      <c r="LMI19" s="352"/>
      <c r="LMJ19" s="352"/>
      <c r="LMK19" s="352"/>
      <c r="LML19" s="352"/>
      <c r="LMM19" s="352"/>
      <c r="LMN19" s="352"/>
      <c r="LMO19" s="352"/>
      <c r="LMP19" s="352"/>
      <c r="LMQ19" s="352"/>
      <c r="LMR19" s="352"/>
      <c r="LMS19" s="352"/>
      <c r="LMT19" s="352"/>
      <c r="LMU19" s="352"/>
      <c r="LMV19" s="352"/>
      <c r="LMW19" s="352"/>
      <c r="LMX19" s="352"/>
      <c r="LMY19" s="352"/>
      <c r="LMZ19" s="352"/>
      <c r="LNA19" s="352"/>
      <c r="LNB19" s="352"/>
      <c r="LNC19" s="352"/>
      <c r="LND19" s="352"/>
      <c r="LNE19" s="352"/>
      <c r="LNF19" s="352"/>
      <c r="LNG19" s="352"/>
      <c r="LNH19" s="352"/>
      <c r="LNI19" s="352"/>
      <c r="LNJ19" s="352"/>
      <c r="LNK19" s="352"/>
      <c r="LNL19" s="352"/>
      <c r="LNM19" s="352"/>
      <c r="LNN19" s="352"/>
      <c r="LNO19" s="352"/>
      <c r="LNP19" s="352"/>
      <c r="LNQ19" s="352"/>
      <c r="LNR19" s="352"/>
      <c r="LNS19" s="352"/>
      <c r="LNT19" s="352"/>
      <c r="LNU19" s="352"/>
      <c r="LNV19" s="352"/>
      <c r="LNW19" s="352"/>
      <c r="LNX19" s="352"/>
      <c r="LNY19" s="352"/>
      <c r="LNZ19" s="352"/>
      <c r="LOA19" s="352"/>
      <c r="LOB19" s="352"/>
      <c r="LOC19" s="352"/>
      <c r="LOD19" s="352"/>
      <c r="LOE19" s="352"/>
      <c r="LOF19" s="352"/>
      <c r="LOG19" s="352"/>
      <c r="LOH19" s="352"/>
      <c r="LOI19" s="352"/>
      <c r="LOJ19" s="352"/>
      <c r="LOK19" s="352"/>
      <c r="LOL19" s="352"/>
      <c r="LOM19" s="352"/>
      <c r="LON19" s="352"/>
      <c r="LOO19" s="352"/>
      <c r="LOP19" s="352"/>
      <c r="LOQ19" s="352"/>
      <c r="LOR19" s="352"/>
      <c r="LOS19" s="352"/>
      <c r="LOT19" s="352"/>
      <c r="LOU19" s="352"/>
      <c r="LOV19" s="352"/>
      <c r="LOW19" s="352"/>
      <c r="LOX19" s="352"/>
      <c r="LOY19" s="352"/>
      <c r="LOZ19" s="352"/>
      <c r="LPA19" s="352"/>
      <c r="LPB19" s="352"/>
      <c r="LPC19" s="352"/>
      <c r="LPD19" s="352"/>
      <c r="LPE19" s="352"/>
      <c r="LPF19" s="352"/>
      <c r="LPG19" s="352"/>
      <c r="LPH19" s="352"/>
      <c r="LPI19" s="352"/>
      <c r="LPJ19" s="352"/>
      <c r="LPK19" s="352"/>
      <c r="LPL19" s="352"/>
      <c r="LPM19" s="352"/>
      <c r="LPN19" s="352"/>
      <c r="LPO19" s="352"/>
      <c r="LPP19" s="352"/>
      <c r="LPQ19" s="352"/>
      <c r="LPR19" s="352"/>
      <c r="LPS19" s="352"/>
      <c r="LPT19" s="352"/>
      <c r="LPU19" s="352"/>
      <c r="LPV19" s="352"/>
      <c r="LPW19" s="352"/>
      <c r="LPX19" s="352"/>
      <c r="LPY19" s="352"/>
      <c r="LPZ19" s="352"/>
      <c r="LQA19" s="352"/>
      <c r="LQB19" s="352"/>
      <c r="LQC19" s="352"/>
      <c r="LQD19" s="352"/>
      <c r="LQE19" s="352"/>
      <c r="LQF19" s="352"/>
      <c r="LQG19" s="352"/>
      <c r="LQH19" s="352"/>
      <c r="LQI19" s="352"/>
      <c r="LQJ19" s="352"/>
      <c r="LQK19" s="352"/>
      <c r="LQL19" s="352"/>
      <c r="LQM19" s="352"/>
      <c r="LQN19" s="352"/>
      <c r="LQO19" s="352"/>
      <c r="LQP19" s="352"/>
      <c r="LQQ19" s="352"/>
      <c r="LQR19" s="352"/>
      <c r="LQS19" s="352"/>
      <c r="LQT19" s="352"/>
      <c r="LQU19" s="352"/>
      <c r="LQV19" s="352"/>
      <c r="LQW19" s="352"/>
      <c r="LQX19" s="352"/>
      <c r="LQY19" s="352"/>
      <c r="LQZ19" s="352"/>
      <c r="LRA19" s="352"/>
      <c r="LRB19" s="352"/>
      <c r="LRC19" s="352"/>
      <c r="LRD19" s="352"/>
      <c r="LRE19" s="352"/>
      <c r="LRF19" s="352"/>
      <c r="LRG19" s="352"/>
      <c r="LRH19" s="352"/>
      <c r="LRI19" s="352"/>
      <c r="LRJ19" s="352"/>
      <c r="LRK19" s="352"/>
      <c r="LRL19" s="352"/>
      <c r="LRM19" s="352"/>
      <c r="LRN19" s="352"/>
      <c r="LRO19" s="352"/>
      <c r="LRP19" s="352"/>
      <c r="LRQ19" s="352"/>
      <c r="LRR19" s="352"/>
      <c r="LRS19" s="352"/>
      <c r="LRT19" s="352"/>
      <c r="LRU19" s="352"/>
      <c r="LRV19" s="352"/>
      <c r="LRW19" s="352"/>
      <c r="LRX19" s="352"/>
      <c r="LRY19" s="352"/>
      <c r="LRZ19" s="352"/>
      <c r="LSA19" s="352"/>
      <c r="LSB19" s="352"/>
      <c r="LSC19" s="352"/>
      <c r="LSD19" s="352"/>
      <c r="LSE19" s="352"/>
      <c r="LSF19" s="352"/>
      <c r="LSG19" s="352"/>
      <c r="LSH19" s="352"/>
      <c r="LSI19" s="352"/>
      <c r="LSJ19" s="352"/>
      <c r="LSK19" s="352"/>
      <c r="LSL19" s="352"/>
      <c r="LSM19" s="352"/>
      <c r="LSN19" s="352"/>
      <c r="LSO19" s="352"/>
      <c r="LSP19" s="352"/>
      <c r="LSQ19" s="352"/>
      <c r="LSR19" s="352"/>
      <c r="LSS19" s="352"/>
      <c r="LST19" s="352"/>
      <c r="LSU19" s="352"/>
      <c r="LSV19" s="352"/>
      <c r="LSW19" s="352"/>
      <c r="LSX19" s="352"/>
      <c r="LSY19" s="352"/>
      <c r="LSZ19" s="352"/>
      <c r="LTA19" s="352"/>
      <c r="LTB19" s="352"/>
      <c r="LTC19" s="352"/>
      <c r="LTD19" s="352"/>
      <c r="LTE19" s="352"/>
      <c r="LTF19" s="352"/>
      <c r="LTG19" s="352"/>
      <c r="LTH19" s="352"/>
      <c r="LTI19" s="352"/>
      <c r="LTJ19" s="352"/>
      <c r="LTK19" s="352"/>
      <c r="LTL19" s="352"/>
      <c r="LTM19" s="352"/>
      <c r="LTN19" s="352"/>
      <c r="LTO19" s="352"/>
      <c r="LTP19" s="352"/>
      <c r="LTQ19" s="352"/>
      <c r="LTR19" s="352"/>
      <c r="LTS19" s="352"/>
      <c r="LTT19" s="352"/>
      <c r="LTU19" s="352"/>
      <c r="LTV19" s="352"/>
      <c r="LTW19" s="352"/>
      <c r="LTX19" s="352"/>
      <c r="LTY19" s="352"/>
      <c r="LTZ19" s="352"/>
      <c r="LUA19" s="352"/>
      <c r="LUB19" s="352"/>
      <c r="LUC19" s="352"/>
      <c r="LUD19" s="352"/>
      <c r="LUE19" s="352"/>
      <c r="LUF19" s="352"/>
      <c r="LUG19" s="352"/>
      <c r="LUH19" s="352"/>
      <c r="LUI19" s="352"/>
      <c r="LUJ19" s="352"/>
      <c r="LUK19" s="352"/>
      <c r="LUL19" s="352"/>
      <c r="LUM19" s="352"/>
      <c r="LUN19" s="352"/>
      <c r="LUO19" s="352"/>
      <c r="LUP19" s="352"/>
      <c r="LUQ19" s="352"/>
      <c r="LUR19" s="352"/>
      <c r="LUS19" s="352"/>
      <c r="LUT19" s="352"/>
      <c r="LUU19" s="352"/>
      <c r="LUV19" s="352"/>
      <c r="LUW19" s="352"/>
      <c r="LUX19" s="352"/>
      <c r="LUY19" s="352"/>
      <c r="LUZ19" s="352"/>
      <c r="LVA19" s="352"/>
      <c r="LVB19" s="352"/>
      <c r="LVC19" s="352"/>
      <c r="LVD19" s="352"/>
      <c r="LVE19" s="352"/>
      <c r="LVF19" s="352"/>
      <c r="LVG19" s="352"/>
      <c r="LVH19" s="352"/>
      <c r="LVI19" s="352"/>
      <c r="LVJ19" s="352"/>
      <c r="LVK19" s="352"/>
      <c r="LVL19" s="352"/>
      <c r="LVM19" s="352"/>
      <c r="LVN19" s="352"/>
      <c r="LVO19" s="352"/>
      <c r="LVP19" s="352"/>
      <c r="LVQ19" s="352"/>
      <c r="LVR19" s="352"/>
      <c r="LVS19" s="352"/>
      <c r="LVT19" s="352"/>
      <c r="LVU19" s="352"/>
      <c r="LVV19" s="352"/>
      <c r="LVW19" s="352"/>
      <c r="LVX19" s="352"/>
      <c r="LVY19" s="352"/>
      <c r="LVZ19" s="352"/>
      <c r="LWA19" s="352"/>
      <c r="LWB19" s="352"/>
      <c r="LWC19" s="352"/>
      <c r="LWD19" s="352"/>
      <c r="LWE19" s="352"/>
      <c r="LWF19" s="352"/>
      <c r="LWG19" s="352"/>
      <c r="LWH19" s="352"/>
      <c r="LWI19" s="352"/>
      <c r="LWJ19" s="352"/>
      <c r="LWK19" s="352"/>
      <c r="LWL19" s="352"/>
      <c r="LWM19" s="352"/>
      <c r="LWN19" s="352"/>
      <c r="LWO19" s="352"/>
      <c r="LWP19" s="352"/>
      <c r="LWQ19" s="352"/>
      <c r="LWR19" s="352"/>
      <c r="LWS19" s="352"/>
      <c r="LWT19" s="352"/>
      <c r="LWU19" s="352"/>
      <c r="LWV19" s="352"/>
      <c r="LWW19" s="352"/>
      <c r="LWX19" s="352"/>
      <c r="LWY19" s="352"/>
      <c r="LWZ19" s="352"/>
      <c r="LXA19" s="352"/>
      <c r="LXB19" s="352"/>
      <c r="LXC19" s="352"/>
      <c r="LXD19" s="352"/>
      <c r="LXE19" s="352"/>
      <c r="LXF19" s="352"/>
      <c r="LXG19" s="352"/>
      <c r="LXH19" s="352"/>
      <c r="LXI19" s="352"/>
      <c r="LXJ19" s="352"/>
      <c r="LXK19" s="352"/>
      <c r="LXL19" s="352"/>
      <c r="LXM19" s="352"/>
      <c r="LXN19" s="352"/>
      <c r="LXO19" s="352"/>
      <c r="LXP19" s="352"/>
      <c r="LXQ19" s="352"/>
      <c r="LXR19" s="352"/>
      <c r="LXS19" s="352"/>
      <c r="LXT19" s="352"/>
      <c r="LXU19" s="352"/>
      <c r="LXV19" s="352"/>
      <c r="LXW19" s="352"/>
      <c r="LXX19" s="352"/>
      <c r="LXY19" s="352"/>
      <c r="LXZ19" s="352"/>
      <c r="LYA19" s="352"/>
      <c r="LYB19" s="352"/>
      <c r="LYC19" s="352"/>
      <c r="LYD19" s="352"/>
      <c r="LYE19" s="352"/>
      <c r="LYF19" s="352"/>
      <c r="LYG19" s="352"/>
      <c r="LYH19" s="352"/>
      <c r="LYI19" s="352"/>
      <c r="LYJ19" s="352"/>
      <c r="LYK19" s="352"/>
      <c r="LYL19" s="352"/>
      <c r="LYM19" s="352"/>
      <c r="LYN19" s="352"/>
      <c r="LYO19" s="352"/>
      <c r="LYP19" s="352"/>
      <c r="LYQ19" s="352"/>
      <c r="LYR19" s="352"/>
      <c r="LYS19" s="352"/>
      <c r="LYT19" s="352"/>
      <c r="LYU19" s="352"/>
      <c r="LYV19" s="352"/>
      <c r="LYW19" s="352"/>
      <c r="LYX19" s="352"/>
      <c r="LYY19" s="352"/>
      <c r="LYZ19" s="352"/>
      <c r="LZA19" s="352"/>
      <c r="LZB19" s="352"/>
      <c r="LZC19" s="352"/>
      <c r="LZD19" s="352"/>
      <c r="LZE19" s="352"/>
      <c r="LZF19" s="352"/>
      <c r="LZG19" s="352"/>
      <c r="LZH19" s="352"/>
      <c r="LZI19" s="352"/>
      <c r="LZJ19" s="352"/>
      <c r="LZK19" s="352"/>
      <c r="LZL19" s="352"/>
      <c r="LZM19" s="352"/>
      <c r="LZN19" s="352"/>
      <c r="LZO19" s="352"/>
      <c r="LZP19" s="352"/>
      <c r="LZQ19" s="352"/>
      <c r="LZR19" s="352"/>
      <c r="LZS19" s="352"/>
      <c r="LZT19" s="352"/>
      <c r="LZU19" s="352"/>
      <c r="LZV19" s="352"/>
      <c r="LZW19" s="352"/>
      <c r="LZX19" s="352"/>
      <c r="LZY19" s="352"/>
      <c r="LZZ19" s="352"/>
      <c r="MAA19" s="352"/>
      <c r="MAB19" s="352"/>
      <c r="MAC19" s="352"/>
      <c r="MAD19" s="352"/>
      <c r="MAE19" s="352"/>
      <c r="MAF19" s="352"/>
      <c r="MAG19" s="352"/>
      <c r="MAH19" s="352"/>
      <c r="MAI19" s="352"/>
      <c r="MAJ19" s="352"/>
      <c r="MAK19" s="352"/>
      <c r="MAL19" s="352"/>
      <c r="MAM19" s="352"/>
      <c r="MAN19" s="352"/>
      <c r="MAO19" s="352"/>
      <c r="MAP19" s="352"/>
      <c r="MAQ19" s="352"/>
      <c r="MAR19" s="352"/>
      <c r="MAS19" s="352"/>
      <c r="MAT19" s="352"/>
      <c r="MAU19" s="352"/>
      <c r="MAV19" s="352"/>
      <c r="MAW19" s="352"/>
      <c r="MAX19" s="352"/>
      <c r="MAY19" s="352"/>
      <c r="MAZ19" s="352"/>
      <c r="MBA19" s="352"/>
      <c r="MBB19" s="352"/>
      <c r="MBC19" s="352"/>
      <c r="MBD19" s="352"/>
      <c r="MBE19" s="352"/>
      <c r="MBF19" s="352"/>
      <c r="MBG19" s="352"/>
      <c r="MBH19" s="352"/>
      <c r="MBI19" s="352"/>
      <c r="MBJ19" s="352"/>
      <c r="MBK19" s="352"/>
      <c r="MBL19" s="352"/>
      <c r="MBM19" s="352"/>
      <c r="MBN19" s="352"/>
      <c r="MBO19" s="352"/>
      <c r="MBP19" s="352"/>
      <c r="MBQ19" s="352"/>
      <c r="MBR19" s="352"/>
      <c r="MBS19" s="352"/>
      <c r="MBT19" s="352"/>
      <c r="MBU19" s="352"/>
      <c r="MBV19" s="352"/>
      <c r="MBW19" s="352"/>
      <c r="MBX19" s="352"/>
      <c r="MBY19" s="352"/>
      <c r="MBZ19" s="352"/>
      <c r="MCA19" s="352"/>
      <c r="MCB19" s="352"/>
      <c r="MCC19" s="352"/>
      <c r="MCD19" s="352"/>
      <c r="MCE19" s="352"/>
      <c r="MCF19" s="352"/>
      <c r="MCG19" s="352"/>
      <c r="MCH19" s="352"/>
      <c r="MCI19" s="352"/>
      <c r="MCJ19" s="352"/>
      <c r="MCK19" s="352"/>
      <c r="MCL19" s="352"/>
      <c r="MCM19" s="352"/>
      <c r="MCN19" s="352"/>
      <c r="MCO19" s="352"/>
      <c r="MCP19" s="352"/>
      <c r="MCQ19" s="352"/>
      <c r="MCR19" s="352"/>
      <c r="MCS19" s="352"/>
      <c r="MCT19" s="352"/>
      <c r="MCU19" s="352"/>
      <c r="MCV19" s="352"/>
      <c r="MCW19" s="352"/>
      <c r="MCX19" s="352"/>
      <c r="MCY19" s="352"/>
      <c r="MCZ19" s="352"/>
      <c r="MDA19" s="352"/>
      <c r="MDB19" s="352"/>
      <c r="MDC19" s="352"/>
      <c r="MDD19" s="352"/>
      <c r="MDE19" s="352"/>
      <c r="MDF19" s="352"/>
      <c r="MDG19" s="352"/>
      <c r="MDH19" s="352"/>
      <c r="MDI19" s="352"/>
      <c r="MDJ19" s="352"/>
      <c r="MDK19" s="352"/>
      <c r="MDL19" s="352"/>
      <c r="MDM19" s="352"/>
      <c r="MDN19" s="352"/>
      <c r="MDO19" s="352"/>
      <c r="MDP19" s="352"/>
      <c r="MDQ19" s="352"/>
      <c r="MDR19" s="352"/>
      <c r="MDS19" s="352"/>
      <c r="MDT19" s="352"/>
      <c r="MDU19" s="352"/>
      <c r="MDV19" s="352"/>
      <c r="MDW19" s="352"/>
      <c r="MDX19" s="352"/>
      <c r="MDY19" s="352"/>
      <c r="MDZ19" s="352"/>
      <c r="MEA19" s="352"/>
      <c r="MEB19" s="352"/>
      <c r="MEC19" s="352"/>
      <c r="MED19" s="352"/>
      <c r="MEE19" s="352"/>
      <c r="MEF19" s="352"/>
      <c r="MEG19" s="352"/>
      <c r="MEH19" s="352"/>
      <c r="MEI19" s="352"/>
      <c r="MEJ19" s="352"/>
      <c r="MEK19" s="352"/>
      <c r="MEL19" s="352"/>
      <c r="MEM19" s="352"/>
      <c r="MEN19" s="352"/>
      <c r="MEO19" s="352"/>
      <c r="MEP19" s="352"/>
      <c r="MEQ19" s="352"/>
      <c r="MER19" s="352"/>
      <c r="MES19" s="352"/>
      <c r="MET19" s="352"/>
      <c r="MEU19" s="352"/>
      <c r="MEV19" s="352"/>
      <c r="MEW19" s="352"/>
      <c r="MEX19" s="352"/>
      <c r="MEY19" s="352"/>
      <c r="MEZ19" s="352"/>
      <c r="MFA19" s="352"/>
      <c r="MFB19" s="352"/>
      <c r="MFC19" s="352"/>
      <c r="MFD19" s="352"/>
      <c r="MFE19" s="352"/>
      <c r="MFF19" s="352"/>
      <c r="MFG19" s="352"/>
      <c r="MFH19" s="352"/>
      <c r="MFI19" s="352"/>
      <c r="MFJ19" s="352"/>
      <c r="MFK19" s="352"/>
      <c r="MFL19" s="352"/>
      <c r="MFM19" s="352"/>
      <c r="MFN19" s="352"/>
      <c r="MFO19" s="352"/>
      <c r="MFP19" s="352"/>
      <c r="MFQ19" s="352"/>
      <c r="MFR19" s="352"/>
      <c r="MFS19" s="352"/>
      <c r="MFT19" s="352"/>
      <c r="MFU19" s="352"/>
      <c r="MFV19" s="352"/>
      <c r="MFW19" s="352"/>
      <c r="MFX19" s="352"/>
      <c r="MFY19" s="352"/>
      <c r="MFZ19" s="352"/>
      <c r="MGA19" s="352"/>
      <c r="MGB19" s="352"/>
      <c r="MGC19" s="352"/>
      <c r="MGD19" s="352"/>
      <c r="MGE19" s="352"/>
      <c r="MGF19" s="352"/>
      <c r="MGG19" s="352"/>
      <c r="MGH19" s="352"/>
      <c r="MGI19" s="352"/>
      <c r="MGJ19" s="352"/>
      <c r="MGK19" s="352"/>
      <c r="MGL19" s="352"/>
      <c r="MGM19" s="352"/>
      <c r="MGN19" s="352"/>
      <c r="MGO19" s="352"/>
      <c r="MGP19" s="352"/>
      <c r="MGQ19" s="352"/>
      <c r="MGR19" s="352"/>
      <c r="MGS19" s="352"/>
      <c r="MGT19" s="352"/>
      <c r="MGU19" s="352"/>
      <c r="MGV19" s="352"/>
      <c r="MGW19" s="352"/>
      <c r="MGX19" s="352"/>
      <c r="MGY19" s="352"/>
      <c r="MGZ19" s="352"/>
      <c r="MHA19" s="352"/>
      <c r="MHB19" s="352"/>
      <c r="MHC19" s="352"/>
      <c r="MHD19" s="352"/>
      <c r="MHE19" s="352"/>
      <c r="MHF19" s="352"/>
      <c r="MHG19" s="352"/>
      <c r="MHH19" s="352"/>
      <c r="MHI19" s="352"/>
      <c r="MHJ19" s="352"/>
      <c r="MHK19" s="352"/>
      <c r="MHL19" s="352"/>
      <c r="MHM19" s="352"/>
      <c r="MHN19" s="352"/>
      <c r="MHO19" s="352"/>
      <c r="MHP19" s="352"/>
      <c r="MHQ19" s="352"/>
      <c r="MHR19" s="352"/>
      <c r="MHS19" s="352"/>
      <c r="MHT19" s="352"/>
      <c r="MHU19" s="352"/>
      <c r="MHV19" s="352"/>
      <c r="MHW19" s="352"/>
      <c r="MHX19" s="352"/>
      <c r="MHY19" s="352"/>
      <c r="MHZ19" s="352"/>
      <c r="MIA19" s="352"/>
      <c r="MIB19" s="352"/>
      <c r="MIC19" s="352"/>
      <c r="MID19" s="352"/>
      <c r="MIE19" s="352"/>
      <c r="MIF19" s="352"/>
      <c r="MIG19" s="352"/>
      <c r="MIH19" s="352"/>
      <c r="MII19" s="352"/>
      <c r="MIJ19" s="352"/>
      <c r="MIK19" s="352"/>
      <c r="MIL19" s="352"/>
      <c r="MIM19" s="352"/>
      <c r="MIN19" s="352"/>
      <c r="MIO19" s="352"/>
      <c r="MIP19" s="352"/>
      <c r="MIQ19" s="352"/>
      <c r="MIR19" s="352"/>
      <c r="MIS19" s="352"/>
      <c r="MIT19" s="352"/>
      <c r="MIU19" s="352"/>
      <c r="MIV19" s="352"/>
      <c r="MIW19" s="352"/>
      <c r="MIX19" s="352"/>
      <c r="MIY19" s="352"/>
      <c r="MIZ19" s="352"/>
      <c r="MJA19" s="352"/>
      <c r="MJB19" s="352"/>
      <c r="MJC19" s="352"/>
      <c r="MJD19" s="352"/>
      <c r="MJE19" s="352"/>
      <c r="MJF19" s="352"/>
      <c r="MJG19" s="352"/>
      <c r="MJH19" s="352"/>
      <c r="MJI19" s="352"/>
      <c r="MJJ19" s="352"/>
      <c r="MJK19" s="352"/>
      <c r="MJL19" s="352"/>
      <c r="MJM19" s="352"/>
      <c r="MJN19" s="352"/>
      <c r="MJO19" s="352"/>
      <c r="MJP19" s="352"/>
      <c r="MJQ19" s="352"/>
      <c r="MJR19" s="352"/>
      <c r="MJS19" s="352"/>
      <c r="MJT19" s="352"/>
      <c r="MJU19" s="352"/>
      <c r="MJV19" s="352"/>
      <c r="MJW19" s="352"/>
      <c r="MJX19" s="352"/>
      <c r="MJY19" s="352"/>
      <c r="MJZ19" s="352"/>
      <c r="MKA19" s="352"/>
      <c r="MKB19" s="352"/>
      <c r="MKC19" s="352"/>
      <c r="MKD19" s="352"/>
      <c r="MKE19" s="352"/>
      <c r="MKF19" s="352"/>
      <c r="MKG19" s="352"/>
      <c r="MKH19" s="352"/>
      <c r="MKI19" s="352"/>
      <c r="MKJ19" s="352"/>
      <c r="MKK19" s="352"/>
      <c r="MKL19" s="352"/>
      <c r="MKM19" s="352"/>
      <c r="MKN19" s="352"/>
      <c r="MKO19" s="352"/>
      <c r="MKP19" s="352"/>
      <c r="MKQ19" s="352"/>
      <c r="MKR19" s="352"/>
      <c r="MKS19" s="352"/>
      <c r="MKT19" s="352"/>
      <c r="MKU19" s="352"/>
      <c r="MKV19" s="352"/>
      <c r="MKW19" s="352"/>
      <c r="MKX19" s="352"/>
      <c r="MKY19" s="352"/>
      <c r="MKZ19" s="352"/>
      <c r="MLA19" s="352"/>
      <c r="MLB19" s="352"/>
      <c r="MLC19" s="352"/>
      <c r="MLD19" s="352"/>
      <c r="MLE19" s="352"/>
      <c r="MLF19" s="352"/>
      <c r="MLG19" s="352"/>
      <c r="MLH19" s="352"/>
      <c r="MLI19" s="352"/>
      <c r="MLJ19" s="352"/>
      <c r="MLK19" s="352"/>
      <c r="MLL19" s="352"/>
      <c r="MLM19" s="352"/>
      <c r="MLN19" s="352"/>
      <c r="MLO19" s="352"/>
      <c r="MLP19" s="352"/>
      <c r="MLQ19" s="352"/>
      <c r="MLR19" s="352"/>
      <c r="MLS19" s="352"/>
      <c r="MLT19" s="352"/>
      <c r="MLU19" s="352"/>
      <c r="MLV19" s="352"/>
      <c r="MLW19" s="352"/>
      <c r="MLX19" s="352"/>
      <c r="MLY19" s="352"/>
      <c r="MLZ19" s="352"/>
      <c r="MMA19" s="352"/>
      <c r="MMB19" s="352"/>
      <c r="MMC19" s="352"/>
      <c r="MMD19" s="352"/>
      <c r="MME19" s="352"/>
      <c r="MMF19" s="352"/>
      <c r="MMG19" s="352"/>
      <c r="MMH19" s="352"/>
      <c r="MMI19" s="352"/>
      <c r="MMJ19" s="352"/>
      <c r="MMK19" s="352"/>
      <c r="MML19" s="352"/>
      <c r="MMM19" s="352"/>
      <c r="MMN19" s="352"/>
      <c r="MMO19" s="352"/>
      <c r="MMP19" s="352"/>
      <c r="MMQ19" s="352"/>
      <c r="MMR19" s="352"/>
      <c r="MMS19" s="352"/>
      <c r="MMT19" s="352"/>
      <c r="MMU19" s="352"/>
      <c r="MMV19" s="352"/>
      <c r="MMW19" s="352"/>
      <c r="MMX19" s="352"/>
      <c r="MMY19" s="352"/>
      <c r="MMZ19" s="352"/>
      <c r="MNA19" s="352"/>
      <c r="MNB19" s="352"/>
      <c r="MNC19" s="352"/>
      <c r="MND19" s="352"/>
      <c r="MNE19" s="352"/>
      <c r="MNF19" s="352"/>
      <c r="MNG19" s="352"/>
      <c r="MNH19" s="352"/>
      <c r="MNI19" s="352"/>
      <c r="MNJ19" s="352"/>
      <c r="MNK19" s="352"/>
      <c r="MNL19" s="352"/>
      <c r="MNM19" s="352"/>
      <c r="MNN19" s="352"/>
      <c r="MNO19" s="352"/>
      <c r="MNP19" s="352"/>
      <c r="MNQ19" s="352"/>
      <c r="MNR19" s="352"/>
      <c r="MNS19" s="352"/>
      <c r="MNT19" s="352"/>
      <c r="MNU19" s="352"/>
      <c r="MNV19" s="352"/>
      <c r="MNW19" s="352"/>
      <c r="MNX19" s="352"/>
      <c r="MNY19" s="352"/>
      <c r="MNZ19" s="352"/>
      <c r="MOA19" s="352"/>
      <c r="MOB19" s="352"/>
      <c r="MOC19" s="352"/>
      <c r="MOD19" s="352"/>
      <c r="MOE19" s="352"/>
      <c r="MOF19" s="352"/>
      <c r="MOG19" s="352"/>
      <c r="MOH19" s="352"/>
      <c r="MOI19" s="352"/>
      <c r="MOJ19" s="352"/>
      <c r="MOK19" s="352"/>
      <c r="MOL19" s="352"/>
      <c r="MOM19" s="352"/>
      <c r="MON19" s="352"/>
      <c r="MOO19" s="352"/>
      <c r="MOP19" s="352"/>
      <c r="MOQ19" s="352"/>
      <c r="MOR19" s="352"/>
      <c r="MOS19" s="352"/>
      <c r="MOT19" s="352"/>
      <c r="MOU19" s="352"/>
      <c r="MOV19" s="352"/>
      <c r="MOW19" s="352"/>
      <c r="MOX19" s="352"/>
      <c r="MOY19" s="352"/>
      <c r="MOZ19" s="352"/>
      <c r="MPA19" s="352"/>
      <c r="MPB19" s="352"/>
      <c r="MPC19" s="352"/>
      <c r="MPD19" s="352"/>
      <c r="MPE19" s="352"/>
      <c r="MPF19" s="352"/>
      <c r="MPG19" s="352"/>
      <c r="MPH19" s="352"/>
      <c r="MPI19" s="352"/>
      <c r="MPJ19" s="352"/>
      <c r="MPK19" s="352"/>
      <c r="MPL19" s="352"/>
      <c r="MPM19" s="352"/>
      <c r="MPN19" s="352"/>
      <c r="MPO19" s="352"/>
      <c r="MPP19" s="352"/>
      <c r="MPQ19" s="352"/>
      <c r="MPR19" s="352"/>
      <c r="MPS19" s="352"/>
      <c r="MPT19" s="352"/>
      <c r="MPU19" s="352"/>
      <c r="MPV19" s="352"/>
      <c r="MPW19" s="352"/>
      <c r="MPX19" s="352"/>
      <c r="MPY19" s="352"/>
      <c r="MPZ19" s="352"/>
      <c r="MQA19" s="352"/>
      <c r="MQB19" s="352"/>
      <c r="MQC19" s="352"/>
      <c r="MQD19" s="352"/>
      <c r="MQE19" s="352"/>
      <c r="MQF19" s="352"/>
      <c r="MQG19" s="352"/>
      <c r="MQH19" s="352"/>
      <c r="MQI19" s="352"/>
      <c r="MQJ19" s="352"/>
      <c r="MQK19" s="352"/>
      <c r="MQL19" s="352"/>
      <c r="MQM19" s="352"/>
      <c r="MQN19" s="352"/>
      <c r="MQO19" s="352"/>
      <c r="MQP19" s="352"/>
      <c r="MQQ19" s="352"/>
      <c r="MQR19" s="352"/>
      <c r="MQS19" s="352"/>
      <c r="MQT19" s="352"/>
      <c r="MQU19" s="352"/>
      <c r="MQV19" s="352"/>
      <c r="MQW19" s="352"/>
      <c r="MQX19" s="352"/>
      <c r="MQY19" s="352"/>
      <c r="MQZ19" s="352"/>
      <c r="MRA19" s="352"/>
      <c r="MRB19" s="352"/>
      <c r="MRC19" s="352"/>
      <c r="MRD19" s="352"/>
      <c r="MRE19" s="352"/>
      <c r="MRF19" s="352"/>
      <c r="MRG19" s="352"/>
      <c r="MRH19" s="352"/>
      <c r="MRI19" s="352"/>
      <c r="MRJ19" s="352"/>
      <c r="MRK19" s="352"/>
      <c r="MRL19" s="352"/>
      <c r="MRM19" s="352"/>
      <c r="MRN19" s="352"/>
      <c r="MRO19" s="352"/>
      <c r="MRP19" s="352"/>
      <c r="MRQ19" s="352"/>
      <c r="MRR19" s="352"/>
      <c r="MRS19" s="352"/>
      <c r="MRT19" s="352"/>
      <c r="MRU19" s="352"/>
      <c r="MRV19" s="352"/>
      <c r="MRW19" s="352"/>
      <c r="MRX19" s="352"/>
      <c r="MRY19" s="352"/>
      <c r="MRZ19" s="352"/>
      <c r="MSA19" s="352"/>
      <c r="MSB19" s="352"/>
      <c r="MSC19" s="352"/>
      <c r="MSD19" s="352"/>
      <c r="MSE19" s="352"/>
      <c r="MSF19" s="352"/>
      <c r="MSG19" s="352"/>
      <c r="MSH19" s="352"/>
      <c r="MSI19" s="352"/>
      <c r="MSJ19" s="352"/>
      <c r="MSK19" s="352"/>
      <c r="MSL19" s="352"/>
      <c r="MSM19" s="352"/>
      <c r="MSN19" s="352"/>
      <c r="MSO19" s="352"/>
      <c r="MSP19" s="352"/>
      <c r="MSQ19" s="352"/>
      <c r="MSR19" s="352"/>
      <c r="MSS19" s="352"/>
      <c r="MST19" s="352"/>
      <c r="MSU19" s="352"/>
      <c r="MSV19" s="352"/>
      <c r="MSW19" s="352"/>
      <c r="MSX19" s="352"/>
      <c r="MSY19" s="352"/>
      <c r="MSZ19" s="352"/>
      <c r="MTA19" s="352"/>
      <c r="MTB19" s="352"/>
      <c r="MTC19" s="352"/>
      <c r="MTD19" s="352"/>
      <c r="MTE19" s="352"/>
      <c r="MTF19" s="352"/>
      <c r="MTG19" s="352"/>
      <c r="MTH19" s="352"/>
      <c r="MTI19" s="352"/>
      <c r="MTJ19" s="352"/>
      <c r="MTK19" s="352"/>
      <c r="MTL19" s="352"/>
      <c r="MTM19" s="352"/>
      <c r="MTN19" s="352"/>
      <c r="MTO19" s="352"/>
      <c r="MTP19" s="352"/>
      <c r="MTQ19" s="352"/>
      <c r="MTR19" s="352"/>
      <c r="MTS19" s="352"/>
      <c r="MTT19" s="352"/>
      <c r="MTU19" s="352"/>
      <c r="MTV19" s="352"/>
      <c r="MTW19" s="352"/>
      <c r="MTX19" s="352"/>
      <c r="MTY19" s="352"/>
      <c r="MTZ19" s="352"/>
      <c r="MUA19" s="352"/>
      <c r="MUB19" s="352"/>
      <c r="MUC19" s="352"/>
      <c r="MUD19" s="352"/>
      <c r="MUE19" s="352"/>
      <c r="MUF19" s="352"/>
      <c r="MUG19" s="352"/>
      <c r="MUH19" s="352"/>
      <c r="MUI19" s="352"/>
      <c r="MUJ19" s="352"/>
      <c r="MUK19" s="352"/>
      <c r="MUL19" s="352"/>
      <c r="MUM19" s="352"/>
      <c r="MUN19" s="352"/>
      <c r="MUO19" s="352"/>
      <c r="MUP19" s="352"/>
      <c r="MUQ19" s="352"/>
      <c r="MUR19" s="352"/>
      <c r="MUS19" s="352"/>
      <c r="MUT19" s="352"/>
      <c r="MUU19" s="352"/>
      <c r="MUV19" s="352"/>
      <c r="MUW19" s="352"/>
      <c r="MUX19" s="352"/>
      <c r="MUY19" s="352"/>
      <c r="MUZ19" s="352"/>
      <c r="MVA19" s="352"/>
      <c r="MVB19" s="352"/>
      <c r="MVC19" s="352"/>
      <c r="MVD19" s="352"/>
      <c r="MVE19" s="352"/>
      <c r="MVF19" s="352"/>
      <c r="MVG19" s="352"/>
      <c r="MVH19" s="352"/>
      <c r="MVI19" s="352"/>
      <c r="MVJ19" s="352"/>
      <c r="MVK19" s="352"/>
      <c r="MVL19" s="352"/>
      <c r="MVM19" s="352"/>
      <c r="MVN19" s="352"/>
      <c r="MVO19" s="352"/>
      <c r="MVP19" s="352"/>
      <c r="MVQ19" s="352"/>
      <c r="MVR19" s="352"/>
      <c r="MVS19" s="352"/>
      <c r="MVT19" s="352"/>
      <c r="MVU19" s="352"/>
      <c r="MVV19" s="352"/>
      <c r="MVW19" s="352"/>
      <c r="MVX19" s="352"/>
      <c r="MVY19" s="352"/>
      <c r="MVZ19" s="352"/>
      <c r="MWA19" s="352"/>
      <c r="MWB19" s="352"/>
      <c r="MWC19" s="352"/>
      <c r="MWD19" s="352"/>
      <c r="MWE19" s="352"/>
      <c r="MWF19" s="352"/>
      <c r="MWG19" s="352"/>
      <c r="MWH19" s="352"/>
      <c r="MWI19" s="352"/>
      <c r="MWJ19" s="352"/>
      <c r="MWK19" s="352"/>
      <c r="MWL19" s="352"/>
      <c r="MWM19" s="352"/>
      <c r="MWN19" s="352"/>
      <c r="MWO19" s="352"/>
      <c r="MWP19" s="352"/>
      <c r="MWQ19" s="352"/>
      <c r="MWR19" s="352"/>
      <c r="MWS19" s="352"/>
      <c r="MWT19" s="352"/>
      <c r="MWU19" s="352"/>
      <c r="MWV19" s="352"/>
      <c r="MWW19" s="352"/>
      <c r="MWX19" s="352"/>
      <c r="MWY19" s="352"/>
      <c r="MWZ19" s="352"/>
      <c r="MXA19" s="352"/>
      <c r="MXB19" s="352"/>
      <c r="MXC19" s="352"/>
      <c r="MXD19" s="352"/>
      <c r="MXE19" s="352"/>
      <c r="MXF19" s="352"/>
      <c r="MXG19" s="352"/>
      <c r="MXH19" s="352"/>
      <c r="MXI19" s="352"/>
      <c r="MXJ19" s="352"/>
      <c r="MXK19" s="352"/>
      <c r="MXL19" s="352"/>
      <c r="MXM19" s="352"/>
      <c r="MXN19" s="352"/>
      <c r="MXO19" s="352"/>
      <c r="MXP19" s="352"/>
      <c r="MXQ19" s="352"/>
      <c r="MXR19" s="352"/>
      <c r="MXS19" s="352"/>
      <c r="MXT19" s="352"/>
      <c r="MXU19" s="352"/>
      <c r="MXV19" s="352"/>
      <c r="MXW19" s="352"/>
      <c r="MXX19" s="352"/>
      <c r="MXY19" s="352"/>
      <c r="MXZ19" s="352"/>
      <c r="MYA19" s="352"/>
      <c r="MYB19" s="352"/>
      <c r="MYC19" s="352"/>
      <c r="MYD19" s="352"/>
      <c r="MYE19" s="352"/>
      <c r="MYF19" s="352"/>
      <c r="MYG19" s="352"/>
      <c r="MYH19" s="352"/>
      <c r="MYI19" s="352"/>
      <c r="MYJ19" s="352"/>
      <c r="MYK19" s="352"/>
      <c r="MYL19" s="352"/>
      <c r="MYM19" s="352"/>
      <c r="MYN19" s="352"/>
      <c r="MYO19" s="352"/>
      <c r="MYP19" s="352"/>
      <c r="MYQ19" s="352"/>
      <c r="MYR19" s="352"/>
      <c r="MYS19" s="352"/>
      <c r="MYT19" s="352"/>
      <c r="MYU19" s="352"/>
      <c r="MYV19" s="352"/>
      <c r="MYW19" s="352"/>
      <c r="MYX19" s="352"/>
      <c r="MYY19" s="352"/>
      <c r="MYZ19" s="352"/>
      <c r="MZA19" s="352"/>
      <c r="MZB19" s="352"/>
      <c r="MZC19" s="352"/>
      <c r="MZD19" s="352"/>
      <c r="MZE19" s="352"/>
      <c r="MZF19" s="352"/>
      <c r="MZG19" s="352"/>
      <c r="MZH19" s="352"/>
      <c r="MZI19" s="352"/>
      <c r="MZJ19" s="352"/>
      <c r="MZK19" s="352"/>
      <c r="MZL19" s="352"/>
      <c r="MZM19" s="352"/>
      <c r="MZN19" s="352"/>
      <c r="MZO19" s="352"/>
      <c r="MZP19" s="352"/>
      <c r="MZQ19" s="352"/>
      <c r="MZR19" s="352"/>
      <c r="MZS19" s="352"/>
      <c r="MZT19" s="352"/>
      <c r="MZU19" s="352"/>
      <c r="MZV19" s="352"/>
      <c r="MZW19" s="352"/>
      <c r="MZX19" s="352"/>
      <c r="MZY19" s="352"/>
      <c r="MZZ19" s="352"/>
      <c r="NAA19" s="352"/>
      <c r="NAB19" s="352"/>
      <c r="NAC19" s="352"/>
      <c r="NAD19" s="352"/>
      <c r="NAE19" s="352"/>
      <c r="NAF19" s="352"/>
      <c r="NAG19" s="352"/>
      <c r="NAH19" s="352"/>
      <c r="NAI19" s="352"/>
      <c r="NAJ19" s="352"/>
      <c r="NAK19" s="352"/>
      <c r="NAL19" s="352"/>
      <c r="NAM19" s="352"/>
      <c r="NAN19" s="352"/>
      <c r="NAO19" s="352"/>
      <c r="NAP19" s="352"/>
      <c r="NAQ19" s="352"/>
      <c r="NAR19" s="352"/>
      <c r="NAS19" s="352"/>
      <c r="NAT19" s="352"/>
      <c r="NAU19" s="352"/>
      <c r="NAV19" s="352"/>
      <c r="NAW19" s="352"/>
      <c r="NAX19" s="352"/>
      <c r="NAY19" s="352"/>
      <c r="NAZ19" s="352"/>
      <c r="NBA19" s="352"/>
      <c r="NBB19" s="352"/>
      <c r="NBC19" s="352"/>
      <c r="NBD19" s="352"/>
      <c r="NBE19" s="352"/>
      <c r="NBF19" s="352"/>
      <c r="NBG19" s="352"/>
      <c r="NBH19" s="352"/>
      <c r="NBI19" s="352"/>
      <c r="NBJ19" s="352"/>
      <c r="NBK19" s="352"/>
      <c r="NBL19" s="352"/>
      <c r="NBM19" s="352"/>
      <c r="NBN19" s="352"/>
      <c r="NBO19" s="352"/>
      <c r="NBP19" s="352"/>
      <c r="NBQ19" s="352"/>
      <c r="NBR19" s="352"/>
      <c r="NBS19" s="352"/>
      <c r="NBT19" s="352"/>
      <c r="NBU19" s="352"/>
      <c r="NBV19" s="352"/>
      <c r="NBW19" s="352"/>
      <c r="NBX19" s="352"/>
      <c r="NBY19" s="352"/>
      <c r="NBZ19" s="352"/>
      <c r="NCA19" s="352"/>
      <c r="NCB19" s="352"/>
      <c r="NCC19" s="352"/>
      <c r="NCD19" s="352"/>
      <c r="NCE19" s="352"/>
      <c r="NCF19" s="352"/>
      <c r="NCG19" s="352"/>
      <c r="NCH19" s="352"/>
      <c r="NCI19" s="352"/>
      <c r="NCJ19" s="352"/>
      <c r="NCK19" s="352"/>
      <c r="NCL19" s="352"/>
      <c r="NCM19" s="352"/>
      <c r="NCN19" s="352"/>
      <c r="NCO19" s="352"/>
      <c r="NCP19" s="352"/>
      <c r="NCQ19" s="352"/>
      <c r="NCR19" s="352"/>
      <c r="NCS19" s="352"/>
      <c r="NCT19" s="352"/>
      <c r="NCU19" s="352"/>
      <c r="NCV19" s="352"/>
      <c r="NCW19" s="352"/>
      <c r="NCX19" s="352"/>
      <c r="NCY19" s="352"/>
      <c r="NCZ19" s="352"/>
      <c r="NDA19" s="352"/>
      <c r="NDB19" s="352"/>
      <c r="NDC19" s="352"/>
      <c r="NDD19" s="352"/>
      <c r="NDE19" s="352"/>
      <c r="NDF19" s="352"/>
      <c r="NDG19" s="352"/>
      <c r="NDH19" s="352"/>
      <c r="NDI19" s="352"/>
      <c r="NDJ19" s="352"/>
      <c r="NDK19" s="352"/>
      <c r="NDL19" s="352"/>
      <c r="NDM19" s="352"/>
      <c r="NDN19" s="352"/>
      <c r="NDO19" s="352"/>
      <c r="NDP19" s="352"/>
      <c r="NDQ19" s="352"/>
      <c r="NDR19" s="352"/>
      <c r="NDS19" s="352"/>
      <c r="NDT19" s="352"/>
      <c r="NDU19" s="352"/>
      <c r="NDV19" s="352"/>
      <c r="NDW19" s="352"/>
      <c r="NDX19" s="352"/>
      <c r="NDY19" s="352"/>
      <c r="NDZ19" s="352"/>
      <c r="NEA19" s="352"/>
      <c r="NEB19" s="352"/>
      <c r="NEC19" s="352"/>
      <c r="NED19" s="352"/>
      <c r="NEE19" s="352"/>
      <c r="NEF19" s="352"/>
      <c r="NEG19" s="352"/>
      <c r="NEH19" s="352"/>
      <c r="NEI19" s="352"/>
      <c r="NEJ19" s="352"/>
      <c r="NEK19" s="352"/>
      <c r="NEL19" s="352"/>
      <c r="NEM19" s="352"/>
      <c r="NEN19" s="352"/>
      <c r="NEO19" s="352"/>
      <c r="NEP19" s="352"/>
      <c r="NEQ19" s="352"/>
      <c r="NER19" s="352"/>
      <c r="NES19" s="352"/>
      <c r="NET19" s="352"/>
      <c r="NEU19" s="352"/>
      <c r="NEV19" s="352"/>
      <c r="NEW19" s="352"/>
      <c r="NEX19" s="352"/>
      <c r="NEY19" s="352"/>
      <c r="NEZ19" s="352"/>
      <c r="NFA19" s="352"/>
      <c r="NFB19" s="352"/>
      <c r="NFC19" s="352"/>
      <c r="NFD19" s="352"/>
      <c r="NFE19" s="352"/>
      <c r="NFF19" s="352"/>
      <c r="NFG19" s="352"/>
      <c r="NFH19" s="352"/>
      <c r="NFI19" s="352"/>
      <c r="NFJ19" s="352"/>
      <c r="NFK19" s="352"/>
      <c r="NFL19" s="352"/>
      <c r="NFM19" s="352"/>
      <c r="NFN19" s="352"/>
      <c r="NFO19" s="352"/>
      <c r="NFP19" s="352"/>
      <c r="NFQ19" s="352"/>
      <c r="NFR19" s="352"/>
      <c r="NFS19" s="352"/>
      <c r="NFT19" s="352"/>
      <c r="NFU19" s="352"/>
      <c r="NFV19" s="352"/>
      <c r="NFW19" s="352"/>
      <c r="NFX19" s="352"/>
      <c r="NFY19" s="352"/>
      <c r="NFZ19" s="352"/>
      <c r="NGA19" s="352"/>
      <c r="NGB19" s="352"/>
      <c r="NGC19" s="352"/>
      <c r="NGD19" s="352"/>
      <c r="NGE19" s="352"/>
      <c r="NGF19" s="352"/>
      <c r="NGG19" s="352"/>
      <c r="NGH19" s="352"/>
      <c r="NGI19" s="352"/>
      <c r="NGJ19" s="352"/>
      <c r="NGK19" s="352"/>
      <c r="NGL19" s="352"/>
      <c r="NGM19" s="352"/>
      <c r="NGN19" s="352"/>
      <c r="NGO19" s="352"/>
      <c r="NGP19" s="352"/>
      <c r="NGQ19" s="352"/>
      <c r="NGR19" s="352"/>
      <c r="NGS19" s="352"/>
      <c r="NGT19" s="352"/>
      <c r="NGU19" s="352"/>
      <c r="NGV19" s="352"/>
      <c r="NGW19" s="352"/>
      <c r="NGX19" s="352"/>
      <c r="NGY19" s="352"/>
      <c r="NGZ19" s="352"/>
      <c r="NHA19" s="352"/>
      <c r="NHB19" s="352"/>
      <c r="NHC19" s="352"/>
      <c r="NHD19" s="352"/>
      <c r="NHE19" s="352"/>
      <c r="NHF19" s="352"/>
      <c r="NHG19" s="352"/>
      <c r="NHH19" s="352"/>
      <c r="NHI19" s="352"/>
      <c r="NHJ19" s="352"/>
      <c r="NHK19" s="352"/>
      <c r="NHL19" s="352"/>
      <c r="NHM19" s="352"/>
      <c r="NHN19" s="352"/>
      <c r="NHO19" s="352"/>
      <c r="NHP19" s="352"/>
      <c r="NHQ19" s="352"/>
      <c r="NHR19" s="352"/>
      <c r="NHS19" s="352"/>
      <c r="NHT19" s="352"/>
      <c r="NHU19" s="352"/>
      <c r="NHV19" s="352"/>
      <c r="NHW19" s="352"/>
      <c r="NHX19" s="352"/>
      <c r="NHY19" s="352"/>
      <c r="NHZ19" s="352"/>
      <c r="NIA19" s="352"/>
      <c r="NIB19" s="352"/>
      <c r="NIC19" s="352"/>
      <c r="NID19" s="352"/>
      <c r="NIE19" s="352"/>
      <c r="NIF19" s="352"/>
      <c r="NIG19" s="352"/>
      <c r="NIH19" s="352"/>
      <c r="NII19" s="352"/>
      <c r="NIJ19" s="352"/>
      <c r="NIK19" s="352"/>
      <c r="NIL19" s="352"/>
      <c r="NIM19" s="352"/>
      <c r="NIN19" s="352"/>
      <c r="NIO19" s="352"/>
      <c r="NIP19" s="352"/>
      <c r="NIQ19" s="352"/>
      <c r="NIR19" s="352"/>
      <c r="NIS19" s="352"/>
      <c r="NIT19" s="352"/>
      <c r="NIU19" s="352"/>
      <c r="NIV19" s="352"/>
      <c r="NIW19" s="352"/>
      <c r="NIX19" s="352"/>
      <c r="NIY19" s="352"/>
      <c r="NIZ19" s="352"/>
      <c r="NJA19" s="352"/>
      <c r="NJB19" s="352"/>
      <c r="NJC19" s="352"/>
      <c r="NJD19" s="352"/>
      <c r="NJE19" s="352"/>
      <c r="NJF19" s="352"/>
      <c r="NJG19" s="352"/>
      <c r="NJH19" s="352"/>
      <c r="NJI19" s="352"/>
      <c r="NJJ19" s="352"/>
      <c r="NJK19" s="352"/>
      <c r="NJL19" s="352"/>
      <c r="NJM19" s="352"/>
      <c r="NJN19" s="352"/>
      <c r="NJO19" s="352"/>
      <c r="NJP19" s="352"/>
      <c r="NJQ19" s="352"/>
      <c r="NJR19" s="352"/>
      <c r="NJS19" s="352"/>
      <c r="NJT19" s="352"/>
      <c r="NJU19" s="352"/>
      <c r="NJV19" s="352"/>
      <c r="NJW19" s="352"/>
      <c r="NJX19" s="352"/>
      <c r="NJY19" s="352"/>
      <c r="NJZ19" s="352"/>
      <c r="NKA19" s="352"/>
      <c r="NKB19" s="352"/>
      <c r="NKC19" s="352"/>
      <c r="NKD19" s="352"/>
      <c r="NKE19" s="352"/>
      <c r="NKF19" s="352"/>
      <c r="NKG19" s="352"/>
      <c r="NKH19" s="352"/>
      <c r="NKI19" s="352"/>
      <c r="NKJ19" s="352"/>
      <c r="NKK19" s="352"/>
      <c r="NKL19" s="352"/>
      <c r="NKM19" s="352"/>
      <c r="NKN19" s="352"/>
      <c r="NKO19" s="352"/>
      <c r="NKP19" s="352"/>
      <c r="NKQ19" s="352"/>
      <c r="NKR19" s="352"/>
      <c r="NKS19" s="352"/>
      <c r="NKT19" s="352"/>
      <c r="NKU19" s="352"/>
      <c r="NKV19" s="352"/>
      <c r="NKW19" s="352"/>
      <c r="NKX19" s="352"/>
      <c r="NKY19" s="352"/>
      <c r="NKZ19" s="352"/>
      <c r="NLA19" s="352"/>
      <c r="NLB19" s="352"/>
      <c r="NLC19" s="352"/>
      <c r="NLD19" s="352"/>
      <c r="NLE19" s="352"/>
      <c r="NLF19" s="352"/>
      <c r="NLG19" s="352"/>
      <c r="NLH19" s="352"/>
      <c r="NLI19" s="352"/>
      <c r="NLJ19" s="352"/>
      <c r="NLK19" s="352"/>
      <c r="NLL19" s="352"/>
      <c r="NLM19" s="352"/>
      <c r="NLN19" s="352"/>
      <c r="NLO19" s="352"/>
      <c r="NLP19" s="352"/>
      <c r="NLQ19" s="352"/>
      <c r="NLR19" s="352"/>
      <c r="NLS19" s="352"/>
      <c r="NLT19" s="352"/>
      <c r="NLU19" s="352"/>
      <c r="NLV19" s="352"/>
      <c r="NLW19" s="352"/>
      <c r="NLX19" s="352"/>
      <c r="NLY19" s="352"/>
      <c r="NLZ19" s="352"/>
      <c r="NMA19" s="352"/>
      <c r="NMB19" s="352"/>
      <c r="NMC19" s="352"/>
      <c r="NMD19" s="352"/>
      <c r="NME19" s="352"/>
      <c r="NMF19" s="352"/>
      <c r="NMG19" s="352"/>
      <c r="NMH19" s="352"/>
      <c r="NMI19" s="352"/>
      <c r="NMJ19" s="352"/>
      <c r="NMK19" s="352"/>
      <c r="NML19" s="352"/>
      <c r="NMM19" s="352"/>
      <c r="NMN19" s="352"/>
      <c r="NMO19" s="352"/>
      <c r="NMP19" s="352"/>
      <c r="NMQ19" s="352"/>
      <c r="NMR19" s="352"/>
      <c r="NMS19" s="352"/>
      <c r="NMT19" s="352"/>
      <c r="NMU19" s="352"/>
      <c r="NMV19" s="352"/>
      <c r="NMW19" s="352"/>
      <c r="NMX19" s="352"/>
      <c r="NMY19" s="352"/>
      <c r="NMZ19" s="352"/>
      <c r="NNA19" s="352"/>
      <c r="NNB19" s="352"/>
      <c r="NNC19" s="352"/>
      <c r="NND19" s="352"/>
      <c r="NNE19" s="352"/>
      <c r="NNF19" s="352"/>
      <c r="NNG19" s="352"/>
      <c r="NNH19" s="352"/>
      <c r="NNI19" s="352"/>
      <c r="NNJ19" s="352"/>
      <c r="NNK19" s="352"/>
      <c r="NNL19" s="352"/>
      <c r="NNM19" s="352"/>
      <c r="NNN19" s="352"/>
      <c r="NNO19" s="352"/>
      <c r="NNP19" s="352"/>
      <c r="NNQ19" s="352"/>
      <c r="NNR19" s="352"/>
      <c r="NNS19" s="352"/>
      <c r="NNT19" s="352"/>
      <c r="NNU19" s="352"/>
      <c r="NNV19" s="352"/>
      <c r="NNW19" s="352"/>
      <c r="NNX19" s="352"/>
      <c r="NNY19" s="352"/>
      <c r="NNZ19" s="352"/>
      <c r="NOA19" s="352"/>
      <c r="NOB19" s="352"/>
      <c r="NOC19" s="352"/>
      <c r="NOD19" s="352"/>
      <c r="NOE19" s="352"/>
      <c r="NOF19" s="352"/>
      <c r="NOG19" s="352"/>
      <c r="NOH19" s="352"/>
      <c r="NOI19" s="352"/>
      <c r="NOJ19" s="352"/>
      <c r="NOK19" s="352"/>
      <c r="NOL19" s="352"/>
      <c r="NOM19" s="352"/>
      <c r="NON19" s="352"/>
      <c r="NOO19" s="352"/>
      <c r="NOP19" s="352"/>
      <c r="NOQ19" s="352"/>
      <c r="NOR19" s="352"/>
      <c r="NOS19" s="352"/>
      <c r="NOT19" s="352"/>
      <c r="NOU19" s="352"/>
      <c r="NOV19" s="352"/>
      <c r="NOW19" s="352"/>
      <c r="NOX19" s="352"/>
      <c r="NOY19" s="352"/>
      <c r="NOZ19" s="352"/>
      <c r="NPA19" s="352"/>
      <c r="NPB19" s="352"/>
      <c r="NPC19" s="352"/>
      <c r="NPD19" s="352"/>
      <c r="NPE19" s="352"/>
      <c r="NPF19" s="352"/>
      <c r="NPG19" s="352"/>
      <c r="NPH19" s="352"/>
      <c r="NPI19" s="352"/>
      <c r="NPJ19" s="352"/>
      <c r="NPK19" s="352"/>
      <c r="NPL19" s="352"/>
      <c r="NPM19" s="352"/>
      <c r="NPN19" s="352"/>
      <c r="NPO19" s="352"/>
      <c r="NPP19" s="352"/>
      <c r="NPQ19" s="352"/>
      <c r="NPR19" s="352"/>
      <c r="NPS19" s="352"/>
      <c r="NPT19" s="352"/>
      <c r="NPU19" s="352"/>
      <c r="NPV19" s="352"/>
      <c r="NPW19" s="352"/>
      <c r="NPX19" s="352"/>
      <c r="NPY19" s="352"/>
      <c r="NPZ19" s="352"/>
      <c r="NQA19" s="352"/>
      <c r="NQB19" s="352"/>
      <c r="NQC19" s="352"/>
      <c r="NQD19" s="352"/>
      <c r="NQE19" s="352"/>
      <c r="NQF19" s="352"/>
      <c r="NQG19" s="352"/>
      <c r="NQH19" s="352"/>
      <c r="NQI19" s="352"/>
      <c r="NQJ19" s="352"/>
      <c r="NQK19" s="352"/>
      <c r="NQL19" s="352"/>
      <c r="NQM19" s="352"/>
      <c r="NQN19" s="352"/>
      <c r="NQO19" s="352"/>
      <c r="NQP19" s="352"/>
      <c r="NQQ19" s="352"/>
      <c r="NQR19" s="352"/>
      <c r="NQS19" s="352"/>
      <c r="NQT19" s="352"/>
      <c r="NQU19" s="352"/>
      <c r="NQV19" s="352"/>
      <c r="NQW19" s="352"/>
      <c r="NQX19" s="352"/>
      <c r="NQY19" s="352"/>
      <c r="NQZ19" s="352"/>
      <c r="NRA19" s="352"/>
      <c r="NRB19" s="352"/>
      <c r="NRC19" s="352"/>
      <c r="NRD19" s="352"/>
      <c r="NRE19" s="352"/>
      <c r="NRF19" s="352"/>
      <c r="NRG19" s="352"/>
      <c r="NRH19" s="352"/>
      <c r="NRI19" s="352"/>
      <c r="NRJ19" s="352"/>
      <c r="NRK19" s="352"/>
      <c r="NRL19" s="352"/>
      <c r="NRM19" s="352"/>
      <c r="NRN19" s="352"/>
      <c r="NRO19" s="352"/>
      <c r="NRP19" s="352"/>
      <c r="NRQ19" s="352"/>
      <c r="NRR19" s="352"/>
      <c r="NRS19" s="352"/>
      <c r="NRT19" s="352"/>
      <c r="NRU19" s="352"/>
      <c r="NRV19" s="352"/>
      <c r="NRW19" s="352"/>
      <c r="NRX19" s="352"/>
      <c r="NRY19" s="352"/>
      <c r="NRZ19" s="352"/>
      <c r="NSA19" s="352"/>
      <c r="NSB19" s="352"/>
      <c r="NSC19" s="352"/>
      <c r="NSD19" s="352"/>
      <c r="NSE19" s="352"/>
      <c r="NSF19" s="352"/>
      <c r="NSG19" s="352"/>
      <c r="NSH19" s="352"/>
      <c r="NSI19" s="352"/>
      <c r="NSJ19" s="352"/>
      <c r="NSK19" s="352"/>
      <c r="NSL19" s="352"/>
      <c r="NSM19" s="352"/>
      <c r="NSN19" s="352"/>
      <c r="NSO19" s="352"/>
      <c r="NSP19" s="352"/>
      <c r="NSQ19" s="352"/>
      <c r="NSR19" s="352"/>
      <c r="NSS19" s="352"/>
      <c r="NST19" s="352"/>
      <c r="NSU19" s="352"/>
      <c r="NSV19" s="352"/>
      <c r="NSW19" s="352"/>
      <c r="NSX19" s="352"/>
      <c r="NSY19" s="352"/>
      <c r="NSZ19" s="352"/>
      <c r="NTA19" s="352"/>
      <c r="NTB19" s="352"/>
      <c r="NTC19" s="352"/>
      <c r="NTD19" s="352"/>
      <c r="NTE19" s="352"/>
      <c r="NTF19" s="352"/>
      <c r="NTG19" s="352"/>
      <c r="NTH19" s="352"/>
      <c r="NTI19" s="352"/>
      <c r="NTJ19" s="352"/>
      <c r="NTK19" s="352"/>
      <c r="NTL19" s="352"/>
      <c r="NTM19" s="352"/>
      <c r="NTN19" s="352"/>
      <c r="NTO19" s="352"/>
      <c r="NTP19" s="352"/>
      <c r="NTQ19" s="352"/>
      <c r="NTR19" s="352"/>
      <c r="NTS19" s="352"/>
      <c r="NTT19" s="352"/>
      <c r="NTU19" s="352"/>
      <c r="NTV19" s="352"/>
      <c r="NTW19" s="352"/>
      <c r="NTX19" s="352"/>
      <c r="NTY19" s="352"/>
      <c r="NTZ19" s="352"/>
      <c r="NUA19" s="352"/>
      <c r="NUB19" s="352"/>
      <c r="NUC19" s="352"/>
      <c r="NUD19" s="352"/>
      <c r="NUE19" s="352"/>
      <c r="NUF19" s="352"/>
      <c r="NUG19" s="352"/>
      <c r="NUH19" s="352"/>
      <c r="NUI19" s="352"/>
      <c r="NUJ19" s="352"/>
      <c r="NUK19" s="352"/>
      <c r="NUL19" s="352"/>
      <c r="NUM19" s="352"/>
      <c r="NUN19" s="352"/>
      <c r="NUO19" s="352"/>
      <c r="NUP19" s="352"/>
      <c r="NUQ19" s="352"/>
      <c r="NUR19" s="352"/>
      <c r="NUS19" s="352"/>
      <c r="NUT19" s="352"/>
      <c r="NUU19" s="352"/>
      <c r="NUV19" s="352"/>
      <c r="NUW19" s="352"/>
      <c r="NUX19" s="352"/>
      <c r="NUY19" s="352"/>
      <c r="NUZ19" s="352"/>
      <c r="NVA19" s="352"/>
      <c r="NVB19" s="352"/>
      <c r="NVC19" s="352"/>
      <c r="NVD19" s="352"/>
      <c r="NVE19" s="352"/>
      <c r="NVF19" s="352"/>
      <c r="NVG19" s="352"/>
      <c r="NVH19" s="352"/>
      <c r="NVI19" s="352"/>
      <c r="NVJ19" s="352"/>
      <c r="NVK19" s="352"/>
      <c r="NVL19" s="352"/>
      <c r="NVM19" s="352"/>
      <c r="NVN19" s="352"/>
      <c r="NVO19" s="352"/>
      <c r="NVP19" s="352"/>
      <c r="NVQ19" s="352"/>
      <c r="NVR19" s="352"/>
      <c r="NVS19" s="352"/>
      <c r="NVT19" s="352"/>
      <c r="NVU19" s="352"/>
      <c r="NVV19" s="352"/>
      <c r="NVW19" s="352"/>
      <c r="NVX19" s="352"/>
      <c r="NVY19" s="352"/>
      <c r="NVZ19" s="352"/>
      <c r="NWA19" s="352"/>
      <c r="NWB19" s="352"/>
      <c r="NWC19" s="352"/>
      <c r="NWD19" s="352"/>
      <c r="NWE19" s="352"/>
      <c r="NWF19" s="352"/>
      <c r="NWG19" s="352"/>
      <c r="NWH19" s="352"/>
      <c r="NWI19" s="352"/>
      <c r="NWJ19" s="352"/>
      <c r="NWK19" s="352"/>
      <c r="NWL19" s="352"/>
      <c r="NWM19" s="352"/>
      <c r="NWN19" s="352"/>
      <c r="NWO19" s="352"/>
      <c r="NWP19" s="352"/>
      <c r="NWQ19" s="352"/>
      <c r="NWR19" s="352"/>
      <c r="NWS19" s="352"/>
      <c r="NWT19" s="352"/>
      <c r="NWU19" s="352"/>
      <c r="NWV19" s="352"/>
      <c r="NWW19" s="352"/>
      <c r="NWX19" s="352"/>
      <c r="NWY19" s="352"/>
      <c r="NWZ19" s="352"/>
      <c r="NXA19" s="352"/>
      <c r="NXB19" s="352"/>
      <c r="NXC19" s="352"/>
      <c r="NXD19" s="352"/>
      <c r="NXE19" s="352"/>
      <c r="NXF19" s="352"/>
      <c r="NXG19" s="352"/>
      <c r="NXH19" s="352"/>
      <c r="NXI19" s="352"/>
      <c r="NXJ19" s="352"/>
      <c r="NXK19" s="352"/>
      <c r="NXL19" s="352"/>
      <c r="NXM19" s="352"/>
      <c r="NXN19" s="352"/>
      <c r="NXO19" s="352"/>
      <c r="NXP19" s="352"/>
      <c r="NXQ19" s="352"/>
      <c r="NXR19" s="352"/>
      <c r="NXS19" s="352"/>
      <c r="NXT19" s="352"/>
      <c r="NXU19" s="352"/>
      <c r="NXV19" s="352"/>
      <c r="NXW19" s="352"/>
      <c r="NXX19" s="352"/>
      <c r="NXY19" s="352"/>
      <c r="NXZ19" s="352"/>
      <c r="NYA19" s="352"/>
      <c r="NYB19" s="352"/>
      <c r="NYC19" s="352"/>
      <c r="NYD19" s="352"/>
      <c r="NYE19" s="352"/>
      <c r="NYF19" s="352"/>
      <c r="NYG19" s="352"/>
      <c r="NYH19" s="352"/>
      <c r="NYI19" s="352"/>
      <c r="NYJ19" s="352"/>
      <c r="NYK19" s="352"/>
      <c r="NYL19" s="352"/>
      <c r="NYM19" s="352"/>
      <c r="NYN19" s="352"/>
      <c r="NYO19" s="352"/>
      <c r="NYP19" s="352"/>
      <c r="NYQ19" s="352"/>
      <c r="NYR19" s="352"/>
      <c r="NYS19" s="352"/>
      <c r="NYT19" s="352"/>
      <c r="NYU19" s="352"/>
      <c r="NYV19" s="352"/>
      <c r="NYW19" s="352"/>
      <c r="NYX19" s="352"/>
      <c r="NYY19" s="352"/>
      <c r="NYZ19" s="352"/>
      <c r="NZA19" s="352"/>
      <c r="NZB19" s="352"/>
      <c r="NZC19" s="352"/>
      <c r="NZD19" s="352"/>
      <c r="NZE19" s="352"/>
      <c r="NZF19" s="352"/>
      <c r="NZG19" s="352"/>
      <c r="NZH19" s="352"/>
      <c r="NZI19" s="352"/>
      <c r="NZJ19" s="352"/>
      <c r="NZK19" s="352"/>
      <c r="NZL19" s="352"/>
      <c r="NZM19" s="352"/>
      <c r="NZN19" s="352"/>
      <c r="NZO19" s="352"/>
      <c r="NZP19" s="352"/>
      <c r="NZQ19" s="352"/>
      <c r="NZR19" s="352"/>
      <c r="NZS19" s="352"/>
      <c r="NZT19" s="352"/>
      <c r="NZU19" s="352"/>
      <c r="NZV19" s="352"/>
      <c r="NZW19" s="352"/>
      <c r="NZX19" s="352"/>
      <c r="NZY19" s="352"/>
      <c r="NZZ19" s="352"/>
      <c r="OAA19" s="352"/>
      <c r="OAB19" s="352"/>
      <c r="OAC19" s="352"/>
      <c r="OAD19" s="352"/>
      <c r="OAE19" s="352"/>
      <c r="OAF19" s="352"/>
      <c r="OAG19" s="352"/>
      <c r="OAH19" s="352"/>
      <c r="OAI19" s="352"/>
      <c r="OAJ19" s="352"/>
      <c r="OAK19" s="352"/>
      <c r="OAL19" s="352"/>
      <c r="OAM19" s="352"/>
      <c r="OAN19" s="352"/>
      <c r="OAO19" s="352"/>
      <c r="OAP19" s="352"/>
      <c r="OAQ19" s="352"/>
      <c r="OAR19" s="352"/>
      <c r="OAS19" s="352"/>
      <c r="OAT19" s="352"/>
      <c r="OAU19" s="352"/>
      <c r="OAV19" s="352"/>
      <c r="OAW19" s="352"/>
      <c r="OAX19" s="352"/>
      <c r="OAY19" s="352"/>
      <c r="OAZ19" s="352"/>
      <c r="OBA19" s="352"/>
      <c r="OBB19" s="352"/>
      <c r="OBC19" s="352"/>
      <c r="OBD19" s="352"/>
      <c r="OBE19" s="352"/>
      <c r="OBF19" s="352"/>
      <c r="OBG19" s="352"/>
      <c r="OBH19" s="352"/>
      <c r="OBI19" s="352"/>
      <c r="OBJ19" s="352"/>
      <c r="OBK19" s="352"/>
      <c r="OBL19" s="352"/>
      <c r="OBM19" s="352"/>
      <c r="OBN19" s="352"/>
      <c r="OBO19" s="352"/>
      <c r="OBP19" s="352"/>
      <c r="OBQ19" s="352"/>
      <c r="OBR19" s="352"/>
      <c r="OBS19" s="352"/>
      <c r="OBT19" s="352"/>
      <c r="OBU19" s="352"/>
      <c r="OBV19" s="352"/>
      <c r="OBW19" s="352"/>
      <c r="OBX19" s="352"/>
      <c r="OBY19" s="352"/>
      <c r="OBZ19" s="352"/>
      <c r="OCA19" s="352"/>
      <c r="OCB19" s="352"/>
      <c r="OCC19" s="352"/>
      <c r="OCD19" s="352"/>
      <c r="OCE19" s="352"/>
      <c r="OCF19" s="352"/>
      <c r="OCG19" s="352"/>
      <c r="OCH19" s="352"/>
      <c r="OCI19" s="352"/>
      <c r="OCJ19" s="352"/>
      <c r="OCK19" s="352"/>
      <c r="OCL19" s="352"/>
      <c r="OCM19" s="352"/>
      <c r="OCN19" s="352"/>
      <c r="OCO19" s="352"/>
      <c r="OCP19" s="352"/>
      <c r="OCQ19" s="352"/>
      <c r="OCR19" s="352"/>
      <c r="OCS19" s="352"/>
      <c r="OCT19" s="352"/>
      <c r="OCU19" s="352"/>
      <c r="OCV19" s="352"/>
      <c r="OCW19" s="352"/>
      <c r="OCX19" s="352"/>
      <c r="OCY19" s="352"/>
      <c r="OCZ19" s="352"/>
      <c r="ODA19" s="352"/>
      <c r="ODB19" s="352"/>
      <c r="ODC19" s="352"/>
      <c r="ODD19" s="352"/>
      <c r="ODE19" s="352"/>
      <c r="ODF19" s="352"/>
      <c r="ODG19" s="352"/>
      <c r="ODH19" s="352"/>
      <c r="ODI19" s="352"/>
      <c r="ODJ19" s="352"/>
      <c r="ODK19" s="352"/>
      <c r="ODL19" s="352"/>
      <c r="ODM19" s="352"/>
      <c r="ODN19" s="352"/>
      <c r="ODO19" s="352"/>
      <c r="ODP19" s="352"/>
      <c r="ODQ19" s="352"/>
      <c r="ODR19" s="352"/>
      <c r="ODS19" s="352"/>
      <c r="ODT19" s="352"/>
      <c r="ODU19" s="352"/>
      <c r="ODV19" s="352"/>
      <c r="ODW19" s="352"/>
      <c r="ODX19" s="352"/>
      <c r="ODY19" s="352"/>
      <c r="ODZ19" s="352"/>
      <c r="OEA19" s="352"/>
      <c r="OEB19" s="352"/>
      <c r="OEC19" s="352"/>
      <c r="OED19" s="352"/>
      <c r="OEE19" s="352"/>
      <c r="OEF19" s="352"/>
      <c r="OEG19" s="352"/>
      <c r="OEH19" s="352"/>
      <c r="OEI19" s="352"/>
      <c r="OEJ19" s="352"/>
      <c r="OEK19" s="352"/>
      <c r="OEL19" s="352"/>
      <c r="OEM19" s="352"/>
      <c r="OEN19" s="352"/>
      <c r="OEO19" s="352"/>
      <c r="OEP19" s="352"/>
      <c r="OEQ19" s="352"/>
      <c r="OER19" s="352"/>
      <c r="OES19" s="352"/>
      <c r="OET19" s="352"/>
      <c r="OEU19" s="352"/>
      <c r="OEV19" s="352"/>
      <c r="OEW19" s="352"/>
      <c r="OEX19" s="352"/>
      <c r="OEY19" s="352"/>
      <c r="OEZ19" s="352"/>
      <c r="OFA19" s="352"/>
      <c r="OFB19" s="352"/>
      <c r="OFC19" s="352"/>
      <c r="OFD19" s="352"/>
      <c r="OFE19" s="352"/>
      <c r="OFF19" s="352"/>
      <c r="OFG19" s="352"/>
      <c r="OFH19" s="352"/>
      <c r="OFI19" s="352"/>
      <c r="OFJ19" s="352"/>
      <c r="OFK19" s="352"/>
      <c r="OFL19" s="352"/>
      <c r="OFM19" s="352"/>
      <c r="OFN19" s="352"/>
      <c r="OFO19" s="352"/>
      <c r="OFP19" s="352"/>
      <c r="OFQ19" s="352"/>
      <c r="OFR19" s="352"/>
      <c r="OFS19" s="352"/>
      <c r="OFT19" s="352"/>
      <c r="OFU19" s="352"/>
      <c r="OFV19" s="352"/>
      <c r="OFW19" s="352"/>
      <c r="OFX19" s="352"/>
      <c r="OFY19" s="352"/>
      <c r="OFZ19" s="352"/>
      <c r="OGA19" s="352"/>
      <c r="OGB19" s="352"/>
      <c r="OGC19" s="352"/>
      <c r="OGD19" s="352"/>
      <c r="OGE19" s="352"/>
      <c r="OGF19" s="352"/>
      <c r="OGG19" s="352"/>
      <c r="OGH19" s="352"/>
      <c r="OGI19" s="352"/>
      <c r="OGJ19" s="352"/>
      <c r="OGK19" s="352"/>
      <c r="OGL19" s="352"/>
      <c r="OGM19" s="352"/>
      <c r="OGN19" s="352"/>
      <c r="OGO19" s="352"/>
      <c r="OGP19" s="352"/>
      <c r="OGQ19" s="352"/>
      <c r="OGR19" s="352"/>
      <c r="OGS19" s="352"/>
      <c r="OGT19" s="352"/>
      <c r="OGU19" s="352"/>
      <c r="OGV19" s="352"/>
      <c r="OGW19" s="352"/>
      <c r="OGX19" s="352"/>
      <c r="OGY19" s="352"/>
      <c r="OGZ19" s="352"/>
      <c r="OHA19" s="352"/>
      <c r="OHB19" s="352"/>
      <c r="OHC19" s="352"/>
      <c r="OHD19" s="352"/>
      <c r="OHE19" s="352"/>
      <c r="OHF19" s="352"/>
      <c r="OHG19" s="352"/>
      <c r="OHH19" s="352"/>
      <c r="OHI19" s="352"/>
      <c r="OHJ19" s="352"/>
      <c r="OHK19" s="352"/>
      <c r="OHL19" s="352"/>
      <c r="OHM19" s="352"/>
      <c r="OHN19" s="352"/>
      <c r="OHO19" s="352"/>
      <c r="OHP19" s="352"/>
      <c r="OHQ19" s="352"/>
      <c r="OHR19" s="352"/>
      <c r="OHS19" s="352"/>
      <c r="OHT19" s="352"/>
      <c r="OHU19" s="352"/>
      <c r="OHV19" s="352"/>
      <c r="OHW19" s="352"/>
      <c r="OHX19" s="352"/>
      <c r="OHY19" s="352"/>
      <c r="OHZ19" s="352"/>
      <c r="OIA19" s="352"/>
      <c r="OIB19" s="352"/>
      <c r="OIC19" s="352"/>
      <c r="OID19" s="352"/>
      <c r="OIE19" s="352"/>
      <c r="OIF19" s="352"/>
      <c r="OIG19" s="352"/>
      <c r="OIH19" s="352"/>
      <c r="OII19" s="352"/>
      <c r="OIJ19" s="352"/>
      <c r="OIK19" s="352"/>
      <c r="OIL19" s="352"/>
      <c r="OIM19" s="352"/>
      <c r="OIN19" s="352"/>
      <c r="OIO19" s="352"/>
      <c r="OIP19" s="352"/>
      <c r="OIQ19" s="352"/>
      <c r="OIR19" s="352"/>
      <c r="OIS19" s="352"/>
      <c r="OIT19" s="352"/>
      <c r="OIU19" s="352"/>
      <c r="OIV19" s="352"/>
      <c r="OIW19" s="352"/>
      <c r="OIX19" s="352"/>
      <c r="OIY19" s="352"/>
      <c r="OIZ19" s="352"/>
      <c r="OJA19" s="352"/>
      <c r="OJB19" s="352"/>
      <c r="OJC19" s="352"/>
      <c r="OJD19" s="352"/>
      <c r="OJE19" s="352"/>
      <c r="OJF19" s="352"/>
      <c r="OJG19" s="352"/>
      <c r="OJH19" s="352"/>
      <c r="OJI19" s="352"/>
      <c r="OJJ19" s="352"/>
      <c r="OJK19" s="352"/>
      <c r="OJL19" s="352"/>
      <c r="OJM19" s="352"/>
      <c r="OJN19" s="352"/>
      <c r="OJO19" s="352"/>
      <c r="OJP19" s="352"/>
      <c r="OJQ19" s="352"/>
      <c r="OJR19" s="352"/>
      <c r="OJS19" s="352"/>
      <c r="OJT19" s="352"/>
      <c r="OJU19" s="352"/>
      <c r="OJV19" s="352"/>
      <c r="OJW19" s="352"/>
      <c r="OJX19" s="352"/>
      <c r="OJY19" s="352"/>
      <c r="OJZ19" s="352"/>
      <c r="OKA19" s="352"/>
      <c r="OKB19" s="352"/>
      <c r="OKC19" s="352"/>
      <c r="OKD19" s="352"/>
      <c r="OKE19" s="352"/>
      <c r="OKF19" s="352"/>
      <c r="OKG19" s="352"/>
      <c r="OKH19" s="352"/>
      <c r="OKI19" s="352"/>
      <c r="OKJ19" s="352"/>
      <c r="OKK19" s="352"/>
      <c r="OKL19" s="352"/>
      <c r="OKM19" s="352"/>
      <c r="OKN19" s="352"/>
      <c r="OKO19" s="352"/>
      <c r="OKP19" s="352"/>
      <c r="OKQ19" s="352"/>
      <c r="OKR19" s="352"/>
      <c r="OKS19" s="352"/>
      <c r="OKT19" s="352"/>
      <c r="OKU19" s="352"/>
      <c r="OKV19" s="352"/>
      <c r="OKW19" s="352"/>
      <c r="OKX19" s="352"/>
      <c r="OKY19" s="352"/>
      <c r="OKZ19" s="352"/>
      <c r="OLA19" s="352"/>
      <c r="OLB19" s="352"/>
      <c r="OLC19" s="352"/>
      <c r="OLD19" s="352"/>
      <c r="OLE19" s="352"/>
      <c r="OLF19" s="352"/>
      <c r="OLG19" s="352"/>
      <c r="OLH19" s="352"/>
      <c r="OLI19" s="352"/>
      <c r="OLJ19" s="352"/>
      <c r="OLK19" s="352"/>
      <c r="OLL19" s="352"/>
      <c r="OLM19" s="352"/>
      <c r="OLN19" s="352"/>
      <c r="OLO19" s="352"/>
      <c r="OLP19" s="352"/>
      <c r="OLQ19" s="352"/>
      <c r="OLR19" s="352"/>
      <c r="OLS19" s="352"/>
      <c r="OLT19" s="352"/>
      <c r="OLU19" s="352"/>
      <c r="OLV19" s="352"/>
      <c r="OLW19" s="352"/>
      <c r="OLX19" s="352"/>
      <c r="OLY19" s="352"/>
      <c r="OLZ19" s="352"/>
      <c r="OMA19" s="352"/>
      <c r="OMB19" s="352"/>
      <c r="OMC19" s="352"/>
      <c r="OMD19" s="352"/>
      <c r="OME19" s="352"/>
      <c r="OMF19" s="352"/>
      <c r="OMG19" s="352"/>
      <c r="OMH19" s="352"/>
      <c r="OMI19" s="352"/>
      <c r="OMJ19" s="352"/>
      <c r="OMK19" s="352"/>
      <c r="OML19" s="352"/>
      <c r="OMM19" s="352"/>
      <c r="OMN19" s="352"/>
      <c r="OMO19" s="352"/>
      <c r="OMP19" s="352"/>
      <c r="OMQ19" s="352"/>
      <c r="OMR19" s="352"/>
      <c r="OMS19" s="352"/>
      <c r="OMT19" s="352"/>
      <c r="OMU19" s="352"/>
      <c r="OMV19" s="352"/>
      <c r="OMW19" s="352"/>
      <c r="OMX19" s="352"/>
      <c r="OMY19" s="352"/>
      <c r="OMZ19" s="352"/>
      <c r="ONA19" s="352"/>
      <c r="ONB19" s="352"/>
      <c r="ONC19" s="352"/>
      <c r="OND19" s="352"/>
      <c r="ONE19" s="352"/>
      <c r="ONF19" s="352"/>
      <c r="ONG19" s="352"/>
      <c r="ONH19" s="352"/>
      <c r="ONI19" s="352"/>
      <c r="ONJ19" s="352"/>
      <c r="ONK19" s="352"/>
      <c r="ONL19" s="352"/>
      <c r="ONM19" s="352"/>
      <c r="ONN19" s="352"/>
      <c r="ONO19" s="352"/>
      <c r="ONP19" s="352"/>
      <c r="ONQ19" s="352"/>
      <c r="ONR19" s="352"/>
      <c r="ONS19" s="352"/>
      <c r="ONT19" s="352"/>
      <c r="ONU19" s="352"/>
      <c r="ONV19" s="352"/>
      <c r="ONW19" s="352"/>
      <c r="ONX19" s="352"/>
      <c r="ONY19" s="352"/>
      <c r="ONZ19" s="352"/>
      <c r="OOA19" s="352"/>
      <c r="OOB19" s="352"/>
      <c r="OOC19" s="352"/>
      <c r="OOD19" s="352"/>
      <c r="OOE19" s="352"/>
      <c r="OOF19" s="352"/>
      <c r="OOG19" s="352"/>
      <c r="OOH19" s="352"/>
      <c r="OOI19" s="352"/>
      <c r="OOJ19" s="352"/>
      <c r="OOK19" s="352"/>
      <c r="OOL19" s="352"/>
      <c r="OOM19" s="352"/>
      <c r="OON19" s="352"/>
      <c r="OOO19" s="352"/>
      <c r="OOP19" s="352"/>
      <c r="OOQ19" s="352"/>
      <c r="OOR19" s="352"/>
      <c r="OOS19" s="352"/>
      <c r="OOT19" s="352"/>
      <c r="OOU19" s="352"/>
      <c r="OOV19" s="352"/>
      <c r="OOW19" s="352"/>
      <c r="OOX19" s="352"/>
      <c r="OOY19" s="352"/>
      <c r="OOZ19" s="352"/>
      <c r="OPA19" s="352"/>
      <c r="OPB19" s="352"/>
      <c r="OPC19" s="352"/>
      <c r="OPD19" s="352"/>
      <c r="OPE19" s="352"/>
      <c r="OPF19" s="352"/>
      <c r="OPG19" s="352"/>
      <c r="OPH19" s="352"/>
      <c r="OPI19" s="352"/>
      <c r="OPJ19" s="352"/>
      <c r="OPK19" s="352"/>
      <c r="OPL19" s="352"/>
      <c r="OPM19" s="352"/>
      <c r="OPN19" s="352"/>
      <c r="OPO19" s="352"/>
      <c r="OPP19" s="352"/>
      <c r="OPQ19" s="352"/>
      <c r="OPR19" s="352"/>
      <c r="OPS19" s="352"/>
      <c r="OPT19" s="352"/>
      <c r="OPU19" s="352"/>
      <c r="OPV19" s="352"/>
      <c r="OPW19" s="352"/>
      <c r="OPX19" s="352"/>
      <c r="OPY19" s="352"/>
      <c r="OPZ19" s="352"/>
      <c r="OQA19" s="352"/>
      <c r="OQB19" s="352"/>
      <c r="OQC19" s="352"/>
      <c r="OQD19" s="352"/>
      <c r="OQE19" s="352"/>
      <c r="OQF19" s="352"/>
      <c r="OQG19" s="352"/>
      <c r="OQH19" s="352"/>
      <c r="OQI19" s="352"/>
      <c r="OQJ19" s="352"/>
      <c r="OQK19" s="352"/>
      <c r="OQL19" s="352"/>
      <c r="OQM19" s="352"/>
      <c r="OQN19" s="352"/>
      <c r="OQO19" s="352"/>
      <c r="OQP19" s="352"/>
      <c r="OQQ19" s="352"/>
      <c r="OQR19" s="352"/>
      <c r="OQS19" s="352"/>
      <c r="OQT19" s="352"/>
      <c r="OQU19" s="352"/>
      <c r="OQV19" s="352"/>
      <c r="OQW19" s="352"/>
      <c r="OQX19" s="352"/>
      <c r="OQY19" s="352"/>
      <c r="OQZ19" s="352"/>
      <c r="ORA19" s="352"/>
      <c r="ORB19" s="352"/>
      <c r="ORC19" s="352"/>
      <c r="ORD19" s="352"/>
      <c r="ORE19" s="352"/>
      <c r="ORF19" s="352"/>
      <c r="ORG19" s="352"/>
      <c r="ORH19" s="352"/>
      <c r="ORI19" s="352"/>
      <c r="ORJ19" s="352"/>
      <c r="ORK19" s="352"/>
      <c r="ORL19" s="352"/>
      <c r="ORM19" s="352"/>
      <c r="ORN19" s="352"/>
      <c r="ORO19" s="352"/>
      <c r="ORP19" s="352"/>
      <c r="ORQ19" s="352"/>
      <c r="ORR19" s="352"/>
      <c r="ORS19" s="352"/>
      <c r="ORT19" s="352"/>
      <c r="ORU19" s="352"/>
      <c r="ORV19" s="352"/>
      <c r="ORW19" s="352"/>
      <c r="ORX19" s="352"/>
      <c r="ORY19" s="352"/>
      <c r="ORZ19" s="352"/>
      <c r="OSA19" s="352"/>
      <c r="OSB19" s="352"/>
      <c r="OSC19" s="352"/>
      <c r="OSD19" s="352"/>
      <c r="OSE19" s="352"/>
      <c r="OSF19" s="352"/>
      <c r="OSG19" s="352"/>
      <c r="OSH19" s="352"/>
      <c r="OSI19" s="352"/>
      <c r="OSJ19" s="352"/>
      <c r="OSK19" s="352"/>
      <c r="OSL19" s="352"/>
      <c r="OSM19" s="352"/>
      <c r="OSN19" s="352"/>
      <c r="OSO19" s="352"/>
      <c r="OSP19" s="352"/>
      <c r="OSQ19" s="352"/>
      <c r="OSR19" s="352"/>
      <c r="OSS19" s="352"/>
      <c r="OST19" s="352"/>
      <c r="OSU19" s="352"/>
      <c r="OSV19" s="352"/>
      <c r="OSW19" s="352"/>
      <c r="OSX19" s="352"/>
      <c r="OSY19" s="352"/>
      <c r="OSZ19" s="352"/>
      <c r="OTA19" s="352"/>
      <c r="OTB19" s="352"/>
      <c r="OTC19" s="352"/>
      <c r="OTD19" s="352"/>
      <c r="OTE19" s="352"/>
      <c r="OTF19" s="352"/>
      <c r="OTG19" s="352"/>
      <c r="OTH19" s="352"/>
      <c r="OTI19" s="352"/>
      <c r="OTJ19" s="352"/>
      <c r="OTK19" s="352"/>
      <c r="OTL19" s="352"/>
      <c r="OTM19" s="352"/>
      <c r="OTN19" s="352"/>
      <c r="OTO19" s="352"/>
      <c r="OTP19" s="352"/>
      <c r="OTQ19" s="352"/>
      <c r="OTR19" s="352"/>
      <c r="OTS19" s="352"/>
      <c r="OTT19" s="352"/>
      <c r="OTU19" s="352"/>
      <c r="OTV19" s="352"/>
      <c r="OTW19" s="352"/>
      <c r="OTX19" s="352"/>
      <c r="OTY19" s="352"/>
      <c r="OTZ19" s="352"/>
      <c r="OUA19" s="352"/>
      <c r="OUB19" s="352"/>
      <c r="OUC19" s="352"/>
      <c r="OUD19" s="352"/>
      <c r="OUE19" s="352"/>
      <c r="OUF19" s="352"/>
      <c r="OUG19" s="352"/>
      <c r="OUH19" s="352"/>
      <c r="OUI19" s="352"/>
      <c r="OUJ19" s="352"/>
      <c r="OUK19" s="352"/>
      <c r="OUL19" s="352"/>
      <c r="OUM19" s="352"/>
      <c r="OUN19" s="352"/>
      <c r="OUO19" s="352"/>
      <c r="OUP19" s="352"/>
      <c r="OUQ19" s="352"/>
      <c r="OUR19" s="352"/>
      <c r="OUS19" s="352"/>
      <c r="OUT19" s="352"/>
      <c r="OUU19" s="352"/>
      <c r="OUV19" s="352"/>
      <c r="OUW19" s="352"/>
      <c r="OUX19" s="352"/>
      <c r="OUY19" s="352"/>
      <c r="OUZ19" s="352"/>
      <c r="OVA19" s="352"/>
      <c r="OVB19" s="352"/>
      <c r="OVC19" s="352"/>
      <c r="OVD19" s="352"/>
      <c r="OVE19" s="352"/>
      <c r="OVF19" s="352"/>
      <c r="OVG19" s="352"/>
      <c r="OVH19" s="352"/>
      <c r="OVI19" s="352"/>
      <c r="OVJ19" s="352"/>
      <c r="OVK19" s="352"/>
      <c r="OVL19" s="352"/>
      <c r="OVM19" s="352"/>
      <c r="OVN19" s="352"/>
      <c r="OVO19" s="352"/>
      <c r="OVP19" s="352"/>
      <c r="OVQ19" s="352"/>
      <c r="OVR19" s="352"/>
      <c r="OVS19" s="352"/>
      <c r="OVT19" s="352"/>
      <c r="OVU19" s="352"/>
      <c r="OVV19" s="352"/>
      <c r="OVW19" s="352"/>
      <c r="OVX19" s="352"/>
      <c r="OVY19" s="352"/>
      <c r="OVZ19" s="352"/>
      <c r="OWA19" s="352"/>
      <c r="OWB19" s="352"/>
      <c r="OWC19" s="352"/>
      <c r="OWD19" s="352"/>
      <c r="OWE19" s="352"/>
      <c r="OWF19" s="352"/>
      <c r="OWG19" s="352"/>
      <c r="OWH19" s="352"/>
      <c r="OWI19" s="352"/>
      <c r="OWJ19" s="352"/>
      <c r="OWK19" s="352"/>
      <c r="OWL19" s="352"/>
      <c r="OWM19" s="352"/>
      <c r="OWN19" s="352"/>
      <c r="OWO19" s="352"/>
      <c r="OWP19" s="352"/>
      <c r="OWQ19" s="352"/>
      <c r="OWR19" s="352"/>
      <c r="OWS19" s="352"/>
      <c r="OWT19" s="352"/>
      <c r="OWU19" s="352"/>
      <c r="OWV19" s="352"/>
      <c r="OWW19" s="352"/>
      <c r="OWX19" s="352"/>
      <c r="OWY19" s="352"/>
      <c r="OWZ19" s="352"/>
      <c r="OXA19" s="352"/>
      <c r="OXB19" s="352"/>
      <c r="OXC19" s="352"/>
      <c r="OXD19" s="352"/>
      <c r="OXE19" s="352"/>
      <c r="OXF19" s="352"/>
      <c r="OXG19" s="352"/>
      <c r="OXH19" s="352"/>
      <c r="OXI19" s="352"/>
      <c r="OXJ19" s="352"/>
      <c r="OXK19" s="352"/>
      <c r="OXL19" s="352"/>
      <c r="OXM19" s="352"/>
      <c r="OXN19" s="352"/>
      <c r="OXO19" s="352"/>
      <c r="OXP19" s="352"/>
      <c r="OXQ19" s="352"/>
      <c r="OXR19" s="352"/>
      <c r="OXS19" s="352"/>
      <c r="OXT19" s="352"/>
      <c r="OXU19" s="352"/>
      <c r="OXV19" s="352"/>
      <c r="OXW19" s="352"/>
      <c r="OXX19" s="352"/>
      <c r="OXY19" s="352"/>
      <c r="OXZ19" s="352"/>
      <c r="OYA19" s="352"/>
      <c r="OYB19" s="352"/>
      <c r="OYC19" s="352"/>
      <c r="OYD19" s="352"/>
      <c r="OYE19" s="352"/>
      <c r="OYF19" s="352"/>
      <c r="OYG19" s="352"/>
      <c r="OYH19" s="352"/>
      <c r="OYI19" s="352"/>
      <c r="OYJ19" s="352"/>
      <c r="OYK19" s="352"/>
      <c r="OYL19" s="352"/>
      <c r="OYM19" s="352"/>
      <c r="OYN19" s="352"/>
      <c r="OYO19" s="352"/>
      <c r="OYP19" s="352"/>
      <c r="OYQ19" s="352"/>
      <c r="OYR19" s="352"/>
      <c r="OYS19" s="352"/>
      <c r="OYT19" s="352"/>
      <c r="OYU19" s="352"/>
      <c r="OYV19" s="352"/>
      <c r="OYW19" s="352"/>
      <c r="OYX19" s="352"/>
      <c r="OYY19" s="352"/>
      <c r="OYZ19" s="352"/>
      <c r="OZA19" s="352"/>
      <c r="OZB19" s="352"/>
      <c r="OZC19" s="352"/>
      <c r="OZD19" s="352"/>
      <c r="OZE19" s="352"/>
      <c r="OZF19" s="352"/>
      <c r="OZG19" s="352"/>
      <c r="OZH19" s="352"/>
      <c r="OZI19" s="352"/>
      <c r="OZJ19" s="352"/>
      <c r="OZK19" s="352"/>
      <c r="OZL19" s="352"/>
      <c r="OZM19" s="352"/>
      <c r="OZN19" s="352"/>
      <c r="OZO19" s="352"/>
      <c r="OZP19" s="352"/>
      <c r="OZQ19" s="352"/>
      <c r="OZR19" s="352"/>
      <c r="OZS19" s="352"/>
      <c r="OZT19" s="352"/>
      <c r="OZU19" s="352"/>
      <c r="OZV19" s="352"/>
      <c r="OZW19" s="352"/>
      <c r="OZX19" s="352"/>
      <c r="OZY19" s="352"/>
      <c r="OZZ19" s="352"/>
      <c r="PAA19" s="352"/>
      <c r="PAB19" s="352"/>
      <c r="PAC19" s="352"/>
      <c r="PAD19" s="352"/>
      <c r="PAE19" s="352"/>
      <c r="PAF19" s="352"/>
      <c r="PAG19" s="352"/>
      <c r="PAH19" s="352"/>
      <c r="PAI19" s="352"/>
      <c r="PAJ19" s="352"/>
      <c r="PAK19" s="352"/>
      <c r="PAL19" s="352"/>
      <c r="PAM19" s="352"/>
      <c r="PAN19" s="352"/>
      <c r="PAO19" s="352"/>
      <c r="PAP19" s="352"/>
      <c r="PAQ19" s="352"/>
      <c r="PAR19" s="352"/>
      <c r="PAS19" s="352"/>
      <c r="PAT19" s="352"/>
      <c r="PAU19" s="352"/>
      <c r="PAV19" s="352"/>
      <c r="PAW19" s="352"/>
      <c r="PAX19" s="352"/>
      <c r="PAY19" s="352"/>
      <c r="PAZ19" s="352"/>
      <c r="PBA19" s="352"/>
      <c r="PBB19" s="352"/>
      <c r="PBC19" s="352"/>
      <c r="PBD19" s="352"/>
      <c r="PBE19" s="352"/>
      <c r="PBF19" s="352"/>
      <c r="PBG19" s="352"/>
      <c r="PBH19" s="352"/>
      <c r="PBI19" s="352"/>
      <c r="PBJ19" s="352"/>
      <c r="PBK19" s="352"/>
      <c r="PBL19" s="352"/>
      <c r="PBM19" s="352"/>
      <c r="PBN19" s="352"/>
      <c r="PBO19" s="352"/>
      <c r="PBP19" s="352"/>
      <c r="PBQ19" s="352"/>
      <c r="PBR19" s="352"/>
      <c r="PBS19" s="352"/>
      <c r="PBT19" s="352"/>
      <c r="PBU19" s="352"/>
      <c r="PBV19" s="352"/>
      <c r="PBW19" s="352"/>
      <c r="PBX19" s="352"/>
      <c r="PBY19" s="352"/>
      <c r="PBZ19" s="352"/>
      <c r="PCA19" s="352"/>
      <c r="PCB19" s="352"/>
      <c r="PCC19" s="352"/>
      <c r="PCD19" s="352"/>
      <c r="PCE19" s="352"/>
      <c r="PCF19" s="352"/>
      <c r="PCG19" s="352"/>
      <c r="PCH19" s="352"/>
      <c r="PCI19" s="352"/>
      <c r="PCJ19" s="352"/>
      <c r="PCK19" s="352"/>
      <c r="PCL19" s="352"/>
      <c r="PCM19" s="352"/>
      <c r="PCN19" s="352"/>
      <c r="PCO19" s="352"/>
      <c r="PCP19" s="352"/>
      <c r="PCQ19" s="352"/>
      <c r="PCR19" s="352"/>
      <c r="PCS19" s="352"/>
      <c r="PCT19" s="352"/>
      <c r="PCU19" s="352"/>
      <c r="PCV19" s="352"/>
      <c r="PCW19" s="352"/>
      <c r="PCX19" s="352"/>
      <c r="PCY19" s="352"/>
      <c r="PCZ19" s="352"/>
      <c r="PDA19" s="352"/>
      <c r="PDB19" s="352"/>
      <c r="PDC19" s="352"/>
      <c r="PDD19" s="352"/>
      <c r="PDE19" s="352"/>
      <c r="PDF19" s="352"/>
      <c r="PDG19" s="352"/>
      <c r="PDH19" s="352"/>
      <c r="PDI19" s="352"/>
      <c r="PDJ19" s="352"/>
      <c r="PDK19" s="352"/>
      <c r="PDL19" s="352"/>
      <c r="PDM19" s="352"/>
      <c r="PDN19" s="352"/>
      <c r="PDO19" s="352"/>
      <c r="PDP19" s="352"/>
      <c r="PDQ19" s="352"/>
      <c r="PDR19" s="352"/>
      <c r="PDS19" s="352"/>
      <c r="PDT19" s="352"/>
      <c r="PDU19" s="352"/>
      <c r="PDV19" s="352"/>
      <c r="PDW19" s="352"/>
      <c r="PDX19" s="352"/>
      <c r="PDY19" s="352"/>
      <c r="PDZ19" s="352"/>
      <c r="PEA19" s="352"/>
      <c r="PEB19" s="352"/>
      <c r="PEC19" s="352"/>
      <c r="PED19" s="352"/>
      <c r="PEE19" s="352"/>
      <c r="PEF19" s="352"/>
      <c r="PEG19" s="352"/>
      <c r="PEH19" s="352"/>
      <c r="PEI19" s="352"/>
      <c r="PEJ19" s="352"/>
      <c r="PEK19" s="352"/>
      <c r="PEL19" s="352"/>
      <c r="PEM19" s="352"/>
      <c r="PEN19" s="352"/>
      <c r="PEO19" s="352"/>
      <c r="PEP19" s="352"/>
      <c r="PEQ19" s="352"/>
      <c r="PER19" s="352"/>
      <c r="PES19" s="352"/>
      <c r="PET19" s="352"/>
      <c r="PEU19" s="352"/>
      <c r="PEV19" s="352"/>
      <c r="PEW19" s="352"/>
      <c r="PEX19" s="352"/>
      <c r="PEY19" s="352"/>
      <c r="PEZ19" s="352"/>
      <c r="PFA19" s="352"/>
      <c r="PFB19" s="352"/>
      <c r="PFC19" s="352"/>
      <c r="PFD19" s="352"/>
      <c r="PFE19" s="352"/>
      <c r="PFF19" s="352"/>
      <c r="PFG19" s="352"/>
      <c r="PFH19" s="352"/>
      <c r="PFI19" s="352"/>
      <c r="PFJ19" s="352"/>
      <c r="PFK19" s="352"/>
      <c r="PFL19" s="352"/>
      <c r="PFM19" s="352"/>
      <c r="PFN19" s="352"/>
      <c r="PFO19" s="352"/>
      <c r="PFP19" s="352"/>
      <c r="PFQ19" s="352"/>
      <c r="PFR19" s="352"/>
      <c r="PFS19" s="352"/>
      <c r="PFT19" s="352"/>
      <c r="PFU19" s="352"/>
      <c r="PFV19" s="352"/>
      <c r="PFW19" s="352"/>
      <c r="PFX19" s="352"/>
      <c r="PFY19" s="352"/>
      <c r="PFZ19" s="352"/>
      <c r="PGA19" s="352"/>
      <c r="PGB19" s="352"/>
      <c r="PGC19" s="352"/>
      <c r="PGD19" s="352"/>
      <c r="PGE19" s="352"/>
      <c r="PGF19" s="352"/>
      <c r="PGG19" s="352"/>
      <c r="PGH19" s="352"/>
      <c r="PGI19" s="352"/>
      <c r="PGJ19" s="352"/>
      <c r="PGK19" s="352"/>
      <c r="PGL19" s="352"/>
      <c r="PGM19" s="352"/>
      <c r="PGN19" s="352"/>
      <c r="PGO19" s="352"/>
      <c r="PGP19" s="352"/>
      <c r="PGQ19" s="352"/>
      <c r="PGR19" s="352"/>
      <c r="PGS19" s="352"/>
      <c r="PGT19" s="352"/>
      <c r="PGU19" s="352"/>
      <c r="PGV19" s="352"/>
      <c r="PGW19" s="352"/>
      <c r="PGX19" s="352"/>
      <c r="PGY19" s="352"/>
      <c r="PGZ19" s="352"/>
      <c r="PHA19" s="352"/>
      <c r="PHB19" s="352"/>
      <c r="PHC19" s="352"/>
      <c r="PHD19" s="352"/>
      <c r="PHE19" s="352"/>
      <c r="PHF19" s="352"/>
      <c r="PHG19" s="352"/>
      <c r="PHH19" s="352"/>
      <c r="PHI19" s="352"/>
      <c r="PHJ19" s="352"/>
      <c r="PHK19" s="352"/>
      <c r="PHL19" s="352"/>
      <c r="PHM19" s="352"/>
      <c r="PHN19" s="352"/>
      <c r="PHO19" s="352"/>
      <c r="PHP19" s="352"/>
      <c r="PHQ19" s="352"/>
      <c r="PHR19" s="352"/>
      <c r="PHS19" s="352"/>
      <c r="PHT19" s="352"/>
      <c r="PHU19" s="352"/>
      <c r="PHV19" s="352"/>
      <c r="PHW19" s="352"/>
      <c r="PHX19" s="352"/>
      <c r="PHY19" s="352"/>
      <c r="PHZ19" s="352"/>
      <c r="PIA19" s="352"/>
      <c r="PIB19" s="352"/>
      <c r="PIC19" s="352"/>
      <c r="PID19" s="352"/>
      <c r="PIE19" s="352"/>
      <c r="PIF19" s="352"/>
      <c r="PIG19" s="352"/>
      <c r="PIH19" s="352"/>
      <c r="PII19" s="352"/>
      <c r="PIJ19" s="352"/>
      <c r="PIK19" s="352"/>
      <c r="PIL19" s="352"/>
      <c r="PIM19" s="352"/>
      <c r="PIN19" s="352"/>
      <c r="PIO19" s="352"/>
      <c r="PIP19" s="352"/>
      <c r="PIQ19" s="352"/>
      <c r="PIR19" s="352"/>
      <c r="PIS19" s="352"/>
      <c r="PIT19" s="352"/>
      <c r="PIU19" s="352"/>
      <c r="PIV19" s="352"/>
      <c r="PIW19" s="352"/>
      <c r="PIX19" s="352"/>
      <c r="PIY19" s="352"/>
      <c r="PIZ19" s="352"/>
      <c r="PJA19" s="352"/>
      <c r="PJB19" s="352"/>
      <c r="PJC19" s="352"/>
      <c r="PJD19" s="352"/>
      <c r="PJE19" s="352"/>
      <c r="PJF19" s="352"/>
      <c r="PJG19" s="352"/>
      <c r="PJH19" s="352"/>
      <c r="PJI19" s="352"/>
      <c r="PJJ19" s="352"/>
      <c r="PJK19" s="352"/>
      <c r="PJL19" s="352"/>
      <c r="PJM19" s="352"/>
      <c r="PJN19" s="352"/>
      <c r="PJO19" s="352"/>
      <c r="PJP19" s="352"/>
      <c r="PJQ19" s="352"/>
      <c r="PJR19" s="352"/>
      <c r="PJS19" s="352"/>
      <c r="PJT19" s="352"/>
      <c r="PJU19" s="352"/>
      <c r="PJV19" s="352"/>
      <c r="PJW19" s="352"/>
      <c r="PJX19" s="352"/>
      <c r="PJY19" s="352"/>
      <c r="PJZ19" s="352"/>
      <c r="PKA19" s="352"/>
      <c r="PKB19" s="352"/>
      <c r="PKC19" s="352"/>
      <c r="PKD19" s="352"/>
      <c r="PKE19" s="352"/>
      <c r="PKF19" s="352"/>
      <c r="PKG19" s="352"/>
      <c r="PKH19" s="352"/>
      <c r="PKI19" s="352"/>
      <c r="PKJ19" s="352"/>
      <c r="PKK19" s="352"/>
      <c r="PKL19" s="352"/>
      <c r="PKM19" s="352"/>
      <c r="PKN19" s="352"/>
      <c r="PKO19" s="352"/>
      <c r="PKP19" s="352"/>
      <c r="PKQ19" s="352"/>
      <c r="PKR19" s="352"/>
      <c r="PKS19" s="352"/>
      <c r="PKT19" s="352"/>
      <c r="PKU19" s="352"/>
      <c r="PKV19" s="352"/>
      <c r="PKW19" s="352"/>
      <c r="PKX19" s="352"/>
      <c r="PKY19" s="352"/>
      <c r="PKZ19" s="352"/>
      <c r="PLA19" s="352"/>
      <c r="PLB19" s="352"/>
      <c r="PLC19" s="352"/>
      <c r="PLD19" s="352"/>
      <c r="PLE19" s="352"/>
      <c r="PLF19" s="352"/>
      <c r="PLG19" s="352"/>
      <c r="PLH19" s="352"/>
      <c r="PLI19" s="352"/>
      <c r="PLJ19" s="352"/>
      <c r="PLK19" s="352"/>
      <c r="PLL19" s="352"/>
      <c r="PLM19" s="352"/>
      <c r="PLN19" s="352"/>
      <c r="PLO19" s="352"/>
      <c r="PLP19" s="352"/>
      <c r="PLQ19" s="352"/>
      <c r="PLR19" s="352"/>
      <c r="PLS19" s="352"/>
      <c r="PLT19" s="352"/>
      <c r="PLU19" s="352"/>
      <c r="PLV19" s="352"/>
      <c r="PLW19" s="352"/>
      <c r="PLX19" s="352"/>
      <c r="PLY19" s="352"/>
      <c r="PLZ19" s="352"/>
      <c r="PMA19" s="352"/>
      <c r="PMB19" s="352"/>
      <c r="PMC19" s="352"/>
      <c r="PMD19" s="352"/>
      <c r="PME19" s="352"/>
      <c r="PMF19" s="352"/>
      <c r="PMG19" s="352"/>
      <c r="PMH19" s="352"/>
      <c r="PMI19" s="352"/>
      <c r="PMJ19" s="352"/>
      <c r="PMK19" s="352"/>
      <c r="PML19" s="352"/>
      <c r="PMM19" s="352"/>
      <c r="PMN19" s="352"/>
      <c r="PMO19" s="352"/>
      <c r="PMP19" s="352"/>
      <c r="PMQ19" s="352"/>
      <c r="PMR19" s="352"/>
      <c r="PMS19" s="352"/>
      <c r="PMT19" s="352"/>
      <c r="PMU19" s="352"/>
      <c r="PMV19" s="352"/>
      <c r="PMW19" s="352"/>
      <c r="PMX19" s="352"/>
      <c r="PMY19" s="352"/>
      <c r="PMZ19" s="352"/>
      <c r="PNA19" s="352"/>
      <c r="PNB19" s="352"/>
      <c r="PNC19" s="352"/>
      <c r="PND19" s="352"/>
      <c r="PNE19" s="352"/>
      <c r="PNF19" s="352"/>
      <c r="PNG19" s="352"/>
      <c r="PNH19" s="352"/>
      <c r="PNI19" s="352"/>
      <c r="PNJ19" s="352"/>
      <c r="PNK19" s="352"/>
      <c r="PNL19" s="352"/>
      <c r="PNM19" s="352"/>
      <c r="PNN19" s="352"/>
      <c r="PNO19" s="352"/>
      <c r="PNP19" s="352"/>
      <c r="PNQ19" s="352"/>
      <c r="PNR19" s="352"/>
      <c r="PNS19" s="352"/>
      <c r="PNT19" s="352"/>
      <c r="PNU19" s="352"/>
      <c r="PNV19" s="352"/>
      <c r="PNW19" s="352"/>
      <c r="PNX19" s="352"/>
      <c r="PNY19" s="352"/>
      <c r="PNZ19" s="352"/>
      <c r="POA19" s="352"/>
      <c r="POB19" s="352"/>
      <c r="POC19" s="352"/>
      <c r="POD19" s="352"/>
      <c r="POE19" s="352"/>
      <c r="POF19" s="352"/>
      <c r="POG19" s="352"/>
      <c r="POH19" s="352"/>
      <c r="POI19" s="352"/>
      <c r="POJ19" s="352"/>
      <c r="POK19" s="352"/>
      <c r="POL19" s="352"/>
      <c r="POM19" s="352"/>
      <c r="PON19" s="352"/>
      <c r="POO19" s="352"/>
      <c r="POP19" s="352"/>
      <c r="POQ19" s="352"/>
      <c r="POR19" s="352"/>
      <c r="POS19" s="352"/>
      <c r="POT19" s="352"/>
      <c r="POU19" s="352"/>
      <c r="POV19" s="352"/>
      <c r="POW19" s="352"/>
      <c r="POX19" s="352"/>
      <c r="POY19" s="352"/>
      <c r="POZ19" s="352"/>
      <c r="PPA19" s="352"/>
      <c r="PPB19" s="352"/>
      <c r="PPC19" s="352"/>
      <c r="PPD19" s="352"/>
      <c r="PPE19" s="352"/>
      <c r="PPF19" s="352"/>
      <c r="PPG19" s="352"/>
      <c r="PPH19" s="352"/>
      <c r="PPI19" s="352"/>
      <c r="PPJ19" s="352"/>
      <c r="PPK19" s="352"/>
      <c r="PPL19" s="352"/>
      <c r="PPM19" s="352"/>
      <c r="PPN19" s="352"/>
      <c r="PPO19" s="352"/>
      <c r="PPP19" s="352"/>
      <c r="PPQ19" s="352"/>
      <c r="PPR19" s="352"/>
      <c r="PPS19" s="352"/>
      <c r="PPT19" s="352"/>
      <c r="PPU19" s="352"/>
      <c r="PPV19" s="352"/>
      <c r="PPW19" s="352"/>
      <c r="PPX19" s="352"/>
      <c r="PPY19" s="352"/>
      <c r="PPZ19" s="352"/>
      <c r="PQA19" s="352"/>
      <c r="PQB19" s="352"/>
      <c r="PQC19" s="352"/>
      <c r="PQD19" s="352"/>
      <c r="PQE19" s="352"/>
      <c r="PQF19" s="352"/>
      <c r="PQG19" s="352"/>
      <c r="PQH19" s="352"/>
      <c r="PQI19" s="352"/>
      <c r="PQJ19" s="352"/>
      <c r="PQK19" s="352"/>
      <c r="PQL19" s="352"/>
      <c r="PQM19" s="352"/>
      <c r="PQN19" s="352"/>
      <c r="PQO19" s="352"/>
      <c r="PQP19" s="352"/>
      <c r="PQQ19" s="352"/>
      <c r="PQR19" s="352"/>
      <c r="PQS19" s="352"/>
      <c r="PQT19" s="352"/>
      <c r="PQU19" s="352"/>
      <c r="PQV19" s="352"/>
      <c r="PQW19" s="352"/>
      <c r="PQX19" s="352"/>
      <c r="PQY19" s="352"/>
      <c r="PQZ19" s="352"/>
      <c r="PRA19" s="352"/>
      <c r="PRB19" s="352"/>
      <c r="PRC19" s="352"/>
      <c r="PRD19" s="352"/>
      <c r="PRE19" s="352"/>
      <c r="PRF19" s="352"/>
      <c r="PRG19" s="352"/>
      <c r="PRH19" s="352"/>
      <c r="PRI19" s="352"/>
      <c r="PRJ19" s="352"/>
      <c r="PRK19" s="352"/>
      <c r="PRL19" s="352"/>
      <c r="PRM19" s="352"/>
      <c r="PRN19" s="352"/>
      <c r="PRO19" s="352"/>
      <c r="PRP19" s="352"/>
      <c r="PRQ19" s="352"/>
      <c r="PRR19" s="352"/>
      <c r="PRS19" s="352"/>
      <c r="PRT19" s="352"/>
      <c r="PRU19" s="352"/>
      <c r="PRV19" s="352"/>
      <c r="PRW19" s="352"/>
      <c r="PRX19" s="352"/>
      <c r="PRY19" s="352"/>
      <c r="PRZ19" s="352"/>
      <c r="PSA19" s="352"/>
      <c r="PSB19" s="352"/>
      <c r="PSC19" s="352"/>
      <c r="PSD19" s="352"/>
      <c r="PSE19" s="352"/>
      <c r="PSF19" s="352"/>
      <c r="PSG19" s="352"/>
      <c r="PSH19" s="352"/>
      <c r="PSI19" s="352"/>
      <c r="PSJ19" s="352"/>
      <c r="PSK19" s="352"/>
      <c r="PSL19" s="352"/>
      <c r="PSM19" s="352"/>
      <c r="PSN19" s="352"/>
      <c r="PSO19" s="352"/>
      <c r="PSP19" s="352"/>
      <c r="PSQ19" s="352"/>
      <c r="PSR19" s="352"/>
      <c r="PSS19" s="352"/>
      <c r="PST19" s="352"/>
      <c r="PSU19" s="352"/>
      <c r="PSV19" s="352"/>
      <c r="PSW19" s="352"/>
      <c r="PSX19" s="352"/>
      <c r="PSY19" s="352"/>
      <c r="PSZ19" s="352"/>
      <c r="PTA19" s="352"/>
      <c r="PTB19" s="352"/>
      <c r="PTC19" s="352"/>
      <c r="PTD19" s="352"/>
      <c r="PTE19" s="352"/>
      <c r="PTF19" s="352"/>
      <c r="PTG19" s="352"/>
      <c r="PTH19" s="352"/>
      <c r="PTI19" s="352"/>
      <c r="PTJ19" s="352"/>
      <c r="PTK19" s="352"/>
      <c r="PTL19" s="352"/>
      <c r="PTM19" s="352"/>
      <c r="PTN19" s="352"/>
      <c r="PTO19" s="352"/>
      <c r="PTP19" s="352"/>
      <c r="PTQ19" s="352"/>
      <c r="PTR19" s="352"/>
      <c r="PTS19" s="352"/>
      <c r="PTT19" s="352"/>
      <c r="PTU19" s="352"/>
      <c r="PTV19" s="352"/>
      <c r="PTW19" s="352"/>
      <c r="PTX19" s="352"/>
      <c r="PTY19" s="352"/>
      <c r="PTZ19" s="352"/>
      <c r="PUA19" s="352"/>
      <c r="PUB19" s="352"/>
      <c r="PUC19" s="352"/>
      <c r="PUD19" s="352"/>
      <c r="PUE19" s="352"/>
      <c r="PUF19" s="352"/>
      <c r="PUG19" s="352"/>
      <c r="PUH19" s="352"/>
      <c r="PUI19" s="352"/>
      <c r="PUJ19" s="352"/>
      <c r="PUK19" s="352"/>
      <c r="PUL19" s="352"/>
      <c r="PUM19" s="352"/>
      <c r="PUN19" s="352"/>
      <c r="PUO19" s="352"/>
      <c r="PUP19" s="352"/>
      <c r="PUQ19" s="352"/>
      <c r="PUR19" s="352"/>
      <c r="PUS19" s="352"/>
      <c r="PUT19" s="352"/>
      <c r="PUU19" s="352"/>
      <c r="PUV19" s="352"/>
      <c r="PUW19" s="352"/>
      <c r="PUX19" s="352"/>
      <c r="PUY19" s="352"/>
      <c r="PUZ19" s="352"/>
      <c r="PVA19" s="352"/>
      <c r="PVB19" s="352"/>
      <c r="PVC19" s="352"/>
      <c r="PVD19" s="352"/>
      <c r="PVE19" s="352"/>
      <c r="PVF19" s="352"/>
      <c r="PVG19" s="352"/>
      <c r="PVH19" s="352"/>
      <c r="PVI19" s="352"/>
      <c r="PVJ19" s="352"/>
      <c r="PVK19" s="352"/>
      <c r="PVL19" s="352"/>
      <c r="PVM19" s="352"/>
      <c r="PVN19" s="352"/>
      <c r="PVO19" s="352"/>
      <c r="PVP19" s="352"/>
      <c r="PVQ19" s="352"/>
      <c r="PVR19" s="352"/>
      <c r="PVS19" s="352"/>
      <c r="PVT19" s="352"/>
      <c r="PVU19" s="352"/>
      <c r="PVV19" s="352"/>
      <c r="PVW19" s="352"/>
      <c r="PVX19" s="352"/>
      <c r="PVY19" s="352"/>
      <c r="PVZ19" s="352"/>
      <c r="PWA19" s="352"/>
      <c r="PWB19" s="352"/>
      <c r="PWC19" s="352"/>
      <c r="PWD19" s="352"/>
      <c r="PWE19" s="352"/>
      <c r="PWF19" s="352"/>
      <c r="PWG19" s="352"/>
      <c r="PWH19" s="352"/>
      <c r="PWI19" s="352"/>
      <c r="PWJ19" s="352"/>
      <c r="PWK19" s="352"/>
      <c r="PWL19" s="352"/>
      <c r="PWM19" s="352"/>
      <c r="PWN19" s="352"/>
      <c r="PWO19" s="352"/>
      <c r="PWP19" s="352"/>
      <c r="PWQ19" s="352"/>
      <c r="PWR19" s="352"/>
      <c r="PWS19" s="352"/>
      <c r="PWT19" s="352"/>
      <c r="PWU19" s="352"/>
      <c r="PWV19" s="352"/>
      <c r="PWW19" s="352"/>
      <c r="PWX19" s="352"/>
      <c r="PWY19" s="352"/>
      <c r="PWZ19" s="352"/>
      <c r="PXA19" s="352"/>
      <c r="PXB19" s="352"/>
      <c r="PXC19" s="352"/>
      <c r="PXD19" s="352"/>
      <c r="PXE19" s="352"/>
      <c r="PXF19" s="352"/>
      <c r="PXG19" s="352"/>
      <c r="PXH19" s="352"/>
      <c r="PXI19" s="352"/>
      <c r="PXJ19" s="352"/>
      <c r="PXK19" s="352"/>
      <c r="PXL19" s="352"/>
      <c r="PXM19" s="352"/>
      <c r="PXN19" s="352"/>
      <c r="PXO19" s="352"/>
      <c r="PXP19" s="352"/>
      <c r="PXQ19" s="352"/>
      <c r="PXR19" s="352"/>
      <c r="PXS19" s="352"/>
      <c r="PXT19" s="352"/>
      <c r="PXU19" s="352"/>
      <c r="PXV19" s="352"/>
      <c r="PXW19" s="352"/>
      <c r="PXX19" s="352"/>
      <c r="PXY19" s="352"/>
      <c r="PXZ19" s="352"/>
      <c r="PYA19" s="352"/>
      <c r="PYB19" s="352"/>
      <c r="PYC19" s="352"/>
      <c r="PYD19" s="352"/>
      <c r="PYE19" s="352"/>
      <c r="PYF19" s="352"/>
      <c r="PYG19" s="352"/>
      <c r="PYH19" s="352"/>
      <c r="PYI19" s="352"/>
      <c r="PYJ19" s="352"/>
      <c r="PYK19" s="352"/>
      <c r="PYL19" s="352"/>
      <c r="PYM19" s="352"/>
      <c r="PYN19" s="352"/>
      <c r="PYO19" s="352"/>
      <c r="PYP19" s="352"/>
      <c r="PYQ19" s="352"/>
      <c r="PYR19" s="352"/>
      <c r="PYS19" s="352"/>
      <c r="PYT19" s="352"/>
      <c r="PYU19" s="352"/>
      <c r="PYV19" s="352"/>
      <c r="PYW19" s="352"/>
      <c r="PYX19" s="352"/>
      <c r="PYY19" s="352"/>
      <c r="PYZ19" s="352"/>
      <c r="PZA19" s="352"/>
      <c r="PZB19" s="352"/>
      <c r="PZC19" s="352"/>
      <c r="PZD19" s="352"/>
      <c r="PZE19" s="352"/>
      <c r="PZF19" s="352"/>
      <c r="PZG19" s="352"/>
      <c r="PZH19" s="352"/>
      <c r="PZI19" s="352"/>
      <c r="PZJ19" s="352"/>
      <c r="PZK19" s="352"/>
      <c r="PZL19" s="352"/>
      <c r="PZM19" s="352"/>
      <c r="PZN19" s="352"/>
      <c r="PZO19" s="352"/>
      <c r="PZP19" s="352"/>
      <c r="PZQ19" s="352"/>
      <c r="PZR19" s="352"/>
      <c r="PZS19" s="352"/>
      <c r="PZT19" s="352"/>
      <c r="PZU19" s="352"/>
      <c r="PZV19" s="352"/>
      <c r="PZW19" s="352"/>
      <c r="PZX19" s="352"/>
      <c r="PZY19" s="352"/>
      <c r="PZZ19" s="352"/>
      <c r="QAA19" s="352"/>
      <c r="QAB19" s="352"/>
      <c r="QAC19" s="352"/>
      <c r="QAD19" s="352"/>
      <c r="QAE19" s="352"/>
      <c r="QAF19" s="352"/>
      <c r="QAG19" s="352"/>
      <c r="QAH19" s="352"/>
      <c r="QAI19" s="352"/>
      <c r="QAJ19" s="352"/>
      <c r="QAK19" s="352"/>
      <c r="QAL19" s="352"/>
      <c r="QAM19" s="352"/>
      <c r="QAN19" s="352"/>
      <c r="QAO19" s="352"/>
      <c r="QAP19" s="352"/>
      <c r="QAQ19" s="352"/>
      <c r="QAR19" s="352"/>
      <c r="QAS19" s="352"/>
      <c r="QAT19" s="352"/>
      <c r="QAU19" s="352"/>
      <c r="QAV19" s="352"/>
      <c r="QAW19" s="352"/>
      <c r="QAX19" s="352"/>
      <c r="QAY19" s="352"/>
      <c r="QAZ19" s="352"/>
      <c r="QBA19" s="352"/>
      <c r="QBB19" s="352"/>
      <c r="QBC19" s="352"/>
      <c r="QBD19" s="352"/>
      <c r="QBE19" s="352"/>
      <c r="QBF19" s="352"/>
      <c r="QBG19" s="352"/>
      <c r="QBH19" s="352"/>
      <c r="QBI19" s="352"/>
      <c r="QBJ19" s="352"/>
      <c r="QBK19" s="352"/>
      <c r="QBL19" s="352"/>
      <c r="QBM19" s="352"/>
      <c r="QBN19" s="352"/>
      <c r="QBO19" s="352"/>
      <c r="QBP19" s="352"/>
      <c r="QBQ19" s="352"/>
      <c r="QBR19" s="352"/>
      <c r="QBS19" s="352"/>
      <c r="QBT19" s="352"/>
      <c r="QBU19" s="352"/>
      <c r="QBV19" s="352"/>
      <c r="QBW19" s="352"/>
      <c r="QBX19" s="352"/>
      <c r="QBY19" s="352"/>
      <c r="QBZ19" s="352"/>
      <c r="QCA19" s="352"/>
      <c r="QCB19" s="352"/>
      <c r="QCC19" s="352"/>
      <c r="QCD19" s="352"/>
      <c r="QCE19" s="352"/>
      <c r="QCF19" s="352"/>
      <c r="QCG19" s="352"/>
      <c r="QCH19" s="352"/>
      <c r="QCI19" s="352"/>
      <c r="QCJ19" s="352"/>
      <c r="QCK19" s="352"/>
      <c r="QCL19" s="352"/>
      <c r="QCM19" s="352"/>
      <c r="QCN19" s="352"/>
      <c r="QCO19" s="352"/>
      <c r="QCP19" s="352"/>
      <c r="QCQ19" s="352"/>
      <c r="QCR19" s="352"/>
      <c r="QCS19" s="352"/>
      <c r="QCT19" s="352"/>
      <c r="QCU19" s="352"/>
      <c r="QCV19" s="352"/>
      <c r="QCW19" s="352"/>
      <c r="QCX19" s="352"/>
      <c r="QCY19" s="352"/>
      <c r="QCZ19" s="352"/>
      <c r="QDA19" s="352"/>
      <c r="QDB19" s="352"/>
      <c r="QDC19" s="352"/>
      <c r="QDD19" s="352"/>
      <c r="QDE19" s="352"/>
      <c r="QDF19" s="352"/>
      <c r="QDG19" s="352"/>
      <c r="QDH19" s="352"/>
      <c r="QDI19" s="352"/>
      <c r="QDJ19" s="352"/>
      <c r="QDK19" s="352"/>
      <c r="QDL19" s="352"/>
      <c r="QDM19" s="352"/>
      <c r="QDN19" s="352"/>
      <c r="QDO19" s="352"/>
      <c r="QDP19" s="352"/>
      <c r="QDQ19" s="352"/>
      <c r="QDR19" s="352"/>
      <c r="QDS19" s="352"/>
      <c r="QDT19" s="352"/>
      <c r="QDU19" s="352"/>
      <c r="QDV19" s="352"/>
      <c r="QDW19" s="352"/>
      <c r="QDX19" s="352"/>
      <c r="QDY19" s="352"/>
      <c r="QDZ19" s="352"/>
      <c r="QEA19" s="352"/>
      <c r="QEB19" s="352"/>
      <c r="QEC19" s="352"/>
      <c r="QED19" s="352"/>
      <c r="QEE19" s="352"/>
      <c r="QEF19" s="352"/>
      <c r="QEG19" s="352"/>
      <c r="QEH19" s="352"/>
      <c r="QEI19" s="352"/>
      <c r="QEJ19" s="352"/>
      <c r="QEK19" s="352"/>
      <c r="QEL19" s="352"/>
      <c r="QEM19" s="352"/>
      <c r="QEN19" s="352"/>
      <c r="QEO19" s="352"/>
      <c r="QEP19" s="352"/>
      <c r="QEQ19" s="352"/>
      <c r="QER19" s="352"/>
      <c r="QES19" s="352"/>
      <c r="QET19" s="352"/>
      <c r="QEU19" s="352"/>
      <c r="QEV19" s="352"/>
      <c r="QEW19" s="352"/>
      <c r="QEX19" s="352"/>
      <c r="QEY19" s="352"/>
      <c r="QEZ19" s="352"/>
      <c r="QFA19" s="352"/>
      <c r="QFB19" s="352"/>
      <c r="QFC19" s="352"/>
      <c r="QFD19" s="352"/>
      <c r="QFE19" s="352"/>
      <c r="QFF19" s="352"/>
      <c r="QFG19" s="352"/>
      <c r="QFH19" s="352"/>
      <c r="QFI19" s="352"/>
      <c r="QFJ19" s="352"/>
      <c r="QFK19" s="352"/>
      <c r="QFL19" s="352"/>
      <c r="QFM19" s="352"/>
      <c r="QFN19" s="352"/>
      <c r="QFO19" s="352"/>
      <c r="QFP19" s="352"/>
      <c r="QFQ19" s="352"/>
      <c r="QFR19" s="352"/>
      <c r="QFS19" s="352"/>
      <c r="QFT19" s="352"/>
      <c r="QFU19" s="352"/>
      <c r="QFV19" s="352"/>
      <c r="QFW19" s="352"/>
      <c r="QFX19" s="352"/>
      <c r="QFY19" s="352"/>
      <c r="QFZ19" s="352"/>
      <c r="QGA19" s="352"/>
      <c r="QGB19" s="352"/>
      <c r="QGC19" s="352"/>
      <c r="QGD19" s="352"/>
      <c r="QGE19" s="352"/>
      <c r="QGF19" s="352"/>
      <c r="QGG19" s="352"/>
      <c r="QGH19" s="352"/>
      <c r="QGI19" s="352"/>
      <c r="QGJ19" s="352"/>
      <c r="QGK19" s="352"/>
      <c r="QGL19" s="352"/>
      <c r="QGM19" s="352"/>
      <c r="QGN19" s="352"/>
      <c r="QGO19" s="352"/>
      <c r="QGP19" s="352"/>
      <c r="QGQ19" s="352"/>
      <c r="QGR19" s="352"/>
      <c r="QGS19" s="352"/>
      <c r="QGT19" s="352"/>
      <c r="QGU19" s="352"/>
      <c r="QGV19" s="352"/>
      <c r="QGW19" s="352"/>
      <c r="QGX19" s="352"/>
      <c r="QGY19" s="352"/>
      <c r="QGZ19" s="352"/>
      <c r="QHA19" s="352"/>
      <c r="QHB19" s="352"/>
      <c r="QHC19" s="352"/>
      <c r="QHD19" s="352"/>
      <c r="QHE19" s="352"/>
      <c r="QHF19" s="352"/>
      <c r="QHG19" s="352"/>
      <c r="QHH19" s="352"/>
      <c r="QHI19" s="352"/>
      <c r="QHJ19" s="352"/>
      <c r="QHK19" s="352"/>
      <c r="QHL19" s="352"/>
      <c r="QHM19" s="352"/>
      <c r="QHN19" s="352"/>
      <c r="QHO19" s="352"/>
      <c r="QHP19" s="352"/>
      <c r="QHQ19" s="352"/>
      <c r="QHR19" s="352"/>
      <c r="QHS19" s="352"/>
      <c r="QHT19" s="352"/>
      <c r="QHU19" s="352"/>
      <c r="QHV19" s="352"/>
      <c r="QHW19" s="352"/>
      <c r="QHX19" s="352"/>
      <c r="QHY19" s="352"/>
      <c r="QHZ19" s="352"/>
      <c r="QIA19" s="352"/>
      <c r="QIB19" s="352"/>
      <c r="QIC19" s="352"/>
      <c r="QID19" s="352"/>
      <c r="QIE19" s="352"/>
      <c r="QIF19" s="352"/>
      <c r="QIG19" s="352"/>
      <c r="QIH19" s="352"/>
      <c r="QII19" s="352"/>
      <c r="QIJ19" s="352"/>
      <c r="QIK19" s="352"/>
      <c r="QIL19" s="352"/>
      <c r="QIM19" s="352"/>
      <c r="QIN19" s="352"/>
      <c r="QIO19" s="352"/>
      <c r="QIP19" s="352"/>
      <c r="QIQ19" s="352"/>
      <c r="QIR19" s="352"/>
      <c r="QIS19" s="352"/>
      <c r="QIT19" s="352"/>
      <c r="QIU19" s="352"/>
      <c r="QIV19" s="352"/>
      <c r="QIW19" s="352"/>
      <c r="QIX19" s="352"/>
      <c r="QIY19" s="352"/>
      <c r="QIZ19" s="352"/>
      <c r="QJA19" s="352"/>
      <c r="QJB19" s="352"/>
      <c r="QJC19" s="352"/>
      <c r="QJD19" s="352"/>
      <c r="QJE19" s="352"/>
      <c r="QJF19" s="352"/>
      <c r="QJG19" s="352"/>
      <c r="QJH19" s="352"/>
      <c r="QJI19" s="352"/>
      <c r="QJJ19" s="352"/>
      <c r="QJK19" s="352"/>
      <c r="QJL19" s="352"/>
      <c r="QJM19" s="352"/>
      <c r="QJN19" s="352"/>
      <c r="QJO19" s="352"/>
      <c r="QJP19" s="352"/>
      <c r="QJQ19" s="352"/>
      <c r="QJR19" s="352"/>
      <c r="QJS19" s="352"/>
      <c r="QJT19" s="352"/>
      <c r="QJU19" s="352"/>
      <c r="QJV19" s="352"/>
      <c r="QJW19" s="352"/>
      <c r="QJX19" s="352"/>
      <c r="QJY19" s="352"/>
      <c r="QJZ19" s="352"/>
      <c r="QKA19" s="352"/>
      <c r="QKB19" s="352"/>
      <c r="QKC19" s="352"/>
      <c r="QKD19" s="352"/>
      <c r="QKE19" s="352"/>
      <c r="QKF19" s="352"/>
      <c r="QKG19" s="352"/>
      <c r="QKH19" s="352"/>
      <c r="QKI19" s="352"/>
      <c r="QKJ19" s="352"/>
      <c r="QKK19" s="352"/>
      <c r="QKL19" s="352"/>
      <c r="QKM19" s="352"/>
      <c r="QKN19" s="352"/>
      <c r="QKO19" s="352"/>
      <c r="QKP19" s="352"/>
      <c r="QKQ19" s="352"/>
      <c r="QKR19" s="352"/>
      <c r="QKS19" s="352"/>
      <c r="QKT19" s="352"/>
      <c r="QKU19" s="352"/>
      <c r="QKV19" s="352"/>
      <c r="QKW19" s="352"/>
      <c r="QKX19" s="352"/>
      <c r="QKY19" s="352"/>
      <c r="QKZ19" s="352"/>
      <c r="QLA19" s="352"/>
      <c r="QLB19" s="352"/>
      <c r="QLC19" s="352"/>
      <c r="QLD19" s="352"/>
      <c r="QLE19" s="352"/>
      <c r="QLF19" s="352"/>
      <c r="QLG19" s="352"/>
      <c r="QLH19" s="352"/>
      <c r="QLI19" s="352"/>
      <c r="QLJ19" s="352"/>
      <c r="QLK19" s="352"/>
      <c r="QLL19" s="352"/>
      <c r="QLM19" s="352"/>
      <c r="QLN19" s="352"/>
      <c r="QLO19" s="352"/>
      <c r="QLP19" s="352"/>
      <c r="QLQ19" s="352"/>
      <c r="QLR19" s="352"/>
      <c r="QLS19" s="352"/>
      <c r="QLT19" s="352"/>
      <c r="QLU19" s="352"/>
      <c r="QLV19" s="352"/>
      <c r="QLW19" s="352"/>
      <c r="QLX19" s="352"/>
      <c r="QLY19" s="352"/>
      <c r="QLZ19" s="352"/>
      <c r="QMA19" s="352"/>
      <c r="QMB19" s="352"/>
      <c r="QMC19" s="352"/>
      <c r="QMD19" s="352"/>
      <c r="QME19" s="352"/>
      <c r="QMF19" s="352"/>
      <c r="QMG19" s="352"/>
      <c r="QMH19" s="352"/>
      <c r="QMI19" s="352"/>
      <c r="QMJ19" s="352"/>
      <c r="QMK19" s="352"/>
      <c r="QML19" s="352"/>
      <c r="QMM19" s="352"/>
      <c r="QMN19" s="352"/>
      <c r="QMO19" s="352"/>
      <c r="QMP19" s="352"/>
      <c r="QMQ19" s="352"/>
      <c r="QMR19" s="352"/>
      <c r="QMS19" s="352"/>
      <c r="QMT19" s="352"/>
      <c r="QMU19" s="352"/>
      <c r="QMV19" s="352"/>
      <c r="QMW19" s="352"/>
      <c r="QMX19" s="352"/>
      <c r="QMY19" s="352"/>
      <c r="QMZ19" s="352"/>
      <c r="QNA19" s="352"/>
      <c r="QNB19" s="352"/>
      <c r="QNC19" s="352"/>
      <c r="QND19" s="352"/>
      <c r="QNE19" s="352"/>
      <c r="QNF19" s="352"/>
      <c r="QNG19" s="352"/>
      <c r="QNH19" s="352"/>
      <c r="QNI19" s="352"/>
      <c r="QNJ19" s="352"/>
      <c r="QNK19" s="352"/>
      <c r="QNL19" s="352"/>
      <c r="QNM19" s="352"/>
      <c r="QNN19" s="352"/>
      <c r="QNO19" s="352"/>
      <c r="QNP19" s="352"/>
      <c r="QNQ19" s="352"/>
      <c r="QNR19" s="352"/>
      <c r="QNS19" s="352"/>
      <c r="QNT19" s="352"/>
      <c r="QNU19" s="352"/>
      <c r="QNV19" s="352"/>
      <c r="QNW19" s="352"/>
      <c r="QNX19" s="352"/>
      <c r="QNY19" s="352"/>
      <c r="QNZ19" s="352"/>
      <c r="QOA19" s="352"/>
      <c r="QOB19" s="352"/>
      <c r="QOC19" s="352"/>
      <c r="QOD19" s="352"/>
      <c r="QOE19" s="352"/>
      <c r="QOF19" s="352"/>
      <c r="QOG19" s="352"/>
      <c r="QOH19" s="352"/>
      <c r="QOI19" s="352"/>
      <c r="QOJ19" s="352"/>
      <c r="QOK19" s="352"/>
      <c r="QOL19" s="352"/>
      <c r="QOM19" s="352"/>
      <c r="QON19" s="352"/>
      <c r="QOO19" s="352"/>
      <c r="QOP19" s="352"/>
      <c r="QOQ19" s="352"/>
      <c r="QOR19" s="352"/>
      <c r="QOS19" s="352"/>
      <c r="QOT19" s="352"/>
      <c r="QOU19" s="352"/>
      <c r="QOV19" s="352"/>
      <c r="QOW19" s="352"/>
      <c r="QOX19" s="352"/>
      <c r="QOY19" s="352"/>
      <c r="QOZ19" s="352"/>
      <c r="QPA19" s="352"/>
      <c r="QPB19" s="352"/>
      <c r="QPC19" s="352"/>
      <c r="QPD19" s="352"/>
      <c r="QPE19" s="352"/>
      <c r="QPF19" s="352"/>
      <c r="QPG19" s="352"/>
      <c r="QPH19" s="352"/>
      <c r="QPI19" s="352"/>
      <c r="QPJ19" s="352"/>
      <c r="QPK19" s="352"/>
      <c r="QPL19" s="352"/>
      <c r="QPM19" s="352"/>
      <c r="QPN19" s="352"/>
      <c r="QPO19" s="352"/>
      <c r="QPP19" s="352"/>
      <c r="QPQ19" s="352"/>
      <c r="QPR19" s="352"/>
      <c r="QPS19" s="352"/>
      <c r="QPT19" s="352"/>
      <c r="QPU19" s="352"/>
      <c r="QPV19" s="352"/>
      <c r="QPW19" s="352"/>
      <c r="QPX19" s="352"/>
      <c r="QPY19" s="352"/>
      <c r="QPZ19" s="352"/>
      <c r="QQA19" s="352"/>
      <c r="QQB19" s="352"/>
      <c r="QQC19" s="352"/>
      <c r="QQD19" s="352"/>
      <c r="QQE19" s="352"/>
      <c r="QQF19" s="352"/>
      <c r="QQG19" s="352"/>
      <c r="QQH19" s="352"/>
      <c r="QQI19" s="352"/>
      <c r="QQJ19" s="352"/>
      <c r="QQK19" s="352"/>
      <c r="QQL19" s="352"/>
      <c r="QQM19" s="352"/>
      <c r="QQN19" s="352"/>
      <c r="QQO19" s="352"/>
      <c r="QQP19" s="352"/>
      <c r="QQQ19" s="352"/>
      <c r="QQR19" s="352"/>
      <c r="QQS19" s="352"/>
      <c r="QQT19" s="352"/>
      <c r="QQU19" s="352"/>
      <c r="QQV19" s="352"/>
      <c r="QQW19" s="352"/>
      <c r="QQX19" s="352"/>
      <c r="QQY19" s="352"/>
      <c r="QQZ19" s="352"/>
      <c r="QRA19" s="352"/>
      <c r="QRB19" s="352"/>
      <c r="QRC19" s="352"/>
      <c r="QRD19" s="352"/>
      <c r="QRE19" s="352"/>
      <c r="QRF19" s="352"/>
      <c r="QRG19" s="352"/>
      <c r="QRH19" s="352"/>
      <c r="QRI19" s="352"/>
      <c r="QRJ19" s="352"/>
      <c r="QRK19" s="352"/>
      <c r="QRL19" s="352"/>
      <c r="QRM19" s="352"/>
      <c r="QRN19" s="352"/>
      <c r="QRO19" s="352"/>
      <c r="QRP19" s="352"/>
      <c r="QRQ19" s="352"/>
      <c r="QRR19" s="352"/>
      <c r="QRS19" s="352"/>
      <c r="QRT19" s="352"/>
      <c r="QRU19" s="352"/>
      <c r="QRV19" s="352"/>
      <c r="QRW19" s="352"/>
      <c r="QRX19" s="352"/>
      <c r="QRY19" s="352"/>
      <c r="QRZ19" s="352"/>
      <c r="QSA19" s="352"/>
      <c r="QSB19" s="352"/>
      <c r="QSC19" s="352"/>
      <c r="QSD19" s="352"/>
      <c r="QSE19" s="352"/>
      <c r="QSF19" s="352"/>
      <c r="QSG19" s="352"/>
      <c r="QSH19" s="352"/>
      <c r="QSI19" s="352"/>
      <c r="QSJ19" s="352"/>
      <c r="QSK19" s="352"/>
      <c r="QSL19" s="352"/>
      <c r="QSM19" s="352"/>
      <c r="QSN19" s="352"/>
      <c r="QSO19" s="352"/>
      <c r="QSP19" s="352"/>
      <c r="QSQ19" s="352"/>
      <c r="QSR19" s="352"/>
      <c r="QSS19" s="352"/>
      <c r="QST19" s="352"/>
      <c r="QSU19" s="352"/>
      <c r="QSV19" s="352"/>
      <c r="QSW19" s="352"/>
      <c r="QSX19" s="352"/>
      <c r="QSY19" s="352"/>
      <c r="QSZ19" s="352"/>
      <c r="QTA19" s="352"/>
      <c r="QTB19" s="352"/>
      <c r="QTC19" s="352"/>
      <c r="QTD19" s="352"/>
      <c r="QTE19" s="352"/>
      <c r="QTF19" s="352"/>
      <c r="QTG19" s="352"/>
      <c r="QTH19" s="352"/>
      <c r="QTI19" s="352"/>
      <c r="QTJ19" s="352"/>
      <c r="QTK19" s="352"/>
      <c r="QTL19" s="352"/>
      <c r="QTM19" s="352"/>
      <c r="QTN19" s="352"/>
      <c r="QTO19" s="352"/>
      <c r="QTP19" s="352"/>
      <c r="QTQ19" s="352"/>
      <c r="QTR19" s="352"/>
      <c r="QTS19" s="352"/>
      <c r="QTT19" s="352"/>
      <c r="QTU19" s="352"/>
      <c r="QTV19" s="352"/>
      <c r="QTW19" s="352"/>
      <c r="QTX19" s="352"/>
      <c r="QTY19" s="352"/>
      <c r="QTZ19" s="352"/>
      <c r="QUA19" s="352"/>
      <c r="QUB19" s="352"/>
      <c r="QUC19" s="352"/>
      <c r="QUD19" s="352"/>
      <c r="QUE19" s="352"/>
      <c r="QUF19" s="352"/>
      <c r="QUG19" s="352"/>
      <c r="QUH19" s="352"/>
      <c r="QUI19" s="352"/>
      <c r="QUJ19" s="352"/>
      <c r="QUK19" s="352"/>
      <c r="QUL19" s="352"/>
      <c r="QUM19" s="352"/>
      <c r="QUN19" s="352"/>
      <c r="QUO19" s="352"/>
      <c r="QUP19" s="352"/>
      <c r="QUQ19" s="352"/>
      <c r="QUR19" s="352"/>
      <c r="QUS19" s="352"/>
      <c r="QUT19" s="352"/>
      <c r="QUU19" s="352"/>
      <c r="QUV19" s="352"/>
      <c r="QUW19" s="352"/>
      <c r="QUX19" s="352"/>
      <c r="QUY19" s="352"/>
      <c r="QUZ19" s="352"/>
      <c r="QVA19" s="352"/>
      <c r="QVB19" s="352"/>
      <c r="QVC19" s="352"/>
      <c r="QVD19" s="352"/>
      <c r="QVE19" s="352"/>
      <c r="QVF19" s="352"/>
      <c r="QVG19" s="352"/>
      <c r="QVH19" s="352"/>
      <c r="QVI19" s="352"/>
      <c r="QVJ19" s="352"/>
      <c r="QVK19" s="352"/>
      <c r="QVL19" s="352"/>
      <c r="QVM19" s="352"/>
      <c r="QVN19" s="352"/>
      <c r="QVO19" s="352"/>
      <c r="QVP19" s="352"/>
      <c r="QVQ19" s="352"/>
      <c r="QVR19" s="352"/>
      <c r="QVS19" s="352"/>
      <c r="QVT19" s="352"/>
      <c r="QVU19" s="352"/>
      <c r="QVV19" s="352"/>
      <c r="QVW19" s="352"/>
      <c r="QVX19" s="352"/>
      <c r="QVY19" s="352"/>
      <c r="QVZ19" s="352"/>
      <c r="QWA19" s="352"/>
      <c r="QWB19" s="352"/>
      <c r="QWC19" s="352"/>
      <c r="QWD19" s="352"/>
      <c r="QWE19" s="352"/>
      <c r="QWF19" s="352"/>
      <c r="QWG19" s="352"/>
      <c r="QWH19" s="352"/>
      <c r="QWI19" s="352"/>
      <c r="QWJ19" s="352"/>
      <c r="QWK19" s="352"/>
      <c r="QWL19" s="352"/>
      <c r="QWM19" s="352"/>
      <c r="QWN19" s="352"/>
      <c r="QWO19" s="352"/>
      <c r="QWP19" s="352"/>
      <c r="QWQ19" s="352"/>
      <c r="QWR19" s="352"/>
      <c r="QWS19" s="352"/>
      <c r="QWT19" s="352"/>
      <c r="QWU19" s="352"/>
      <c r="QWV19" s="352"/>
      <c r="QWW19" s="352"/>
      <c r="QWX19" s="352"/>
      <c r="QWY19" s="352"/>
      <c r="QWZ19" s="352"/>
      <c r="QXA19" s="352"/>
      <c r="QXB19" s="352"/>
      <c r="QXC19" s="352"/>
      <c r="QXD19" s="352"/>
      <c r="QXE19" s="352"/>
      <c r="QXF19" s="352"/>
      <c r="QXG19" s="352"/>
      <c r="QXH19" s="352"/>
      <c r="QXI19" s="352"/>
      <c r="QXJ19" s="352"/>
      <c r="QXK19" s="352"/>
      <c r="QXL19" s="352"/>
      <c r="QXM19" s="352"/>
      <c r="QXN19" s="352"/>
      <c r="QXO19" s="352"/>
      <c r="QXP19" s="352"/>
      <c r="QXQ19" s="352"/>
      <c r="QXR19" s="352"/>
      <c r="QXS19" s="352"/>
      <c r="QXT19" s="352"/>
      <c r="QXU19" s="352"/>
      <c r="QXV19" s="352"/>
      <c r="QXW19" s="352"/>
      <c r="QXX19" s="352"/>
      <c r="QXY19" s="352"/>
      <c r="QXZ19" s="352"/>
      <c r="QYA19" s="352"/>
      <c r="QYB19" s="352"/>
      <c r="QYC19" s="352"/>
      <c r="QYD19" s="352"/>
      <c r="QYE19" s="352"/>
      <c r="QYF19" s="352"/>
      <c r="QYG19" s="352"/>
      <c r="QYH19" s="352"/>
      <c r="QYI19" s="352"/>
      <c r="QYJ19" s="352"/>
      <c r="QYK19" s="352"/>
      <c r="QYL19" s="352"/>
      <c r="QYM19" s="352"/>
      <c r="QYN19" s="352"/>
      <c r="QYO19" s="352"/>
      <c r="QYP19" s="352"/>
      <c r="QYQ19" s="352"/>
      <c r="QYR19" s="352"/>
      <c r="QYS19" s="352"/>
      <c r="QYT19" s="352"/>
      <c r="QYU19" s="352"/>
      <c r="QYV19" s="352"/>
      <c r="QYW19" s="352"/>
      <c r="QYX19" s="352"/>
      <c r="QYY19" s="352"/>
      <c r="QYZ19" s="352"/>
      <c r="QZA19" s="352"/>
      <c r="QZB19" s="352"/>
      <c r="QZC19" s="352"/>
      <c r="QZD19" s="352"/>
      <c r="QZE19" s="352"/>
      <c r="QZF19" s="352"/>
      <c r="QZG19" s="352"/>
      <c r="QZH19" s="352"/>
      <c r="QZI19" s="352"/>
      <c r="QZJ19" s="352"/>
      <c r="QZK19" s="352"/>
      <c r="QZL19" s="352"/>
      <c r="QZM19" s="352"/>
      <c r="QZN19" s="352"/>
      <c r="QZO19" s="352"/>
      <c r="QZP19" s="352"/>
      <c r="QZQ19" s="352"/>
      <c r="QZR19" s="352"/>
      <c r="QZS19" s="352"/>
      <c r="QZT19" s="352"/>
      <c r="QZU19" s="352"/>
      <c r="QZV19" s="352"/>
      <c r="QZW19" s="352"/>
      <c r="QZX19" s="352"/>
      <c r="QZY19" s="352"/>
      <c r="QZZ19" s="352"/>
      <c r="RAA19" s="352"/>
      <c r="RAB19" s="352"/>
      <c r="RAC19" s="352"/>
      <c r="RAD19" s="352"/>
      <c r="RAE19" s="352"/>
      <c r="RAF19" s="352"/>
      <c r="RAG19" s="352"/>
      <c r="RAH19" s="352"/>
      <c r="RAI19" s="352"/>
      <c r="RAJ19" s="352"/>
      <c r="RAK19" s="352"/>
      <c r="RAL19" s="352"/>
      <c r="RAM19" s="352"/>
      <c r="RAN19" s="352"/>
      <c r="RAO19" s="352"/>
      <c r="RAP19" s="352"/>
      <c r="RAQ19" s="352"/>
      <c r="RAR19" s="352"/>
      <c r="RAS19" s="352"/>
      <c r="RAT19" s="352"/>
      <c r="RAU19" s="352"/>
      <c r="RAV19" s="352"/>
      <c r="RAW19" s="352"/>
      <c r="RAX19" s="352"/>
      <c r="RAY19" s="352"/>
      <c r="RAZ19" s="352"/>
      <c r="RBA19" s="352"/>
      <c r="RBB19" s="352"/>
      <c r="RBC19" s="352"/>
      <c r="RBD19" s="352"/>
      <c r="RBE19" s="352"/>
      <c r="RBF19" s="352"/>
      <c r="RBG19" s="352"/>
      <c r="RBH19" s="352"/>
      <c r="RBI19" s="352"/>
      <c r="RBJ19" s="352"/>
      <c r="RBK19" s="352"/>
      <c r="RBL19" s="352"/>
      <c r="RBM19" s="352"/>
      <c r="RBN19" s="352"/>
      <c r="RBO19" s="352"/>
      <c r="RBP19" s="352"/>
      <c r="RBQ19" s="352"/>
      <c r="RBR19" s="352"/>
      <c r="RBS19" s="352"/>
      <c r="RBT19" s="352"/>
      <c r="RBU19" s="352"/>
      <c r="RBV19" s="352"/>
      <c r="RBW19" s="352"/>
      <c r="RBX19" s="352"/>
      <c r="RBY19" s="352"/>
      <c r="RBZ19" s="352"/>
      <c r="RCA19" s="352"/>
      <c r="RCB19" s="352"/>
      <c r="RCC19" s="352"/>
      <c r="RCD19" s="352"/>
      <c r="RCE19" s="352"/>
      <c r="RCF19" s="352"/>
      <c r="RCG19" s="352"/>
      <c r="RCH19" s="352"/>
      <c r="RCI19" s="352"/>
      <c r="RCJ19" s="352"/>
      <c r="RCK19" s="352"/>
      <c r="RCL19" s="352"/>
      <c r="RCM19" s="352"/>
      <c r="RCN19" s="352"/>
      <c r="RCO19" s="352"/>
      <c r="RCP19" s="352"/>
      <c r="RCQ19" s="352"/>
      <c r="RCR19" s="352"/>
      <c r="RCS19" s="352"/>
      <c r="RCT19" s="352"/>
      <c r="RCU19" s="352"/>
      <c r="RCV19" s="352"/>
      <c r="RCW19" s="352"/>
      <c r="RCX19" s="352"/>
      <c r="RCY19" s="352"/>
      <c r="RCZ19" s="352"/>
      <c r="RDA19" s="352"/>
      <c r="RDB19" s="352"/>
      <c r="RDC19" s="352"/>
      <c r="RDD19" s="352"/>
      <c r="RDE19" s="352"/>
      <c r="RDF19" s="352"/>
      <c r="RDG19" s="352"/>
      <c r="RDH19" s="352"/>
      <c r="RDI19" s="352"/>
      <c r="RDJ19" s="352"/>
      <c r="RDK19" s="352"/>
      <c r="RDL19" s="352"/>
      <c r="RDM19" s="352"/>
      <c r="RDN19" s="352"/>
      <c r="RDO19" s="352"/>
      <c r="RDP19" s="352"/>
      <c r="RDQ19" s="352"/>
      <c r="RDR19" s="352"/>
      <c r="RDS19" s="352"/>
      <c r="RDT19" s="352"/>
      <c r="RDU19" s="352"/>
      <c r="RDV19" s="352"/>
      <c r="RDW19" s="352"/>
      <c r="RDX19" s="352"/>
      <c r="RDY19" s="352"/>
      <c r="RDZ19" s="352"/>
      <c r="REA19" s="352"/>
      <c r="REB19" s="352"/>
      <c r="REC19" s="352"/>
      <c r="RED19" s="352"/>
      <c r="REE19" s="352"/>
      <c r="REF19" s="352"/>
      <c r="REG19" s="352"/>
      <c r="REH19" s="352"/>
      <c r="REI19" s="352"/>
      <c r="REJ19" s="352"/>
      <c r="REK19" s="352"/>
      <c r="REL19" s="352"/>
      <c r="REM19" s="352"/>
      <c r="REN19" s="352"/>
      <c r="REO19" s="352"/>
      <c r="REP19" s="352"/>
      <c r="REQ19" s="352"/>
      <c r="RER19" s="352"/>
      <c r="RES19" s="352"/>
      <c r="RET19" s="352"/>
      <c r="REU19" s="352"/>
      <c r="REV19" s="352"/>
      <c r="REW19" s="352"/>
      <c r="REX19" s="352"/>
      <c r="REY19" s="352"/>
      <c r="REZ19" s="352"/>
      <c r="RFA19" s="352"/>
      <c r="RFB19" s="352"/>
      <c r="RFC19" s="352"/>
      <c r="RFD19" s="352"/>
      <c r="RFE19" s="352"/>
      <c r="RFF19" s="352"/>
      <c r="RFG19" s="352"/>
      <c r="RFH19" s="352"/>
      <c r="RFI19" s="352"/>
      <c r="RFJ19" s="352"/>
      <c r="RFK19" s="352"/>
      <c r="RFL19" s="352"/>
      <c r="RFM19" s="352"/>
      <c r="RFN19" s="352"/>
      <c r="RFO19" s="352"/>
      <c r="RFP19" s="352"/>
      <c r="RFQ19" s="352"/>
      <c r="RFR19" s="352"/>
      <c r="RFS19" s="352"/>
      <c r="RFT19" s="352"/>
      <c r="RFU19" s="352"/>
      <c r="RFV19" s="352"/>
      <c r="RFW19" s="352"/>
      <c r="RFX19" s="352"/>
      <c r="RFY19" s="352"/>
      <c r="RFZ19" s="352"/>
      <c r="RGA19" s="352"/>
      <c r="RGB19" s="352"/>
      <c r="RGC19" s="352"/>
      <c r="RGD19" s="352"/>
      <c r="RGE19" s="352"/>
      <c r="RGF19" s="352"/>
      <c r="RGG19" s="352"/>
      <c r="RGH19" s="352"/>
      <c r="RGI19" s="352"/>
      <c r="RGJ19" s="352"/>
      <c r="RGK19" s="352"/>
      <c r="RGL19" s="352"/>
      <c r="RGM19" s="352"/>
      <c r="RGN19" s="352"/>
      <c r="RGO19" s="352"/>
      <c r="RGP19" s="352"/>
      <c r="RGQ19" s="352"/>
      <c r="RGR19" s="352"/>
      <c r="RGS19" s="352"/>
      <c r="RGT19" s="352"/>
      <c r="RGU19" s="352"/>
      <c r="RGV19" s="352"/>
      <c r="RGW19" s="352"/>
      <c r="RGX19" s="352"/>
      <c r="RGY19" s="352"/>
      <c r="RGZ19" s="352"/>
      <c r="RHA19" s="352"/>
      <c r="RHB19" s="352"/>
      <c r="RHC19" s="352"/>
      <c r="RHD19" s="352"/>
      <c r="RHE19" s="352"/>
      <c r="RHF19" s="352"/>
      <c r="RHG19" s="352"/>
      <c r="RHH19" s="352"/>
      <c r="RHI19" s="352"/>
      <c r="RHJ19" s="352"/>
      <c r="RHK19" s="352"/>
      <c r="RHL19" s="352"/>
      <c r="RHM19" s="352"/>
      <c r="RHN19" s="352"/>
      <c r="RHO19" s="352"/>
      <c r="RHP19" s="352"/>
      <c r="RHQ19" s="352"/>
      <c r="RHR19" s="352"/>
      <c r="RHS19" s="352"/>
      <c r="RHT19" s="352"/>
      <c r="RHU19" s="352"/>
      <c r="RHV19" s="352"/>
      <c r="RHW19" s="352"/>
      <c r="RHX19" s="352"/>
      <c r="RHY19" s="352"/>
      <c r="RHZ19" s="352"/>
      <c r="RIA19" s="352"/>
      <c r="RIB19" s="352"/>
      <c r="RIC19" s="352"/>
      <c r="RID19" s="352"/>
      <c r="RIE19" s="352"/>
      <c r="RIF19" s="352"/>
      <c r="RIG19" s="352"/>
      <c r="RIH19" s="352"/>
      <c r="RII19" s="352"/>
      <c r="RIJ19" s="352"/>
      <c r="RIK19" s="352"/>
      <c r="RIL19" s="352"/>
      <c r="RIM19" s="352"/>
      <c r="RIN19" s="352"/>
      <c r="RIO19" s="352"/>
      <c r="RIP19" s="352"/>
      <c r="RIQ19" s="352"/>
      <c r="RIR19" s="352"/>
      <c r="RIS19" s="352"/>
      <c r="RIT19" s="352"/>
      <c r="RIU19" s="352"/>
      <c r="RIV19" s="352"/>
      <c r="RIW19" s="352"/>
      <c r="RIX19" s="352"/>
      <c r="RIY19" s="352"/>
      <c r="RIZ19" s="352"/>
      <c r="RJA19" s="352"/>
      <c r="RJB19" s="352"/>
      <c r="RJC19" s="352"/>
      <c r="RJD19" s="352"/>
      <c r="RJE19" s="352"/>
      <c r="RJF19" s="352"/>
      <c r="RJG19" s="352"/>
      <c r="RJH19" s="352"/>
      <c r="RJI19" s="352"/>
      <c r="RJJ19" s="352"/>
      <c r="RJK19" s="352"/>
      <c r="RJL19" s="352"/>
      <c r="RJM19" s="352"/>
      <c r="RJN19" s="352"/>
      <c r="RJO19" s="352"/>
      <c r="RJP19" s="352"/>
      <c r="RJQ19" s="352"/>
      <c r="RJR19" s="352"/>
      <c r="RJS19" s="352"/>
      <c r="RJT19" s="352"/>
      <c r="RJU19" s="352"/>
      <c r="RJV19" s="352"/>
      <c r="RJW19" s="352"/>
      <c r="RJX19" s="352"/>
      <c r="RJY19" s="352"/>
      <c r="RJZ19" s="352"/>
      <c r="RKA19" s="352"/>
      <c r="RKB19" s="352"/>
      <c r="RKC19" s="352"/>
      <c r="RKD19" s="352"/>
      <c r="RKE19" s="352"/>
      <c r="RKF19" s="352"/>
      <c r="RKG19" s="352"/>
      <c r="RKH19" s="352"/>
      <c r="RKI19" s="352"/>
      <c r="RKJ19" s="352"/>
      <c r="RKK19" s="352"/>
      <c r="RKL19" s="352"/>
      <c r="RKM19" s="352"/>
      <c r="RKN19" s="352"/>
      <c r="RKO19" s="352"/>
      <c r="RKP19" s="352"/>
      <c r="RKQ19" s="352"/>
      <c r="RKR19" s="352"/>
      <c r="RKS19" s="352"/>
      <c r="RKT19" s="352"/>
      <c r="RKU19" s="352"/>
      <c r="RKV19" s="352"/>
      <c r="RKW19" s="352"/>
      <c r="RKX19" s="352"/>
      <c r="RKY19" s="352"/>
      <c r="RKZ19" s="352"/>
      <c r="RLA19" s="352"/>
      <c r="RLB19" s="352"/>
      <c r="RLC19" s="352"/>
      <c r="RLD19" s="352"/>
      <c r="RLE19" s="352"/>
      <c r="RLF19" s="352"/>
      <c r="RLG19" s="352"/>
      <c r="RLH19" s="352"/>
      <c r="RLI19" s="352"/>
      <c r="RLJ19" s="352"/>
      <c r="RLK19" s="352"/>
      <c r="RLL19" s="352"/>
      <c r="RLM19" s="352"/>
      <c r="RLN19" s="352"/>
      <c r="RLO19" s="352"/>
      <c r="RLP19" s="352"/>
      <c r="RLQ19" s="352"/>
      <c r="RLR19" s="352"/>
      <c r="RLS19" s="352"/>
      <c r="RLT19" s="352"/>
      <c r="RLU19" s="352"/>
      <c r="RLV19" s="352"/>
      <c r="RLW19" s="352"/>
      <c r="RLX19" s="352"/>
      <c r="RLY19" s="352"/>
      <c r="RLZ19" s="352"/>
      <c r="RMA19" s="352"/>
      <c r="RMB19" s="352"/>
      <c r="RMC19" s="352"/>
      <c r="RMD19" s="352"/>
      <c r="RME19" s="352"/>
      <c r="RMF19" s="352"/>
      <c r="RMG19" s="352"/>
      <c r="RMH19" s="352"/>
      <c r="RMI19" s="352"/>
      <c r="RMJ19" s="352"/>
      <c r="RMK19" s="352"/>
      <c r="RML19" s="352"/>
      <c r="RMM19" s="352"/>
      <c r="RMN19" s="352"/>
      <c r="RMO19" s="352"/>
      <c r="RMP19" s="352"/>
      <c r="RMQ19" s="352"/>
      <c r="RMR19" s="352"/>
      <c r="RMS19" s="352"/>
      <c r="RMT19" s="352"/>
      <c r="RMU19" s="352"/>
      <c r="RMV19" s="352"/>
      <c r="RMW19" s="352"/>
      <c r="RMX19" s="352"/>
      <c r="RMY19" s="352"/>
      <c r="RMZ19" s="352"/>
      <c r="RNA19" s="352"/>
      <c r="RNB19" s="352"/>
      <c r="RNC19" s="352"/>
      <c r="RND19" s="352"/>
      <c r="RNE19" s="352"/>
      <c r="RNF19" s="352"/>
      <c r="RNG19" s="352"/>
      <c r="RNH19" s="352"/>
      <c r="RNI19" s="352"/>
      <c r="RNJ19" s="352"/>
      <c r="RNK19" s="352"/>
      <c r="RNL19" s="352"/>
      <c r="RNM19" s="352"/>
      <c r="RNN19" s="352"/>
      <c r="RNO19" s="352"/>
      <c r="RNP19" s="352"/>
      <c r="RNQ19" s="352"/>
      <c r="RNR19" s="352"/>
      <c r="RNS19" s="352"/>
      <c r="RNT19" s="352"/>
      <c r="RNU19" s="352"/>
      <c r="RNV19" s="352"/>
      <c r="RNW19" s="352"/>
      <c r="RNX19" s="352"/>
      <c r="RNY19" s="352"/>
      <c r="RNZ19" s="352"/>
      <c r="ROA19" s="352"/>
      <c r="ROB19" s="352"/>
      <c r="ROC19" s="352"/>
      <c r="ROD19" s="352"/>
      <c r="ROE19" s="352"/>
      <c r="ROF19" s="352"/>
      <c r="ROG19" s="352"/>
      <c r="ROH19" s="352"/>
      <c r="ROI19" s="352"/>
      <c r="ROJ19" s="352"/>
      <c r="ROK19" s="352"/>
      <c r="ROL19" s="352"/>
      <c r="ROM19" s="352"/>
      <c r="RON19" s="352"/>
      <c r="ROO19" s="352"/>
      <c r="ROP19" s="352"/>
      <c r="ROQ19" s="352"/>
      <c r="ROR19" s="352"/>
      <c r="ROS19" s="352"/>
      <c r="ROT19" s="352"/>
      <c r="ROU19" s="352"/>
      <c r="ROV19" s="352"/>
      <c r="ROW19" s="352"/>
      <c r="ROX19" s="352"/>
      <c r="ROY19" s="352"/>
      <c r="ROZ19" s="352"/>
      <c r="RPA19" s="352"/>
      <c r="RPB19" s="352"/>
      <c r="RPC19" s="352"/>
      <c r="RPD19" s="352"/>
      <c r="RPE19" s="352"/>
      <c r="RPF19" s="352"/>
      <c r="RPG19" s="352"/>
      <c r="RPH19" s="352"/>
      <c r="RPI19" s="352"/>
      <c r="RPJ19" s="352"/>
      <c r="RPK19" s="352"/>
      <c r="RPL19" s="352"/>
      <c r="RPM19" s="352"/>
      <c r="RPN19" s="352"/>
      <c r="RPO19" s="352"/>
      <c r="RPP19" s="352"/>
      <c r="RPQ19" s="352"/>
      <c r="RPR19" s="352"/>
      <c r="RPS19" s="352"/>
      <c r="RPT19" s="352"/>
      <c r="RPU19" s="352"/>
      <c r="RPV19" s="352"/>
      <c r="RPW19" s="352"/>
      <c r="RPX19" s="352"/>
      <c r="RPY19" s="352"/>
      <c r="RPZ19" s="352"/>
      <c r="RQA19" s="352"/>
      <c r="RQB19" s="352"/>
      <c r="RQC19" s="352"/>
      <c r="RQD19" s="352"/>
      <c r="RQE19" s="352"/>
      <c r="RQF19" s="352"/>
      <c r="RQG19" s="352"/>
      <c r="RQH19" s="352"/>
      <c r="RQI19" s="352"/>
      <c r="RQJ19" s="352"/>
      <c r="RQK19" s="352"/>
      <c r="RQL19" s="352"/>
      <c r="RQM19" s="352"/>
      <c r="RQN19" s="352"/>
      <c r="RQO19" s="352"/>
      <c r="RQP19" s="352"/>
      <c r="RQQ19" s="352"/>
      <c r="RQR19" s="352"/>
      <c r="RQS19" s="352"/>
      <c r="RQT19" s="352"/>
      <c r="RQU19" s="352"/>
      <c r="RQV19" s="352"/>
      <c r="RQW19" s="352"/>
      <c r="RQX19" s="352"/>
      <c r="RQY19" s="352"/>
      <c r="RQZ19" s="352"/>
      <c r="RRA19" s="352"/>
      <c r="RRB19" s="352"/>
      <c r="RRC19" s="352"/>
      <c r="RRD19" s="352"/>
      <c r="RRE19" s="352"/>
      <c r="RRF19" s="352"/>
      <c r="RRG19" s="352"/>
      <c r="RRH19" s="352"/>
      <c r="RRI19" s="352"/>
      <c r="RRJ19" s="352"/>
      <c r="RRK19" s="352"/>
      <c r="RRL19" s="352"/>
      <c r="RRM19" s="352"/>
      <c r="RRN19" s="352"/>
      <c r="RRO19" s="352"/>
      <c r="RRP19" s="352"/>
      <c r="RRQ19" s="352"/>
      <c r="RRR19" s="352"/>
      <c r="RRS19" s="352"/>
      <c r="RRT19" s="352"/>
      <c r="RRU19" s="352"/>
      <c r="RRV19" s="352"/>
      <c r="RRW19" s="352"/>
      <c r="RRX19" s="352"/>
      <c r="RRY19" s="352"/>
      <c r="RRZ19" s="352"/>
      <c r="RSA19" s="352"/>
      <c r="RSB19" s="352"/>
      <c r="RSC19" s="352"/>
      <c r="RSD19" s="352"/>
      <c r="RSE19" s="352"/>
      <c r="RSF19" s="352"/>
      <c r="RSG19" s="352"/>
      <c r="RSH19" s="352"/>
      <c r="RSI19" s="352"/>
      <c r="RSJ19" s="352"/>
      <c r="RSK19" s="352"/>
      <c r="RSL19" s="352"/>
      <c r="RSM19" s="352"/>
      <c r="RSN19" s="352"/>
      <c r="RSO19" s="352"/>
      <c r="RSP19" s="352"/>
      <c r="RSQ19" s="352"/>
      <c r="RSR19" s="352"/>
      <c r="RSS19" s="352"/>
      <c r="RST19" s="352"/>
      <c r="RSU19" s="352"/>
      <c r="RSV19" s="352"/>
      <c r="RSW19" s="352"/>
      <c r="RSX19" s="352"/>
      <c r="RSY19" s="352"/>
      <c r="RSZ19" s="352"/>
      <c r="RTA19" s="352"/>
      <c r="RTB19" s="352"/>
      <c r="RTC19" s="352"/>
      <c r="RTD19" s="352"/>
      <c r="RTE19" s="352"/>
      <c r="RTF19" s="352"/>
      <c r="RTG19" s="352"/>
      <c r="RTH19" s="352"/>
      <c r="RTI19" s="352"/>
      <c r="RTJ19" s="352"/>
      <c r="RTK19" s="352"/>
      <c r="RTL19" s="352"/>
      <c r="RTM19" s="352"/>
      <c r="RTN19" s="352"/>
      <c r="RTO19" s="352"/>
      <c r="RTP19" s="352"/>
      <c r="RTQ19" s="352"/>
      <c r="RTR19" s="352"/>
      <c r="RTS19" s="352"/>
      <c r="RTT19" s="352"/>
      <c r="RTU19" s="352"/>
      <c r="RTV19" s="352"/>
      <c r="RTW19" s="352"/>
      <c r="RTX19" s="352"/>
      <c r="RTY19" s="352"/>
      <c r="RTZ19" s="352"/>
      <c r="RUA19" s="352"/>
      <c r="RUB19" s="352"/>
      <c r="RUC19" s="352"/>
      <c r="RUD19" s="352"/>
      <c r="RUE19" s="352"/>
      <c r="RUF19" s="352"/>
      <c r="RUG19" s="352"/>
      <c r="RUH19" s="352"/>
      <c r="RUI19" s="352"/>
      <c r="RUJ19" s="352"/>
      <c r="RUK19" s="352"/>
      <c r="RUL19" s="352"/>
      <c r="RUM19" s="352"/>
      <c r="RUN19" s="352"/>
      <c r="RUO19" s="352"/>
      <c r="RUP19" s="352"/>
      <c r="RUQ19" s="352"/>
      <c r="RUR19" s="352"/>
      <c r="RUS19" s="352"/>
      <c r="RUT19" s="352"/>
      <c r="RUU19" s="352"/>
      <c r="RUV19" s="352"/>
      <c r="RUW19" s="352"/>
      <c r="RUX19" s="352"/>
      <c r="RUY19" s="352"/>
      <c r="RUZ19" s="352"/>
      <c r="RVA19" s="352"/>
      <c r="RVB19" s="352"/>
      <c r="RVC19" s="352"/>
      <c r="RVD19" s="352"/>
      <c r="RVE19" s="352"/>
      <c r="RVF19" s="352"/>
      <c r="RVG19" s="352"/>
      <c r="RVH19" s="352"/>
      <c r="RVI19" s="352"/>
      <c r="RVJ19" s="352"/>
      <c r="RVK19" s="352"/>
      <c r="RVL19" s="352"/>
      <c r="RVM19" s="352"/>
      <c r="RVN19" s="352"/>
      <c r="RVO19" s="352"/>
      <c r="RVP19" s="352"/>
      <c r="RVQ19" s="352"/>
      <c r="RVR19" s="352"/>
      <c r="RVS19" s="352"/>
      <c r="RVT19" s="352"/>
      <c r="RVU19" s="352"/>
      <c r="RVV19" s="352"/>
      <c r="RVW19" s="352"/>
      <c r="RVX19" s="352"/>
      <c r="RVY19" s="352"/>
      <c r="RVZ19" s="352"/>
      <c r="RWA19" s="352"/>
      <c r="RWB19" s="352"/>
      <c r="RWC19" s="352"/>
      <c r="RWD19" s="352"/>
      <c r="RWE19" s="352"/>
      <c r="RWF19" s="352"/>
      <c r="RWG19" s="352"/>
      <c r="RWH19" s="352"/>
      <c r="RWI19" s="352"/>
      <c r="RWJ19" s="352"/>
      <c r="RWK19" s="352"/>
      <c r="RWL19" s="352"/>
      <c r="RWM19" s="352"/>
      <c r="RWN19" s="352"/>
      <c r="RWO19" s="352"/>
      <c r="RWP19" s="352"/>
      <c r="RWQ19" s="352"/>
      <c r="RWR19" s="352"/>
      <c r="RWS19" s="352"/>
      <c r="RWT19" s="352"/>
      <c r="RWU19" s="352"/>
      <c r="RWV19" s="352"/>
      <c r="RWW19" s="352"/>
      <c r="RWX19" s="352"/>
      <c r="RWY19" s="352"/>
      <c r="RWZ19" s="352"/>
      <c r="RXA19" s="352"/>
      <c r="RXB19" s="352"/>
      <c r="RXC19" s="352"/>
      <c r="RXD19" s="352"/>
      <c r="RXE19" s="352"/>
      <c r="RXF19" s="352"/>
      <c r="RXG19" s="352"/>
      <c r="RXH19" s="352"/>
      <c r="RXI19" s="352"/>
      <c r="RXJ19" s="352"/>
      <c r="RXK19" s="352"/>
      <c r="RXL19" s="352"/>
      <c r="RXM19" s="352"/>
      <c r="RXN19" s="352"/>
      <c r="RXO19" s="352"/>
      <c r="RXP19" s="352"/>
      <c r="RXQ19" s="352"/>
      <c r="RXR19" s="352"/>
      <c r="RXS19" s="352"/>
      <c r="RXT19" s="352"/>
      <c r="RXU19" s="352"/>
      <c r="RXV19" s="352"/>
      <c r="RXW19" s="352"/>
      <c r="RXX19" s="352"/>
      <c r="RXY19" s="352"/>
      <c r="RXZ19" s="352"/>
      <c r="RYA19" s="352"/>
      <c r="RYB19" s="352"/>
      <c r="RYC19" s="352"/>
      <c r="RYD19" s="352"/>
      <c r="RYE19" s="352"/>
      <c r="RYF19" s="352"/>
      <c r="RYG19" s="352"/>
      <c r="RYH19" s="352"/>
      <c r="RYI19" s="352"/>
      <c r="RYJ19" s="352"/>
      <c r="RYK19" s="352"/>
      <c r="RYL19" s="352"/>
      <c r="RYM19" s="352"/>
      <c r="RYN19" s="352"/>
      <c r="RYO19" s="352"/>
      <c r="RYP19" s="352"/>
      <c r="RYQ19" s="352"/>
      <c r="RYR19" s="352"/>
      <c r="RYS19" s="352"/>
      <c r="RYT19" s="352"/>
      <c r="RYU19" s="352"/>
      <c r="RYV19" s="352"/>
      <c r="RYW19" s="352"/>
      <c r="RYX19" s="352"/>
      <c r="RYY19" s="352"/>
      <c r="RYZ19" s="352"/>
      <c r="RZA19" s="352"/>
      <c r="RZB19" s="352"/>
      <c r="RZC19" s="352"/>
      <c r="RZD19" s="352"/>
      <c r="RZE19" s="352"/>
      <c r="RZF19" s="352"/>
      <c r="RZG19" s="352"/>
      <c r="RZH19" s="352"/>
      <c r="RZI19" s="352"/>
      <c r="RZJ19" s="352"/>
      <c r="RZK19" s="352"/>
      <c r="RZL19" s="352"/>
      <c r="RZM19" s="352"/>
      <c r="RZN19" s="352"/>
      <c r="RZO19" s="352"/>
      <c r="RZP19" s="352"/>
      <c r="RZQ19" s="352"/>
      <c r="RZR19" s="352"/>
      <c r="RZS19" s="352"/>
      <c r="RZT19" s="352"/>
      <c r="RZU19" s="352"/>
      <c r="RZV19" s="352"/>
      <c r="RZW19" s="352"/>
      <c r="RZX19" s="352"/>
      <c r="RZY19" s="352"/>
      <c r="RZZ19" s="352"/>
      <c r="SAA19" s="352"/>
      <c r="SAB19" s="352"/>
      <c r="SAC19" s="352"/>
      <c r="SAD19" s="352"/>
      <c r="SAE19" s="352"/>
      <c r="SAF19" s="352"/>
      <c r="SAG19" s="352"/>
      <c r="SAH19" s="352"/>
      <c r="SAI19" s="352"/>
      <c r="SAJ19" s="352"/>
      <c r="SAK19" s="352"/>
      <c r="SAL19" s="352"/>
      <c r="SAM19" s="352"/>
      <c r="SAN19" s="352"/>
      <c r="SAO19" s="352"/>
      <c r="SAP19" s="352"/>
      <c r="SAQ19" s="352"/>
      <c r="SAR19" s="352"/>
      <c r="SAS19" s="352"/>
      <c r="SAT19" s="352"/>
      <c r="SAU19" s="352"/>
      <c r="SAV19" s="352"/>
      <c r="SAW19" s="352"/>
      <c r="SAX19" s="352"/>
      <c r="SAY19" s="352"/>
      <c r="SAZ19" s="352"/>
      <c r="SBA19" s="352"/>
      <c r="SBB19" s="352"/>
      <c r="SBC19" s="352"/>
      <c r="SBD19" s="352"/>
      <c r="SBE19" s="352"/>
      <c r="SBF19" s="352"/>
      <c r="SBG19" s="352"/>
      <c r="SBH19" s="352"/>
      <c r="SBI19" s="352"/>
      <c r="SBJ19" s="352"/>
      <c r="SBK19" s="352"/>
      <c r="SBL19" s="352"/>
      <c r="SBM19" s="352"/>
      <c r="SBN19" s="352"/>
      <c r="SBO19" s="352"/>
      <c r="SBP19" s="352"/>
      <c r="SBQ19" s="352"/>
      <c r="SBR19" s="352"/>
      <c r="SBS19" s="352"/>
      <c r="SBT19" s="352"/>
      <c r="SBU19" s="352"/>
      <c r="SBV19" s="352"/>
      <c r="SBW19" s="352"/>
      <c r="SBX19" s="352"/>
      <c r="SBY19" s="352"/>
      <c r="SBZ19" s="352"/>
      <c r="SCA19" s="352"/>
      <c r="SCB19" s="352"/>
      <c r="SCC19" s="352"/>
      <c r="SCD19" s="352"/>
      <c r="SCE19" s="352"/>
      <c r="SCF19" s="352"/>
      <c r="SCG19" s="352"/>
      <c r="SCH19" s="352"/>
      <c r="SCI19" s="352"/>
      <c r="SCJ19" s="352"/>
      <c r="SCK19" s="352"/>
      <c r="SCL19" s="352"/>
      <c r="SCM19" s="352"/>
      <c r="SCN19" s="352"/>
      <c r="SCO19" s="352"/>
      <c r="SCP19" s="352"/>
      <c r="SCQ19" s="352"/>
      <c r="SCR19" s="352"/>
      <c r="SCS19" s="352"/>
      <c r="SCT19" s="352"/>
      <c r="SCU19" s="352"/>
      <c r="SCV19" s="352"/>
      <c r="SCW19" s="352"/>
      <c r="SCX19" s="352"/>
      <c r="SCY19" s="352"/>
      <c r="SCZ19" s="352"/>
      <c r="SDA19" s="352"/>
      <c r="SDB19" s="352"/>
      <c r="SDC19" s="352"/>
      <c r="SDD19" s="352"/>
      <c r="SDE19" s="352"/>
      <c r="SDF19" s="352"/>
      <c r="SDG19" s="352"/>
      <c r="SDH19" s="352"/>
      <c r="SDI19" s="352"/>
      <c r="SDJ19" s="352"/>
      <c r="SDK19" s="352"/>
      <c r="SDL19" s="352"/>
      <c r="SDM19" s="352"/>
      <c r="SDN19" s="352"/>
      <c r="SDO19" s="352"/>
      <c r="SDP19" s="352"/>
      <c r="SDQ19" s="352"/>
      <c r="SDR19" s="352"/>
      <c r="SDS19" s="352"/>
      <c r="SDT19" s="352"/>
      <c r="SDU19" s="352"/>
      <c r="SDV19" s="352"/>
      <c r="SDW19" s="352"/>
      <c r="SDX19" s="352"/>
      <c r="SDY19" s="352"/>
      <c r="SDZ19" s="352"/>
      <c r="SEA19" s="352"/>
      <c r="SEB19" s="352"/>
      <c r="SEC19" s="352"/>
      <c r="SED19" s="352"/>
      <c r="SEE19" s="352"/>
      <c r="SEF19" s="352"/>
      <c r="SEG19" s="352"/>
      <c r="SEH19" s="352"/>
      <c r="SEI19" s="352"/>
      <c r="SEJ19" s="352"/>
      <c r="SEK19" s="352"/>
      <c r="SEL19" s="352"/>
      <c r="SEM19" s="352"/>
      <c r="SEN19" s="352"/>
      <c r="SEO19" s="352"/>
      <c r="SEP19" s="352"/>
      <c r="SEQ19" s="352"/>
      <c r="SER19" s="352"/>
      <c r="SES19" s="352"/>
      <c r="SET19" s="352"/>
      <c r="SEU19" s="352"/>
      <c r="SEV19" s="352"/>
      <c r="SEW19" s="352"/>
      <c r="SEX19" s="352"/>
      <c r="SEY19" s="352"/>
      <c r="SEZ19" s="352"/>
      <c r="SFA19" s="352"/>
      <c r="SFB19" s="352"/>
      <c r="SFC19" s="352"/>
      <c r="SFD19" s="352"/>
      <c r="SFE19" s="352"/>
      <c r="SFF19" s="352"/>
      <c r="SFG19" s="352"/>
      <c r="SFH19" s="352"/>
      <c r="SFI19" s="352"/>
      <c r="SFJ19" s="352"/>
      <c r="SFK19" s="352"/>
      <c r="SFL19" s="352"/>
      <c r="SFM19" s="352"/>
      <c r="SFN19" s="352"/>
      <c r="SFO19" s="352"/>
      <c r="SFP19" s="352"/>
      <c r="SFQ19" s="352"/>
      <c r="SFR19" s="352"/>
      <c r="SFS19" s="352"/>
      <c r="SFT19" s="352"/>
      <c r="SFU19" s="352"/>
      <c r="SFV19" s="352"/>
      <c r="SFW19" s="352"/>
      <c r="SFX19" s="352"/>
      <c r="SFY19" s="352"/>
      <c r="SFZ19" s="352"/>
      <c r="SGA19" s="352"/>
      <c r="SGB19" s="352"/>
      <c r="SGC19" s="352"/>
      <c r="SGD19" s="352"/>
      <c r="SGE19" s="352"/>
      <c r="SGF19" s="352"/>
      <c r="SGG19" s="352"/>
      <c r="SGH19" s="352"/>
      <c r="SGI19" s="352"/>
      <c r="SGJ19" s="352"/>
      <c r="SGK19" s="352"/>
      <c r="SGL19" s="352"/>
      <c r="SGM19" s="352"/>
      <c r="SGN19" s="352"/>
      <c r="SGO19" s="352"/>
      <c r="SGP19" s="352"/>
      <c r="SGQ19" s="352"/>
      <c r="SGR19" s="352"/>
      <c r="SGS19" s="352"/>
      <c r="SGT19" s="352"/>
      <c r="SGU19" s="352"/>
      <c r="SGV19" s="352"/>
      <c r="SGW19" s="352"/>
      <c r="SGX19" s="352"/>
      <c r="SGY19" s="352"/>
      <c r="SGZ19" s="352"/>
      <c r="SHA19" s="352"/>
      <c r="SHB19" s="352"/>
      <c r="SHC19" s="352"/>
      <c r="SHD19" s="352"/>
      <c r="SHE19" s="352"/>
      <c r="SHF19" s="352"/>
      <c r="SHG19" s="352"/>
      <c r="SHH19" s="352"/>
      <c r="SHI19" s="352"/>
      <c r="SHJ19" s="352"/>
      <c r="SHK19" s="352"/>
      <c r="SHL19" s="352"/>
      <c r="SHM19" s="352"/>
      <c r="SHN19" s="352"/>
      <c r="SHO19" s="352"/>
      <c r="SHP19" s="352"/>
      <c r="SHQ19" s="352"/>
      <c r="SHR19" s="352"/>
      <c r="SHS19" s="352"/>
      <c r="SHT19" s="352"/>
      <c r="SHU19" s="352"/>
      <c r="SHV19" s="352"/>
      <c r="SHW19" s="352"/>
      <c r="SHX19" s="352"/>
      <c r="SHY19" s="352"/>
      <c r="SHZ19" s="352"/>
      <c r="SIA19" s="352"/>
      <c r="SIB19" s="352"/>
      <c r="SIC19" s="352"/>
      <c r="SID19" s="352"/>
      <c r="SIE19" s="352"/>
      <c r="SIF19" s="352"/>
      <c r="SIG19" s="352"/>
      <c r="SIH19" s="352"/>
      <c r="SII19" s="352"/>
      <c r="SIJ19" s="352"/>
      <c r="SIK19" s="352"/>
      <c r="SIL19" s="352"/>
      <c r="SIM19" s="352"/>
      <c r="SIN19" s="352"/>
      <c r="SIO19" s="352"/>
      <c r="SIP19" s="352"/>
      <c r="SIQ19" s="352"/>
      <c r="SIR19" s="352"/>
      <c r="SIS19" s="352"/>
      <c r="SIT19" s="352"/>
      <c r="SIU19" s="352"/>
      <c r="SIV19" s="352"/>
      <c r="SIW19" s="352"/>
      <c r="SIX19" s="352"/>
      <c r="SIY19" s="352"/>
      <c r="SIZ19" s="352"/>
      <c r="SJA19" s="352"/>
      <c r="SJB19" s="352"/>
      <c r="SJC19" s="352"/>
      <c r="SJD19" s="352"/>
      <c r="SJE19" s="352"/>
      <c r="SJF19" s="352"/>
      <c r="SJG19" s="352"/>
      <c r="SJH19" s="352"/>
      <c r="SJI19" s="352"/>
      <c r="SJJ19" s="352"/>
      <c r="SJK19" s="352"/>
      <c r="SJL19" s="352"/>
      <c r="SJM19" s="352"/>
      <c r="SJN19" s="352"/>
      <c r="SJO19" s="352"/>
      <c r="SJP19" s="352"/>
      <c r="SJQ19" s="352"/>
      <c r="SJR19" s="352"/>
      <c r="SJS19" s="352"/>
      <c r="SJT19" s="352"/>
      <c r="SJU19" s="352"/>
      <c r="SJV19" s="352"/>
      <c r="SJW19" s="352"/>
      <c r="SJX19" s="352"/>
      <c r="SJY19" s="352"/>
      <c r="SJZ19" s="352"/>
      <c r="SKA19" s="352"/>
      <c r="SKB19" s="352"/>
      <c r="SKC19" s="352"/>
      <c r="SKD19" s="352"/>
      <c r="SKE19" s="352"/>
      <c r="SKF19" s="352"/>
      <c r="SKG19" s="352"/>
      <c r="SKH19" s="352"/>
      <c r="SKI19" s="352"/>
      <c r="SKJ19" s="352"/>
      <c r="SKK19" s="352"/>
      <c r="SKL19" s="352"/>
      <c r="SKM19" s="352"/>
      <c r="SKN19" s="352"/>
      <c r="SKO19" s="352"/>
      <c r="SKP19" s="352"/>
      <c r="SKQ19" s="352"/>
      <c r="SKR19" s="352"/>
      <c r="SKS19" s="352"/>
      <c r="SKT19" s="352"/>
      <c r="SKU19" s="352"/>
      <c r="SKV19" s="352"/>
      <c r="SKW19" s="352"/>
      <c r="SKX19" s="352"/>
      <c r="SKY19" s="352"/>
      <c r="SKZ19" s="352"/>
      <c r="SLA19" s="352"/>
      <c r="SLB19" s="352"/>
      <c r="SLC19" s="352"/>
      <c r="SLD19" s="352"/>
      <c r="SLE19" s="352"/>
      <c r="SLF19" s="352"/>
      <c r="SLG19" s="352"/>
      <c r="SLH19" s="352"/>
      <c r="SLI19" s="352"/>
      <c r="SLJ19" s="352"/>
      <c r="SLK19" s="352"/>
      <c r="SLL19" s="352"/>
      <c r="SLM19" s="352"/>
      <c r="SLN19" s="352"/>
      <c r="SLO19" s="352"/>
      <c r="SLP19" s="352"/>
      <c r="SLQ19" s="352"/>
      <c r="SLR19" s="352"/>
      <c r="SLS19" s="352"/>
      <c r="SLT19" s="352"/>
      <c r="SLU19" s="352"/>
      <c r="SLV19" s="352"/>
      <c r="SLW19" s="352"/>
      <c r="SLX19" s="352"/>
      <c r="SLY19" s="352"/>
      <c r="SLZ19" s="352"/>
      <c r="SMA19" s="352"/>
      <c r="SMB19" s="352"/>
      <c r="SMC19" s="352"/>
      <c r="SMD19" s="352"/>
      <c r="SME19" s="352"/>
      <c r="SMF19" s="352"/>
      <c r="SMG19" s="352"/>
      <c r="SMH19" s="352"/>
      <c r="SMI19" s="352"/>
      <c r="SMJ19" s="352"/>
      <c r="SMK19" s="352"/>
      <c r="SML19" s="352"/>
      <c r="SMM19" s="352"/>
      <c r="SMN19" s="352"/>
      <c r="SMO19" s="352"/>
      <c r="SMP19" s="352"/>
      <c r="SMQ19" s="352"/>
      <c r="SMR19" s="352"/>
      <c r="SMS19" s="352"/>
      <c r="SMT19" s="352"/>
      <c r="SMU19" s="352"/>
      <c r="SMV19" s="352"/>
      <c r="SMW19" s="352"/>
      <c r="SMX19" s="352"/>
      <c r="SMY19" s="352"/>
      <c r="SMZ19" s="352"/>
      <c r="SNA19" s="352"/>
      <c r="SNB19" s="352"/>
      <c r="SNC19" s="352"/>
      <c r="SND19" s="352"/>
      <c r="SNE19" s="352"/>
      <c r="SNF19" s="352"/>
      <c r="SNG19" s="352"/>
      <c r="SNH19" s="352"/>
      <c r="SNI19" s="352"/>
      <c r="SNJ19" s="352"/>
      <c r="SNK19" s="352"/>
      <c r="SNL19" s="352"/>
      <c r="SNM19" s="352"/>
      <c r="SNN19" s="352"/>
      <c r="SNO19" s="352"/>
      <c r="SNP19" s="352"/>
      <c r="SNQ19" s="352"/>
      <c r="SNR19" s="352"/>
      <c r="SNS19" s="352"/>
      <c r="SNT19" s="352"/>
      <c r="SNU19" s="352"/>
      <c r="SNV19" s="352"/>
      <c r="SNW19" s="352"/>
      <c r="SNX19" s="352"/>
      <c r="SNY19" s="352"/>
      <c r="SNZ19" s="352"/>
      <c r="SOA19" s="352"/>
      <c r="SOB19" s="352"/>
      <c r="SOC19" s="352"/>
      <c r="SOD19" s="352"/>
      <c r="SOE19" s="352"/>
      <c r="SOF19" s="352"/>
      <c r="SOG19" s="352"/>
      <c r="SOH19" s="352"/>
      <c r="SOI19" s="352"/>
      <c r="SOJ19" s="352"/>
      <c r="SOK19" s="352"/>
      <c r="SOL19" s="352"/>
      <c r="SOM19" s="352"/>
      <c r="SON19" s="352"/>
      <c r="SOO19" s="352"/>
      <c r="SOP19" s="352"/>
      <c r="SOQ19" s="352"/>
      <c r="SOR19" s="352"/>
      <c r="SOS19" s="352"/>
      <c r="SOT19" s="352"/>
      <c r="SOU19" s="352"/>
      <c r="SOV19" s="352"/>
      <c r="SOW19" s="352"/>
      <c r="SOX19" s="352"/>
      <c r="SOY19" s="352"/>
      <c r="SOZ19" s="352"/>
      <c r="SPA19" s="352"/>
      <c r="SPB19" s="352"/>
      <c r="SPC19" s="352"/>
      <c r="SPD19" s="352"/>
      <c r="SPE19" s="352"/>
      <c r="SPF19" s="352"/>
      <c r="SPG19" s="352"/>
      <c r="SPH19" s="352"/>
      <c r="SPI19" s="352"/>
      <c r="SPJ19" s="352"/>
      <c r="SPK19" s="352"/>
      <c r="SPL19" s="352"/>
      <c r="SPM19" s="352"/>
      <c r="SPN19" s="352"/>
      <c r="SPO19" s="352"/>
      <c r="SPP19" s="352"/>
      <c r="SPQ19" s="352"/>
      <c r="SPR19" s="352"/>
      <c r="SPS19" s="352"/>
      <c r="SPT19" s="352"/>
      <c r="SPU19" s="352"/>
      <c r="SPV19" s="352"/>
      <c r="SPW19" s="352"/>
      <c r="SPX19" s="352"/>
      <c r="SPY19" s="352"/>
      <c r="SPZ19" s="352"/>
      <c r="SQA19" s="352"/>
      <c r="SQB19" s="352"/>
      <c r="SQC19" s="352"/>
      <c r="SQD19" s="352"/>
      <c r="SQE19" s="352"/>
      <c r="SQF19" s="352"/>
      <c r="SQG19" s="352"/>
      <c r="SQH19" s="352"/>
      <c r="SQI19" s="352"/>
      <c r="SQJ19" s="352"/>
      <c r="SQK19" s="352"/>
      <c r="SQL19" s="352"/>
      <c r="SQM19" s="352"/>
      <c r="SQN19" s="352"/>
      <c r="SQO19" s="352"/>
      <c r="SQP19" s="352"/>
      <c r="SQQ19" s="352"/>
      <c r="SQR19" s="352"/>
      <c r="SQS19" s="352"/>
      <c r="SQT19" s="352"/>
      <c r="SQU19" s="352"/>
      <c r="SQV19" s="352"/>
      <c r="SQW19" s="352"/>
      <c r="SQX19" s="352"/>
      <c r="SQY19" s="352"/>
      <c r="SQZ19" s="352"/>
      <c r="SRA19" s="352"/>
      <c r="SRB19" s="352"/>
      <c r="SRC19" s="352"/>
      <c r="SRD19" s="352"/>
      <c r="SRE19" s="352"/>
      <c r="SRF19" s="352"/>
      <c r="SRG19" s="352"/>
      <c r="SRH19" s="352"/>
      <c r="SRI19" s="352"/>
      <c r="SRJ19" s="352"/>
      <c r="SRK19" s="352"/>
      <c r="SRL19" s="352"/>
      <c r="SRM19" s="352"/>
      <c r="SRN19" s="352"/>
      <c r="SRO19" s="352"/>
      <c r="SRP19" s="352"/>
      <c r="SRQ19" s="352"/>
      <c r="SRR19" s="352"/>
      <c r="SRS19" s="352"/>
      <c r="SRT19" s="352"/>
      <c r="SRU19" s="352"/>
      <c r="SRV19" s="352"/>
      <c r="SRW19" s="352"/>
      <c r="SRX19" s="352"/>
      <c r="SRY19" s="352"/>
      <c r="SRZ19" s="352"/>
      <c r="SSA19" s="352"/>
      <c r="SSB19" s="352"/>
      <c r="SSC19" s="352"/>
      <c r="SSD19" s="352"/>
      <c r="SSE19" s="352"/>
      <c r="SSF19" s="352"/>
      <c r="SSG19" s="352"/>
      <c r="SSH19" s="352"/>
      <c r="SSI19" s="352"/>
      <c r="SSJ19" s="352"/>
      <c r="SSK19" s="352"/>
      <c r="SSL19" s="352"/>
      <c r="SSM19" s="352"/>
      <c r="SSN19" s="352"/>
      <c r="SSO19" s="352"/>
      <c r="SSP19" s="352"/>
      <c r="SSQ19" s="352"/>
      <c r="SSR19" s="352"/>
      <c r="SSS19" s="352"/>
      <c r="SST19" s="352"/>
      <c r="SSU19" s="352"/>
      <c r="SSV19" s="352"/>
      <c r="SSW19" s="352"/>
      <c r="SSX19" s="352"/>
      <c r="SSY19" s="352"/>
      <c r="SSZ19" s="352"/>
      <c r="STA19" s="352"/>
      <c r="STB19" s="352"/>
      <c r="STC19" s="352"/>
      <c r="STD19" s="352"/>
      <c r="STE19" s="352"/>
      <c r="STF19" s="352"/>
      <c r="STG19" s="352"/>
      <c r="STH19" s="352"/>
      <c r="STI19" s="352"/>
      <c r="STJ19" s="352"/>
      <c r="STK19" s="352"/>
      <c r="STL19" s="352"/>
      <c r="STM19" s="352"/>
      <c r="STN19" s="352"/>
      <c r="STO19" s="352"/>
      <c r="STP19" s="352"/>
      <c r="STQ19" s="352"/>
      <c r="STR19" s="352"/>
      <c r="STS19" s="352"/>
      <c r="STT19" s="352"/>
      <c r="STU19" s="352"/>
      <c r="STV19" s="352"/>
      <c r="STW19" s="352"/>
      <c r="STX19" s="352"/>
      <c r="STY19" s="352"/>
      <c r="STZ19" s="352"/>
      <c r="SUA19" s="352"/>
      <c r="SUB19" s="352"/>
      <c r="SUC19" s="352"/>
      <c r="SUD19" s="352"/>
      <c r="SUE19" s="352"/>
      <c r="SUF19" s="352"/>
      <c r="SUG19" s="352"/>
      <c r="SUH19" s="352"/>
      <c r="SUI19" s="352"/>
      <c r="SUJ19" s="352"/>
      <c r="SUK19" s="352"/>
      <c r="SUL19" s="352"/>
      <c r="SUM19" s="352"/>
      <c r="SUN19" s="352"/>
      <c r="SUO19" s="352"/>
      <c r="SUP19" s="352"/>
      <c r="SUQ19" s="352"/>
      <c r="SUR19" s="352"/>
      <c r="SUS19" s="352"/>
      <c r="SUT19" s="352"/>
      <c r="SUU19" s="352"/>
      <c r="SUV19" s="352"/>
      <c r="SUW19" s="352"/>
      <c r="SUX19" s="352"/>
      <c r="SUY19" s="352"/>
      <c r="SUZ19" s="352"/>
      <c r="SVA19" s="352"/>
      <c r="SVB19" s="352"/>
      <c r="SVC19" s="352"/>
      <c r="SVD19" s="352"/>
      <c r="SVE19" s="352"/>
      <c r="SVF19" s="352"/>
      <c r="SVG19" s="352"/>
      <c r="SVH19" s="352"/>
      <c r="SVI19" s="352"/>
      <c r="SVJ19" s="352"/>
      <c r="SVK19" s="352"/>
      <c r="SVL19" s="352"/>
      <c r="SVM19" s="352"/>
      <c r="SVN19" s="352"/>
      <c r="SVO19" s="352"/>
      <c r="SVP19" s="352"/>
      <c r="SVQ19" s="352"/>
      <c r="SVR19" s="352"/>
      <c r="SVS19" s="352"/>
      <c r="SVT19" s="352"/>
      <c r="SVU19" s="352"/>
      <c r="SVV19" s="352"/>
      <c r="SVW19" s="352"/>
      <c r="SVX19" s="352"/>
      <c r="SVY19" s="352"/>
      <c r="SVZ19" s="352"/>
      <c r="SWA19" s="352"/>
      <c r="SWB19" s="352"/>
      <c r="SWC19" s="352"/>
      <c r="SWD19" s="352"/>
      <c r="SWE19" s="352"/>
      <c r="SWF19" s="352"/>
      <c r="SWG19" s="352"/>
      <c r="SWH19" s="352"/>
      <c r="SWI19" s="352"/>
      <c r="SWJ19" s="352"/>
      <c r="SWK19" s="352"/>
      <c r="SWL19" s="352"/>
      <c r="SWM19" s="352"/>
      <c r="SWN19" s="352"/>
      <c r="SWO19" s="352"/>
      <c r="SWP19" s="352"/>
      <c r="SWQ19" s="352"/>
      <c r="SWR19" s="352"/>
      <c r="SWS19" s="352"/>
      <c r="SWT19" s="352"/>
      <c r="SWU19" s="352"/>
      <c r="SWV19" s="352"/>
      <c r="SWW19" s="352"/>
      <c r="SWX19" s="352"/>
      <c r="SWY19" s="352"/>
      <c r="SWZ19" s="352"/>
      <c r="SXA19" s="352"/>
      <c r="SXB19" s="352"/>
      <c r="SXC19" s="352"/>
      <c r="SXD19" s="352"/>
      <c r="SXE19" s="352"/>
      <c r="SXF19" s="352"/>
      <c r="SXG19" s="352"/>
      <c r="SXH19" s="352"/>
      <c r="SXI19" s="352"/>
      <c r="SXJ19" s="352"/>
      <c r="SXK19" s="352"/>
      <c r="SXL19" s="352"/>
      <c r="SXM19" s="352"/>
      <c r="SXN19" s="352"/>
      <c r="SXO19" s="352"/>
      <c r="SXP19" s="352"/>
      <c r="SXQ19" s="352"/>
      <c r="SXR19" s="352"/>
      <c r="SXS19" s="352"/>
      <c r="SXT19" s="352"/>
      <c r="SXU19" s="352"/>
      <c r="SXV19" s="352"/>
      <c r="SXW19" s="352"/>
      <c r="SXX19" s="352"/>
      <c r="SXY19" s="352"/>
      <c r="SXZ19" s="352"/>
      <c r="SYA19" s="352"/>
      <c r="SYB19" s="352"/>
      <c r="SYC19" s="352"/>
      <c r="SYD19" s="352"/>
      <c r="SYE19" s="352"/>
      <c r="SYF19" s="352"/>
      <c r="SYG19" s="352"/>
      <c r="SYH19" s="352"/>
      <c r="SYI19" s="352"/>
      <c r="SYJ19" s="352"/>
      <c r="SYK19" s="352"/>
      <c r="SYL19" s="352"/>
      <c r="SYM19" s="352"/>
      <c r="SYN19" s="352"/>
      <c r="SYO19" s="352"/>
      <c r="SYP19" s="352"/>
      <c r="SYQ19" s="352"/>
      <c r="SYR19" s="352"/>
      <c r="SYS19" s="352"/>
      <c r="SYT19" s="352"/>
      <c r="SYU19" s="352"/>
      <c r="SYV19" s="352"/>
      <c r="SYW19" s="352"/>
      <c r="SYX19" s="352"/>
      <c r="SYY19" s="352"/>
      <c r="SYZ19" s="352"/>
      <c r="SZA19" s="352"/>
      <c r="SZB19" s="352"/>
      <c r="SZC19" s="352"/>
      <c r="SZD19" s="352"/>
      <c r="SZE19" s="352"/>
      <c r="SZF19" s="352"/>
      <c r="SZG19" s="352"/>
      <c r="SZH19" s="352"/>
      <c r="SZI19" s="352"/>
      <c r="SZJ19" s="352"/>
      <c r="SZK19" s="352"/>
      <c r="SZL19" s="352"/>
      <c r="SZM19" s="352"/>
      <c r="SZN19" s="352"/>
      <c r="SZO19" s="352"/>
      <c r="SZP19" s="352"/>
      <c r="SZQ19" s="352"/>
      <c r="SZR19" s="352"/>
      <c r="SZS19" s="352"/>
      <c r="SZT19" s="352"/>
      <c r="SZU19" s="352"/>
      <c r="SZV19" s="352"/>
      <c r="SZW19" s="352"/>
      <c r="SZX19" s="352"/>
      <c r="SZY19" s="352"/>
      <c r="SZZ19" s="352"/>
      <c r="TAA19" s="352"/>
      <c r="TAB19" s="352"/>
      <c r="TAC19" s="352"/>
      <c r="TAD19" s="352"/>
      <c r="TAE19" s="352"/>
      <c r="TAF19" s="352"/>
      <c r="TAG19" s="352"/>
      <c r="TAH19" s="352"/>
      <c r="TAI19" s="352"/>
      <c r="TAJ19" s="352"/>
      <c r="TAK19" s="352"/>
      <c r="TAL19" s="352"/>
      <c r="TAM19" s="352"/>
      <c r="TAN19" s="352"/>
      <c r="TAO19" s="352"/>
      <c r="TAP19" s="352"/>
      <c r="TAQ19" s="352"/>
      <c r="TAR19" s="352"/>
      <c r="TAS19" s="352"/>
      <c r="TAT19" s="352"/>
      <c r="TAU19" s="352"/>
      <c r="TAV19" s="352"/>
      <c r="TAW19" s="352"/>
      <c r="TAX19" s="352"/>
      <c r="TAY19" s="352"/>
      <c r="TAZ19" s="352"/>
      <c r="TBA19" s="352"/>
      <c r="TBB19" s="352"/>
      <c r="TBC19" s="352"/>
      <c r="TBD19" s="352"/>
      <c r="TBE19" s="352"/>
      <c r="TBF19" s="352"/>
      <c r="TBG19" s="352"/>
      <c r="TBH19" s="352"/>
      <c r="TBI19" s="352"/>
      <c r="TBJ19" s="352"/>
      <c r="TBK19" s="352"/>
      <c r="TBL19" s="352"/>
      <c r="TBM19" s="352"/>
      <c r="TBN19" s="352"/>
      <c r="TBO19" s="352"/>
      <c r="TBP19" s="352"/>
      <c r="TBQ19" s="352"/>
      <c r="TBR19" s="352"/>
      <c r="TBS19" s="352"/>
      <c r="TBT19" s="352"/>
      <c r="TBU19" s="352"/>
      <c r="TBV19" s="352"/>
      <c r="TBW19" s="352"/>
      <c r="TBX19" s="352"/>
      <c r="TBY19" s="352"/>
      <c r="TBZ19" s="352"/>
      <c r="TCA19" s="352"/>
      <c r="TCB19" s="352"/>
      <c r="TCC19" s="352"/>
      <c r="TCD19" s="352"/>
      <c r="TCE19" s="352"/>
      <c r="TCF19" s="352"/>
      <c r="TCG19" s="352"/>
      <c r="TCH19" s="352"/>
      <c r="TCI19" s="352"/>
      <c r="TCJ19" s="352"/>
      <c r="TCK19" s="352"/>
      <c r="TCL19" s="352"/>
      <c r="TCM19" s="352"/>
      <c r="TCN19" s="352"/>
      <c r="TCO19" s="352"/>
      <c r="TCP19" s="352"/>
      <c r="TCQ19" s="352"/>
      <c r="TCR19" s="352"/>
      <c r="TCS19" s="352"/>
      <c r="TCT19" s="352"/>
      <c r="TCU19" s="352"/>
      <c r="TCV19" s="352"/>
      <c r="TCW19" s="352"/>
      <c r="TCX19" s="352"/>
      <c r="TCY19" s="352"/>
      <c r="TCZ19" s="352"/>
      <c r="TDA19" s="352"/>
      <c r="TDB19" s="352"/>
      <c r="TDC19" s="352"/>
      <c r="TDD19" s="352"/>
      <c r="TDE19" s="352"/>
      <c r="TDF19" s="352"/>
      <c r="TDG19" s="352"/>
      <c r="TDH19" s="352"/>
      <c r="TDI19" s="352"/>
      <c r="TDJ19" s="352"/>
      <c r="TDK19" s="352"/>
      <c r="TDL19" s="352"/>
      <c r="TDM19" s="352"/>
      <c r="TDN19" s="352"/>
      <c r="TDO19" s="352"/>
      <c r="TDP19" s="352"/>
      <c r="TDQ19" s="352"/>
      <c r="TDR19" s="352"/>
      <c r="TDS19" s="352"/>
      <c r="TDT19" s="352"/>
      <c r="TDU19" s="352"/>
      <c r="TDV19" s="352"/>
      <c r="TDW19" s="352"/>
      <c r="TDX19" s="352"/>
      <c r="TDY19" s="352"/>
      <c r="TDZ19" s="352"/>
      <c r="TEA19" s="352"/>
      <c r="TEB19" s="352"/>
      <c r="TEC19" s="352"/>
      <c r="TED19" s="352"/>
      <c r="TEE19" s="352"/>
      <c r="TEF19" s="352"/>
      <c r="TEG19" s="352"/>
      <c r="TEH19" s="352"/>
      <c r="TEI19" s="352"/>
      <c r="TEJ19" s="352"/>
      <c r="TEK19" s="352"/>
      <c r="TEL19" s="352"/>
      <c r="TEM19" s="352"/>
      <c r="TEN19" s="352"/>
      <c r="TEO19" s="352"/>
      <c r="TEP19" s="352"/>
      <c r="TEQ19" s="352"/>
      <c r="TER19" s="352"/>
      <c r="TES19" s="352"/>
      <c r="TET19" s="352"/>
      <c r="TEU19" s="352"/>
      <c r="TEV19" s="352"/>
      <c r="TEW19" s="352"/>
      <c r="TEX19" s="352"/>
      <c r="TEY19" s="352"/>
      <c r="TEZ19" s="352"/>
      <c r="TFA19" s="352"/>
      <c r="TFB19" s="352"/>
      <c r="TFC19" s="352"/>
      <c r="TFD19" s="352"/>
      <c r="TFE19" s="352"/>
      <c r="TFF19" s="352"/>
      <c r="TFG19" s="352"/>
      <c r="TFH19" s="352"/>
      <c r="TFI19" s="352"/>
      <c r="TFJ19" s="352"/>
      <c r="TFK19" s="352"/>
      <c r="TFL19" s="352"/>
      <c r="TFM19" s="352"/>
      <c r="TFN19" s="352"/>
      <c r="TFO19" s="352"/>
      <c r="TFP19" s="352"/>
      <c r="TFQ19" s="352"/>
      <c r="TFR19" s="352"/>
      <c r="TFS19" s="352"/>
      <c r="TFT19" s="352"/>
      <c r="TFU19" s="352"/>
      <c r="TFV19" s="352"/>
      <c r="TFW19" s="352"/>
      <c r="TFX19" s="352"/>
      <c r="TFY19" s="352"/>
      <c r="TFZ19" s="352"/>
      <c r="TGA19" s="352"/>
      <c r="TGB19" s="352"/>
      <c r="TGC19" s="352"/>
      <c r="TGD19" s="352"/>
      <c r="TGE19" s="352"/>
      <c r="TGF19" s="352"/>
      <c r="TGG19" s="352"/>
      <c r="TGH19" s="352"/>
      <c r="TGI19" s="352"/>
      <c r="TGJ19" s="352"/>
      <c r="TGK19" s="352"/>
      <c r="TGL19" s="352"/>
      <c r="TGM19" s="352"/>
      <c r="TGN19" s="352"/>
      <c r="TGO19" s="352"/>
      <c r="TGP19" s="352"/>
      <c r="TGQ19" s="352"/>
      <c r="TGR19" s="352"/>
      <c r="TGS19" s="352"/>
      <c r="TGT19" s="352"/>
      <c r="TGU19" s="352"/>
      <c r="TGV19" s="352"/>
      <c r="TGW19" s="352"/>
      <c r="TGX19" s="352"/>
      <c r="TGY19" s="352"/>
      <c r="TGZ19" s="352"/>
      <c r="THA19" s="352"/>
      <c r="THB19" s="352"/>
      <c r="THC19" s="352"/>
      <c r="THD19" s="352"/>
      <c r="THE19" s="352"/>
      <c r="THF19" s="352"/>
      <c r="THG19" s="352"/>
      <c r="THH19" s="352"/>
      <c r="THI19" s="352"/>
      <c r="THJ19" s="352"/>
      <c r="THK19" s="352"/>
      <c r="THL19" s="352"/>
      <c r="THM19" s="352"/>
      <c r="THN19" s="352"/>
      <c r="THO19" s="352"/>
      <c r="THP19" s="352"/>
      <c r="THQ19" s="352"/>
      <c r="THR19" s="352"/>
      <c r="THS19" s="352"/>
      <c r="THT19" s="352"/>
      <c r="THU19" s="352"/>
      <c r="THV19" s="352"/>
      <c r="THW19" s="352"/>
      <c r="THX19" s="352"/>
      <c r="THY19" s="352"/>
      <c r="THZ19" s="352"/>
      <c r="TIA19" s="352"/>
      <c r="TIB19" s="352"/>
      <c r="TIC19" s="352"/>
      <c r="TID19" s="352"/>
      <c r="TIE19" s="352"/>
      <c r="TIF19" s="352"/>
      <c r="TIG19" s="352"/>
      <c r="TIH19" s="352"/>
      <c r="TII19" s="352"/>
      <c r="TIJ19" s="352"/>
      <c r="TIK19" s="352"/>
      <c r="TIL19" s="352"/>
      <c r="TIM19" s="352"/>
      <c r="TIN19" s="352"/>
      <c r="TIO19" s="352"/>
      <c r="TIP19" s="352"/>
      <c r="TIQ19" s="352"/>
      <c r="TIR19" s="352"/>
      <c r="TIS19" s="352"/>
      <c r="TIT19" s="352"/>
      <c r="TIU19" s="352"/>
      <c r="TIV19" s="352"/>
      <c r="TIW19" s="352"/>
      <c r="TIX19" s="352"/>
      <c r="TIY19" s="352"/>
      <c r="TIZ19" s="352"/>
      <c r="TJA19" s="352"/>
      <c r="TJB19" s="352"/>
      <c r="TJC19" s="352"/>
      <c r="TJD19" s="352"/>
      <c r="TJE19" s="352"/>
      <c r="TJF19" s="352"/>
      <c r="TJG19" s="352"/>
      <c r="TJH19" s="352"/>
      <c r="TJI19" s="352"/>
      <c r="TJJ19" s="352"/>
      <c r="TJK19" s="352"/>
      <c r="TJL19" s="352"/>
      <c r="TJM19" s="352"/>
      <c r="TJN19" s="352"/>
      <c r="TJO19" s="352"/>
      <c r="TJP19" s="352"/>
      <c r="TJQ19" s="352"/>
      <c r="TJR19" s="352"/>
      <c r="TJS19" s="352"/>
      <c r="TJT19" s="352"/>
      <c r="TJU19" s="352"/>
      <c r="TJV19" s="352"/>
      <c r="TJW19" s="352"/>
      <c r="TJX19" s="352"/>
      <c r="TJY19" s="352"/>
      <c r="TJZ19" s="352"/>
      <c r="TKA19" s="352"/>
      <c r="TKB19" s="352"/>
      <c r="TKC19" s="352"/>
      <c r="TKD19" s="352"/>
      <c r="TKE19" s="352"/>
      <c r="TKF19" s="352"/>
      <c r="TKG19" s="352"/>
      <c r="TKH19" s="352"/>
      <c r="TKI19" s="352"/>
      <c r="TKJ19" s="352"/>
      <c r="TKK19" s="352"/>
      <c r="TKL19" s="352"/>
      <c r="TKM19" s="352"/>
      <c r="TKN19" s="352"/>
      <c r="TKO19" s="352"/>
      <c r="TKP19" s="352"/>
      <c r="TKQ19" s="352"/>
      <c r="TKR19" s="352"/>
      <c r="TKS19" s="352"/>
      <c r="TKT19" s="352"/>
      <c r="TKU19" s="352"/>
      <c r="TKV19" s="352"/>
      <c r="TKW19" s="352"/>
      <c r="TKX19" s="352"/>
      <c r="TKY19" s="352"/>
      <c r="TKZ19" s="352"/>
      <c r="TLA19" s="352"/>
      <c r="TLB19" s="352"/>
      <c r="TLC19" s="352"/>
      <c r="TLD19" s="352"/>
      <c r="TLE19" s="352"/>
      <c r="TLF19" s="352"/>
      <c r="TLG19" s="352"/>
      <c r="TLH19" s="352"/>
      <c r="TLI19" s="352"/>
      <c r="TLJ19" s="352"/>
      <c r="TLK19" s="352"/>
      <c r="TLL19" s="352"/>
      <c r="TLM19" s="352"/>
      <c r="TLN19" s="352"/>
      <c r="TLO19" s="352"/>
      <c r="TLP19" s="352"/>
      <c r="TLQ19" s="352"/>
      <c r="TLR19" s="352"/>
      <c r="TLS19" s="352"/>
      <c r="TLT19" s="352"/>
      <c r="TLU19" s="352"/>
      <c r="TLV19" s="352"/>
      <c r="TLW19" s="352"/>
      <c r="TLX19" s="352"/>
      <c r="TLY19" s="352"/>
      <c r="TLZ19" s="352"/>
      <c r="TMA19" s="352"/>
      <c r="TMB19" s="352"/>
      <c r="TMC19" s="352"/>
      <c r="TMD19" s="352"/>
      <c r="TME19" s="352"/>
      <c r="TMF19" s="352"/>
      <c r="TMG19" s="352"/>
      <c r="TMH19" s="352"/>
      <c r="TMI19" s="352"/>
      <c r="TMJ19" s="352"/>
      <c r="TMK19" s="352"/>
      <c r="TML19" s="352"/>
      <c r="TMM19" s="352"/>
      <c r="TMN19" s="352"/>
      <c r="TMO19" s="352"/>
      <c r="TMP19" s="352"/>
      <c r="TMQ19" s="352"/>
      <c r="TMR19" s="352"/>
      <c r="TMS19" s="352"/>
      <c r="TMT19" s="352"/>
      <c r="TMU19" s="352"/>
      <c r="TMV19" s="352"/>
      <c r="TMW19" s="352"/>
      <c r="TMX19" s="352"/>
      <c r="TMY19" s="352"/>
      <c r="TMZ19" s="352"/>
      <c r="TNA19" s="352"/>
      <c r="TNB19" s="352"/>
      <c r="TNC19" s="352"/>
      <c r="TND19" s="352"/>
      <c r="TNE19" s="352"/>
      <c r="TNF19" s="352"/>
      <c r="TNG19" s="352"/>
      <c r="TNH19" s="352"/>
      <c r="TNI19" s="352"/>
      <c r="TNJ19" s="352"/>
      <c r="TNK19" s="352"/>
      <c r="TNL19" s="352"/>
      <c r="TNM19" s="352"/>
      <c r="TNN19" s="352"/>
      <c r="TNO19" s="352"/>
      <c r="TNP19" s="352"/>
      <c r="TNQ19" s="352"/>
      <c r="TNR19" s="352"/>
      <c r="TNS19" s="352"/>
      <c r="TNT19" s="352"/>
      <c r="TNU19" s="352"/>
      <c r="TNV19" s="352"/>
      <c r="TNW19" s="352"/>
      <c r="TNX19" s="352"/>
      <c r="TNY19" s="352"/>
      <c r="TNZ19" s="352"/>
      <c r="TOA19" s="352"/>
      <c r="TOB19" s="352"/>
      <c r="TOC19" s="352"/>
      <c r="TOD19" s="352"/>
      <c r="TOE19" s="352"/>
      <c r="TOF19" s="352"/>
      <c r="TOG19" s="352"/>
      <c r="TOH19" s="352"/>
      <c r="TOI19" s="352"/>
      <c r="TOJ19" s="352"/>
      <c r="TOK19" s="352"/>
      <c r="TOL19" s="352"/>
      <c r="TOM19" s="352"/>
      <c r="TON19" s="352"/>
      <c r="TOO19" s="352"/>
      <c r="TOP19" s="352"/>
      <c r="TOQ19" s="352"/>
      <c r="TOR19" s="352"/>
      <c r="TOS19" s="352"/>
      <c r="TOT19" s="352"/>
      <c r="TOU19" s="352"/>
      <c r="TOV19" s="352"/>
      <c r="TOW19" s="352"/>
      <c r="TOX19" s="352"/>
      <c r="TOY19" s="352"/>
      <c r="TOZ19" s="352"/>
      <c r="TPA19" s="352"/>
      <c r="TPB19" s="352"/>
      <c r="TPC19" s="352"/>
      <c r="TPD19" s="352"/>
      <c r="TPE19" s="352"/>
      <c r="TPF19" s="352"/>
      <c r="TPG19" s="352"/>
      <c r="TPH19" s="352"/>
      <c r="TPI19" s="352"/>
      <c r="TPJ19" s="352"/>
      <c r="TPK19" s="352"/>
      <c r="TPL19" s="352"/>
      <c r="TPM19" s="352"/>
      <c r="TPN19" s="352"/>
      <c r="TPO19" s="352"/>
      <c r="TPP19" s="352"/>
      <c r="TPQ19" s="352"/>
      <c r="TPR19" s="352"/>
      <c r="TPS19" s="352"/>
      <c r="TPT19" s="352"/>
      <c r="TPU19" s="352"/>
      <c r="TPV19" s="352"/>
      <c r="TPW19" s="352"/>
      <c r="TPX19" s="352"/>
      <c r="TPY19" s="352"/>
      <c r="TPZ19" s="352"/>
      <c r="TQA19" s="352"/>
      <c r="TQB19" s="352"/>
      <c r="TQC19" s="352"/>
      <c r="TQD19" s="352"/>
      <c r="TQE19" s="352"/>
      <c r="TQF19" s="352"/>
      <c r="TQG19" s="352"/>
      <c r="TQH19" s="352"/>
      <c r="TQI19" s="352"/>
      <c r="TQJ19" s="352"/>
      <c r="TQK19" s="352"/>
      <c r="TQL19" s="352"/>
      <c r="TQM19" s="352"/>
      <c r="TQN19" s="352"/>
      <c r="TQO19" s="352"/>
      <c r="TQP19" s="352"/>
      <c r="TQQ19" s="352"/>
      <c r="TQR19" s="352"/>
      <c r="TQS19" s="352"/>
      <c r="TQT19" s="352"/>
      <c r="TQU19" s="352"/>
      <c r="TQV19" s="352"/>
      <c r="TQW19" s="352"/>
      <c r="TQX19" s="352"/>
      <c r="TQY19" s="352"/>
      <c r="TQZ19" s="352"/>
      <c r="TRA19" s="352"/>
      <c r="TRB19" s="352"/>
      <c r="TRC19" s="352"/>
      <c r="TRD19" s="352"/>
      <c r="TRE19" s="352"/>
      <c r="TRF19" s="352"/>
      <c r="TRG19" s="352"/>
      <c r="TRH19" s="352"/>
      <c r="TRI19" s="352"/>
      <c r="TRJ19" s="352"/>
      <c r="TRK19" s="352"/>
      <c r="TRL19" s="352"/>
      <c r="TRM19" s="352"/>
      <c r="TRN19" s="352"/>
      <c r="TRO19" s="352"/>
      <c r="TRP19" s="352"/>
      <c r="TRQ19" s="352"/>
      <c r="TRR19" s="352"/>
      <c r="TRS19" s="352"/>
      <c r="TRT19" s="352"/>
      <c r="TRU19" s="352"/>
      <c r="TRV19" s="352"/>
      <c r="TRW19" s="352"/>
      <c r="TRX19" s="352"/>
      <c r="TRY19" s="352"/>
      <c r="TRZ19" s="352"/>
      <c r="TSA19" s="352"/>
      <c r="TSB19" s="352"/>
      <c r="TSC19" s="352"/>
      <c r="TSD19" s="352"/>
      <c r="TSE19" s="352"/>
      <c r="TSF19" s="352"/>
      <c r="TSG19" s="352"/>
      <c r="TSH19" s="352"/>
      <c r="TSI19" s="352"/>
      <c r="TSJ19" s="352"/>
      <c r="TSK19" s="352"/>
      <c r="TSL19" s="352"/>
      <c r="TSM19" s="352"/>
      <c r="TSN19" s="352"/>
      <c r="TSO19" s="352"/>
      <c r="TSP19" s="352"/>
      <c r="TSQ19" s="352"/>
      <c r="TSR19" s="352"/>
      <c r="TSS19" s="352"/>
      <c r="TST19" s="352"/>
      <c r="TSU19" s="352"/>
      <c r="TSV19" s="352"/>
      <c r="TSW19" s="352"/>
      <c r="TSX19" s="352"/>
      <c r="TSY19" s="352"/>
      <c r="TSZ19" s="352"/>
      <c r="TTA19" s="352"/>
      <c r="TTB19" s="352"/>
      <c r="TTC19" s="352"/>
      <c r="TTD19" s="352"/>
      <c r="TTE19" s="352"/>
      <c r="TTF19" s="352"/>
      <c r="TTG19" s="352"/>
      <c r="TTH19" s="352"/>
      <c r="TTI19" s="352"/>
      <c r="TTJ19" s="352"/>
      <c r="TTK19" s="352"/>
      <c r="TTL19" s="352"/>
      <c r="TTM19" s="352"/>
      <c r="TTN19" s="352"/>
      <c r="TTO19" s="352"/>
      <c r="TTP19" s="352"/>
      <c r="TTQ19" s="352"/>
      <c r="TTR19" s="352"/>
      <c r="TTS19" s="352"/>
      <c r="TTT19" s="352"/>
      <c r="TTU19" s="352"/>
      <c r="TTV19" s="352"/>
      <c r="TTW19" s="352"/>
      <c r="TTX19" s="352"/>
      <c r="TTY19" s="352"/>
      <c r="TTZ19" s="352"/>
      <c r="TUA19" s="352"/>
      <c r="TUB19" s="352"/>
      <c r="TUC19" s="352"/>
      <c r="TUD19" s="352"/>
      <c r="TUE19" s="352"/>
      <c r="TUF19" s="352"/>
      <c r="TUG19" s="352"/>
      <c r="TUH19" s="352"/>
      <c r="TUI19" s="352"/>
      <c r="TUJ19" s="352"/>
      <c r="TUK19" s="352"/>
      <c r="TUL19" s="352"/>
      <c r="TUM19" s="352"/>
      <c r="TUN19" s="352"/>
      <c r="TUO19" s="352"/>
      <c r="TUP19" s="352"/>
      <c r="TUQ19" s="352"/>
      <c r="TUR19" s="352"/>
      <c r="TUS19" s="352"/>
      <c r="TUT19" s="352"/>
      <c r="TUU19" s="352"/>
      <c r="TUV19" s="352"/>
      <c r="TUW19" s="352"/>
      <c r="TUX19" s="352"/>
      <c r="TUY19" s="352"/>
      <c r="TUZ19" s="352"/>
      <c r="TVA19" s="352"/>
      <c r="TVB19" s="352"/>
      <c r="TVC19" s="352"/>
      <c r="TVD19" s="352"/>
      <c r="TVE19" s="352"/>
      <c r="TVF19" s="352"/>
      <c r="TVG19" s="352"/>
      <c r="TVH19" s="352"/>
      <c r="TVI19" s="352"/>
      <c r="TVJ19" s="352"/>
      <c r="TVK19" s="352"/>
      <c r="TVL19" s="352"/>
      <c r="TVM19" s="352"/>
      <c r="TVN19" s="352"/>
      <c r="TVO19" s="352"/>
      <c r="TVP19" s="352"/>
      <c r="TVQ19" s="352"/>
      <c r="TVR19" s="352"/>
      <c r="TVS19" s="352"/>
      <c r="TVT19" s="352"/>
      <c r="TVU19" s="352"/>
      <c r="TVV19" s="352"/>
      <c r="TVW19" s="352"/>
      <c r="TVX19" s="352"/>
      <c r="TVY19" s="352"/>
      <c r="TVZ19" s="352"/>
      <c r="TWA19" s="352"/>
      <c r="TWB19" s="352"/>
      <c r="TWC19" s="352"/>
      <c r="TWD19" s="352"/>
      <c r="TWE19" s="352"/>
      <c r="TWF19" s="352"/>
      <c r="TWG19" s="352"/>
      <c r="TWH19" s="352"/>
      <c r="TWI19" s="352"/>
      <c r="TWJ19" s="352"/>
      <c r="TWK19" s="352"/>
      <c r="TWL19" s="352"/>
      <c r="TWM19" s="352"/>
      <c r="TWN19" s="352"/>
      <c r="TWO19" s="352"/>
      <c r="TWP19" s="352"/>
      <c r="TWQ19" s="352"/>
      <c r="TWR19" s="352"/>
      <c r="TWS19" s="352"/>
      <c r="TWT19" s="352"/>
      <c r="TWU19" s="352"/>
      <c r="TWV19" s="352"/>
      <c r="TWW19" s="352"/>
      <c r="TWX19" s="352"/>
      <c r="TWY19" s="352"/>
      <c r="TWZ19" s="352"/>
      <c r="TXA19" s="352"/>
      <c r="TXB19" s="352"/>
      <c r="TXC19" s="352"/>
      <c r="TXD19" s="352"/>
      <c r="TXE19" s="352"/>
      <c r="TXF19" s="352"/>
      <c r="TXG19" s="352"/>
      <c r="TXH19" s="352"/>
      <c r="TXI19" s="352"/>
      <c r="TXJ19" s="352"/>
      <c r="TXK19" s="352"/>
      <c r="TXL19" s="352"/>
      <c r="TXM19" s="352"/>
      <c r="TXN19" s="352"/>
      <c r="TXO19" s="352"/>
      <c r="TXP19" s="352"/>
      <c r="TXQ19" s="352"/>
      <c r="TXR19" s="352"/>
      <c r="TXS19" s="352"/>
      <c r="TXT19" s="352"/>
      <c r="TXU19" s="352"/>
      <c r="TXV19" s="352"/>
      <c r="TXW19" s="352"/>
      <c r="TXX19" s="352"/>
      <c r="TXY19" s="352"/>
      <c r="TXZ19" s="352"/>
      <c r="TYA19" s="352"/>
      <c r="TYB19" s="352"/>
      <c r="TYC19" s="352"/>
      <c r="TYD19" s="352"/>
      <c r="TYE19" s="352"/>
      <c r="TYF19" s="352"/>
      <c r="TYG19" s="352"/>
      <c r="TYH19" s="352"/>
      <c r="TYI19" s="352"/>
      <c r="TYJ19" s="352"/>
      <c r="TYK19" s="352"/>
      <c r="TYL19" s="352"/>
      <c r="TYM19" s="352"/>
      <c r="TYN19" s="352"/>
      <c r="TYO19" s="352"/>
      <c r="TYP19" s="352"/>
      <c r="TYQ19" s="352"/>
      <c r="TYR19" s="352"/>
      <c r="TYS19" s="352"/>
      <c r="TYT19" s="352"/>
      <c r="TYU19" s="352"/>
      <c r="TYV19" s="352"/>
      <c r="TYW19" s="352"/>
      <c r="TYX19" s="352"/>
      <c r="TYY19" s="352"/>
      <c r="TYZ19" s="352"/>
      <c r="TZA19" s="352"/>
      <c r="TZB19" s="352"/>
      <c r="TZC19" s="352"/>
      <c r="TZD19" s="352"/>
      <c r="TZE19" s="352"/>
      <c r="TZF19" s="352"/>
      <c r="TZG19" s="352"/>
      <c r="TZH19" s="352"/>
      <c r="TZI19" s="352"/>
      <c r="TZJ19" s="352"/>
      <c r="TZK19" s="352"/>
      <c r="TZL19" s="352"/>
      <c r="TZM19" s="352"/>
      <c r="TZN19" s="352"/>
      <c r="TZO19" s="352"/>
      <c r="TZP19" s="352"/>
      <c r="TZQ19" s="352"/>
      <c r="TZR19" s="352"/>
      <c r="TZS19" s="352"/>
      <c r="TZT19" s="352"/>
      <c r="TZU19" s="352"/>
      <c r="TZV19" s="352"/>
      <c r="TZW19" s="352"/>
      <c r="TZX19" s="352"/>
      <c r="TZY19" s="352"/>
      <c r="TZZ19" s="352"/>
      <c r="UAA19" s="352"/>
      <c r="UAB19" s="352"/>
      <c r="UAC19" s="352"/>
      <c r="UAD19" s="352"/>
      <c r="UAE19" s="352"/>
      <c r="UAF19" s="352"/>
      <c r="UAG19" s="352"/>
      <c r="UAH19" s="352"/>
      <c r="UAI19" s="352"/>
      <c r="UAJ19" s="352"/>
      <c r="UAK19" s="352"/>
      <c r="UAL19" s="352"/>
      <c r="UAM19" s="352"/>
      <c r="UAN19" s="352"/>
      <c r="UAO19" s="352"/>
      <c r="UAP19" s="352"/>
      <c r="UAQ19" s="352"/>
      <c r="UAR19" s="352"/>
      <c r="UAS19" s="352"/>
      <c r="UAT19" s="352"/>
      <c r="UAU19" s="352"/>
      <c r="UAV19" s="352"/>
      <c r="UAW19" s="352"/>
      <c r="UAX19" s="352"/>
      <c r="UAY19" s="352"/>
      <c r="UAZ19" s="352"/>
      <c r="UBA19" s="352"/>
      <c r="UBB19" s="352"/>
      <c r="UBC19" s="352"/>
      <c r="UBD19" s="352"/>
      <c r="UBE19" s="352"/>
      <c r="UBF19" s="352"/>
      <c r="UBG19" s="352"/>
      <c r="UBH19" s="352"/>
      <c r="UBI19" s="352"/>
      <c r="UBJ19" s="352"/>
      <c r="UBK19" s="352"/>
      <c r="UBL19" s="352"/>
      <c r="UBM19" s="352"/>
      <c r="UBN19" s="352"/>
      <c r="UBO19" s="352"/>
      <c r="UBP19" s="352"/>
      <c r="UBQ19" s="352"/>
      <c r="UBR19" s="352"/>
      <c r="UBS19" s="352"/>
      <c r="UBT19" s="352"/>
      <c r="UBU19" s="352"/>
      <c r="UBV19" s="352"/>
      <c r="UBW19" s="352"/>
      <c r="UBX19" s="352"/>
      <c r="UBY19" s="352"/>
      <c r="UBZ19" s="352"/>
      <c r="UCA19" s="352"/>
      <c r="UCB19" s="352"/>
      <c r="UCC19" s="352"/>
      <c r="UCD19" s="352"/>
      <c r="UCE19" s="352"/>
      <c r="UCF19" s="352"/>
      <c r="UCG19" s="352"/>
      <c r="UCH19" s="352"/>
      <c r="UCI19" s="352"/>
      <c r="UCJ19" s="352"/>
      <c r="UCK19" s="352"/>
      <c r="UCL19" s="352"/>
      <c r="UCM19" s="352"/>
      <c r="UCN19" s="352"/>
      <c r="UCO19" s="352"/>
      <c r="UCP19" s="352"/>
      <c r="UCQ19" s="352"/>
      <c r="UCR19" s="352"/>
      <c r="UCS19" s="352"/>
      <c r="UCT19" s="352"/>
      <c r="UCU19" s="352"/>
      <c r="UCV19" s="352"/>
      <c r="UCW19" s="352"/>
      <c r="UCX19" s="352"/>
      <c r="UCY19" s="352"/>
      <c r="UCZ19" s="352"/>
      <c r="UDA19" s="352"/>
      <c r="UDB19" s="352"/>
      <c r="UDC19" s="352"/>
      <c r="UDD19" s="352"/>
      <c r="UDE19" s="352"/>
      <c r="UDF19" s="352"/>
      <c r="UDG19" s="352"/>
      <c r="UDH19" s="352"/>
      <c r="UDI19" s="352"/>
      <c r="UDJ19" s="352"/>
      <c r="UDK19" s="352"/>
      <c r="UDL19" s="352"/>
      <c r="UDM19" s="352"/>
      <c r="UDN19" s="352"/>
      <c r="UDO19" s="352"/>
      <c r="UDP19" s="352"/>
      <c r="UDQ19" s="352"/>
      <c r="UDR19" s="352"/>
      <c r="UDS19" s="352"/>
      <c r="UDT19" s="352"/>
      <c r="UDU19" s="352"/>
      <c r="UDV19" s="352"/>
      <c r="UDW19" s="352"/>
      <c r="UDX19" s="352"/>
      <c r="UDY19" s="352"/>
      <c r="UDZ19" s="352"/>
      <c r="UEA19" s="352"/>
      <c r="UEB19" s="352"/>
      <c r="UEC19" s="352"/>
      <c r="UED19" s="352"/>
      <c r="UEE19" s="352"/>
      <c r="UEF19" s="352"/>
      <c r="UEG19" s="352"/>
      <c r="UEH19" s="352"/>
      <c r="UEI19" s="352"/>
      <c r="UEJ19" s="352"/>
      <c r="UEK19" s="352"/>
      <c r="UEL19" s="352"/>
      <c r="UEM19" s="352"/>
      <c r="UEN19" s="352"/>
      <c r="UEO19" s="352"/>
      <c r="UEP19" s="352"/>
      <c r="UEQ19" s="352"/>
      <c r="UER19" s="352"/>
      <c r="UES19" s="352"/>
      <c r="UET19" s="352"/>
      <c r="UEU19" s="352"/>
      <c r="UEV19" s="352"/>
      <c r="UEW19" s="352"/>
      <c r="UEX19" s="352"/>
      <c r="UEY19" s="352"/>
      <c r="UEZ19" s="352"/>
      <c r="UFA19" s="352"/>
      <c r="UFB19" s="352"/>
      <c r="UFC19" s="352"/>
      <c r="UFD19" s="352"/>
      <c r="UFE19" s="352"/>
      <c r="UFF19" s="352"/>
      <c r="UFG19" s="352"/>
      <c r="UFH19" s="352"/>
      <c r="UFI19" s="352"/>
      <c r="UFJ19" s="352"/>
      <c r="UFK19" s="352"/>
      <c r="UFL19" s="352"/>
      <c r="UFM19" s="352"/>
      <c r="UFN19" s="352"/>
      <c r="UFO19" s="352"/>
      <c r="UFP19" s="352"/>
      <c r="UFQ19" s="352"/>
      <c r="UFR19" s="352"/>
      <c r="UFS19" s="352"/>
      <c r="UFT19" s="352"/>
      <c r="UFU19" s="352"/>
      <c r="UFV19" s="352"/>
      <c r="UFW19" s="352"/>
      <c r="UFX19" s="352"/>
      <c r="UFY19" s="352"/>
      <c r="UFZ19" s="352"/>
      <c r="UGA19" s="352"/>
      <c r="UGB19" s="352"/>
      <c r="UGC19" s="352"/>
      <c r="UGD19" s="352"/>
      <c r="UGE19" s="352"/>
      <c r="UGF19" s="352"/>
      <c r="UGG19" s="352"/>
      <c r="UGH19" s="352"/>
      <c r="UGI19" s="352"/>
      <c r="UGJ19" s="352"/>
      <c r="UGK19" s="352"/>
      <c r="UGL19" s="352"/>
      <c r="UGM19" s="352"/>
      <c r="UGN19" s="352"/>
      <c r="UGO19" s="352"/>
      <c r="UGP19" s="352"/>
      <c r="UGQ19" s="352"/>
      <c r="UGR19" s="352"/>
      <c r="UGS19" s="352"/>
      <c r="UGT19" s="352"/>
      <c r="UGU19" s="352"/>
      <c r="UGV19" s="352"/>
      <c r="UGW19" s="352"/>
      <c r="UGX19" s="352"/>
      <c r="UGY19" s="352"/>
      <c r="UGZ19" s="352"/>
      <c r="UHA19" s="352"/>
      <c r="UHB19" s="352"/>
      <c r="UHC19" s="352"/>
      <c r="UHD19" s="352"/>
      <c r="UHE19" s="352"/>
      <c r="UHF19" s="352"/>
      <c r="UHG19" s="352"/>
      <c r="UHH19" s="352"/>
      <c r="UHI19" s="352"/>
      <c r="UHJ19" s="352"/>
      <c r="UHK19" s="352"/>
      <c r="UHL19" s="352"/>
      <c r="UHM19" s="352"/>
      <c r="UHN19" s="352"/>
      <c r="UHO19" s="352"/>
      <c r="UHP19" s="352"/>
      <c r="UHQ19" s="352"/>
      <c r="UHR19" s="352"/>
      <c r="UHS19" s="352"/>
      <c r="UHT19" s="352"/>
      <c r="UHU19" s="352"/>
      <c r="UHV19" s="352"/>
      <c r="UHW19" s="352"/>
      <c r="UHX19" s="352"/>
      <c r="UHY19" s="352"/>
      <c r="UHZ19" s="352"/>
      <c r="UIA19" s="352"/>
      <c r="UIB19" s="352"/>
      <c r="UIC19" s="352"/>
      <c r="UID19" s="352"/>
      <c r="UIE19" s="352"/>
      <c r="UIF19" s="352"/>
      <c r="UIG19" s="352"/>
      <c r="UIH19" s="352"/>
      <c r="UII19" s="352"/>
      <c r="UIJ19" s="352"/>
      <c r="UIK19" s="352"/>
      <c r="UIL19" s="352"/>
      <c r="UIM19" s="352"/>
      <c r="UIN19" s="352"/>
      <c r="UIO19" s="352"/>
      <c r="UIP19" s="352"/>
      <c r="UIQ19" s="352"/>
      <c r="UIR19" s="352"/>
      <c r="UIS19" s="352"/>
      <c r="UIT19" s="352"/>
      <c r="UIU19" s="352"/>
      <c r="UIV19" s="352"/>
      <c r="UIW19" s="352"/>
      <c r="UIX19" s="352"/>
      <c r="UIY19" s="352"/>
      <c r="UIZ19" s="352"/>
      <c r="UJA19" s="352"/>
      <c r="UJB19" s="352"/>
      <c r="UJC19" s="352"/>
      <c r="UJD19" s="352"/>
      <c r="UJE19" s="352"/>
      <c r="UJF19" s="352"/>
      <c r="UJG19" s="352"/>
      <c r="UJH19" s="352"/>
      <c r="UJI19" s="352"/>
      <c r="UJJ19" s="352"/>
      <c r="UJK19" s="352"/>
      <c r="UJL19" s="352"/>
      <c r="UJM19" s="352"/>
      <c r="UJN19" s="352"/>
      <c r="UJO19" s="352"/>
      <c r="UJP19" s="352"/>
      <c r="UJQ19" s="352"/>
      <c r="UJR19" s="352"/>
      <c r="UJS19" s="352"/>
      <c r="UJT19" s="352"/>
      <c r="UJU19" s="352"/>
      <c r="UJV19" s="352"/>
      <c r="UJW19" s="352"/>
      <c r="UJX19" s="352"/>
      <c r="UJY19" s="352"/>
      <c r="UJZ19" s="352"/>
      <c r="UKA19" s="352"/>
      <c r="UKB19" s="352"/>
      <c r="UKC19" s="352"/>
      <c r="UKD19" s="352"/>
      <c r="UKE19" s="352"/>
      <c r="UKF19" s="352"/>
      <c r="UKG19" s="352"/>
      <c r="UKH19" s="352"/>
      <c r="UKI19" s="352"/>
      <c r="UKJ19" s="352"/>
      <c r="UKK19" s="352"/>
      <c r="UKL19" s="352"/>
      <c r="UKM19" s="352"/>
      <c r="UKN19" s="352"/>
      <c r="UKO19" s="352"/>
      <c r="UKP19" s="352"/>
      <c r="UKQ19" s="352"/>
      <c r="UKR19" s="352"/>
      <c r="UKS19" s="352"/>
      <c r="UKT19" s="352"/>
      <c r="UKU19" s="352"/>
      <c r="UKV19" s="352"/>
      <c r="UKW19" s="352"/>
      <c r="UKX19" s="352"/>
      <c r="UKY19" s="352"/>
      <c r="UKZ19" s="352"/>
      <c r="ULA19" s="352"/>
      <c r="ULB19" s="352"/>
      <c r="ULC19" s="352"/>
      <c r="ULD19" s="352"/>
      <c r="ULE19" s="352"/>
      <c r="ULF19" s="352"/>
      <c r="ULG19" s="352"/>
      <c r="ULH19" s="352"/>
      <c r="ULI19" s="352"/>
      <c r="ULJ19" s="352"/>
      <c r="ULK19" s="352"/>
      <c r="ULL19" s="352"/>
      <c r="ULM19" s="352"/>
      <c r="ULN19" s="352"/>
      <c r="ULO19" s="352"/>
      <c r="ULP19" s="352"/>
      <c r="ULQ19" s="352"/>
      <c r="ULR19" s="352"/>
      <c r="ULS19" s="352"/>
      <c r="ULT19" s="352"/>
      <c r="ULU19" s="352"/>
      <c r="ULV19" s="352"/>
      <c r="ULW19" s="352"/>
      <c r="ULX19" s="352"/>
      <c r="ULY19" s="352"/>
      <c r="ULZ19" s="352"/>
      <c r="UMA19" s="352"/>
      <c r="UMB19" s="352"/>
      <c r="UMC19" s="352"/>
      <c r="UMD19" s="352"/>
      <c r="UME19" s="352"/>
      <c r="UMF19" s="352"/>
      <c r="UMG19" s="352"/>
      <c r="UMH19" s="352"/>
      <c r="UMI19" s="352"/>
      <c r="UMJ19" s="352"/>
      <c r="UMK19" s="352"/>
      <c r="UML19" s="352"/>
      <c r="UMM19" s="352"/>
      <c r="UMN19" s="352"/>
      <c r="UMO19" s="352"/>
      <c r="UMP19" s="352"/>
      <c r="UMQ19" s="352"/>
      <c r="UMR19" s="352"/>
      <c r="UMS19" s="352"/>
      <c r="UMT19" s="352"/>
      <c r="UMU19" s="352"/>
      <c r="UMV19" s="352"/>
      <c r="UMW19" s="352"/>
      <c r="UMX19" s="352"/>
      <c r="UMY19" s="352"/>
      <c r="UMZ19" s="352"/>
      <c r="UNA19" s="352"/>
      <c r="UNB19" s="352"/>
      <c r="UNC19" s="352"/>
      <c r="UND19" s="352"/>
      <c r="UNE19" s="352"/>
      <c r="UNF19" s="352"/>
      <c r="UNG19" s="352"/>
      <c r="UNH19" s="352"/>
      <c r="UNI19" s="352"/>
      <c r="UNJ19" s="352"/>
      <c r="UNK19" s="352"/>
      <c r="UNL19" s="352"/>
      <c r="UNM19" s="352"/>
      <c r="UNN19" s="352"/>
      <c r="UNO19" s="352"/>
      <c r="UNP19" s="352"/>
      <c r="UNQ19" s="352"/>
      <c r="UNR19" s="352"/>
      <c r="UNS19" s="352"/>
      <c r="UNT19" s="352"/>
      <c r="UNU19" s="352"/>
      <c r="UNV19" s="352"/>
      <c r="UNW19" s="352"/>
      <c r="UNX19" s="352"/>
      <c r="UNY19" s="352"/>
      <c r="UNZ19" s="352"/>
      <c r="UOA19" s="352"/>
      <c r="UOB19" s="352"/>
      <c r="UOC19" s="352"/>
      <c r="UOD19" s="352"/>
      <c r="UOE19" s="352"/>
      <c r="UOF19" s="352"/>
      <c r="UOG19" s="352"/>
      <c r="UOH19" s="352"/>
      <c r="UOI19" s="352"/>
      <c r="UOJ19" s="352"/>
      <c r="UOK19" s="352"/>
      <c r="UOL19" s="352"/>
      <c r="UOM19" s="352"/>
      <c r="UON19" s="352"/>
      <c r="UOO19" s="352"/>
      <c r="UOP19" s="352"/>
      <c r="UOQ19" s="352"/>
      <c r="UOR19" s="352"/>
      <c r="UOS19" s="352"/>
      <c r="UOT19" s="352"/>
      <c r="UOU19" s="352"/>
      <c r="UOV19" s="352"/>
      <c r="UOW19" s="352"/>
      <c r="UOX19" s="352"/>
      <c r="UOY19" s="352"/>
      <c r="UOZ19" s="352"/>
      <c r="UPA19" s="352"/>
      <c r="UPB19" s="352"/>
      <c r="UPC19" s="352"/>
      <c r="UPD19" s="352"/>
      <c r="UPE19" s="352"/>
      <c r="UPF19" s="352"/>
      <c r="UPG19" s="352"/>
      <c r="UPH19" s="352"/>
      <c r="UPI19" s="352"/>
      <c r="UPJ19" s="352"/>
      <c r="UPK19" s="352"/>
      <c r="UPL19" s="352"/>
      <c r="UPM19" s="352"/>
      <c r="UPN19" s="352"/>
      <c r="UPO19" s="352"/>
      <c r="UPP19" s="352"/>
      <c r="UPQ19" s="352"/>
      <c r="UPR19" s="352"/>
      <c r="UPS19" s="352"/>
      <c r="UPT19" s="352"/>
      <c r="UPU19" s="352"/>
      <c r="UPV19" s="352"/>
      <c r="UPW19" s="352"/>
      <c r="UPX19" s="352"/>
      <c r="UPY19" s="352"/>
      <c r="UPZ19" s="352"/>
      <c r="UQA19" s="352"/>
      <c r="UQB19" s="352"/>
      <c r="UQC19" s="352"/>
      <c r="UQD19" s="352"/>
      <c r="UQE19" s="352"/>
      <c r="UQF19" s="352"/>
      <c r="UQG19" s="352"/>
      <c r="UQH19" s="352"/>
      <c r="UQI19" s="352"/>
      <c r="UQJ19" s="352"/>
      <c r="UQK19" s="352"/>
      <c r="UQL19" s="352"/>
      <c r="UQM19" s="352"/>
      <c r="UQN19" s="352"/>
      <c r="UQO19" s="352"/>
      <c r="UQP19" s="352"/>
      <c r="UQQ19" s="352"/>
      <c r="UQR19" s="352"/>
      <c r="UQS19" s="352"/>
      <c r="UQT19" s="352"/>
      <c r="UQU19" s="352"/>
      <c r="UQV19" s="352"/>
      <c r="UQW19" s="352"/>
      <c r="UQX19" s="352"/>
      <c r="UQY19" s="352"/>
      <c r="UQZ19" s="352"/>
      <c r="URA19" s="352"/>
      <c r="URB19" s="352"/>
      <c r="URC19" s="352"/>
      <c r="URD19" s="352"/>
      <c r="URE19" s="352"/>
      <c r="URF19" s="352"/>
      <c r="URG19" s="352"/>
      <c r="URH19" s="352"/>
      <c r="URI19" s="352"/>
      <c r="URJ19" s="352"/>
      <c r="URK19" s="352"/>
      <c r="URL19" s="352"/>
      <c r="URM19" s="352"/>
      <c r="URN19" s="352"/>
      <c r="URO19" s="352"/>
      <c r="URP19" s="352"/>
      <c r="URQ19" s="352"/>
      <c r="URR19" s="352"/>
      <c r="URS19" s="352"/>
      <c r="URT19" s="352"/>
      <c r="URU19" s="352"/>
      <c r="URV19" s="352"/>
      <c r="URW19" s="352"/>
      <c r="URX19" s="352"/>
      <c r="URY19" s="352"/>
      <c r="URZ19" s="352"/>
      <c r="USA19" s="352"/>
      <c r="USB19" s="352"/>
      <c r="USC19" s="352"/>
      <c r="USD19" s="352"/>
      <c r="USE19" s="352"/>
      <c r="USF19" s="352"/>
      <c r="USG19" s="352"/>
      <c r="USH19" s="352"/>
      <c r="USI19" s="352"/>
      <c r="USJ19" s="352"/>
      <c r="USK19" s="352"/>
      <c r="USL19" s="352"/>
      <c r="USM19" s="352"/>
      <c r="USN19" s="352"/>
      <c r="USO19" s="352"/>
      <c r="USP19" s="352"/>
      <c r="USQ19" s="352"/>
      <c r="USR19" s="352"/>
      <c r="USS19" s="352"/>
      <c r="UST19" s="352"/>
      <c r="USU19" s="352"/>
      <c r="USV19" s="352"/>
      <c r="USW19" s="352"/>
      <c r="USX19" s="352"/>
      <c r="USY19" s="352"/>
      <c r="USZ19" s="352"/>
      <c r="UTA19" s="352"/>
      <c r="UTB19" s="352"/>
      <c r="UTC19" s="352"/>
      <c r="UTD19" s="352"/>
      <c r="UTE19" s="352"/>
      <c r="UTF19" s="352"/>
      <c r="UTG19" s="352"/>
      <c r="UTH19" s="352"/>
      <c r="UTI19" s="352"/>
      <c r="UTJ19" s="352"/>
      <c r="UTK19" s="352"/>
      <c r="UTL19" s="352"/>
      <c r="UTM19" s="352"/>
      <c r="UTN19" s="352"/>
      <c r="UTO19" s="352"/>
      <c r="UTP19" s="352"/>
      <c r="UTQ19" s="352"/>
      <c r="UTR19" s="352"/>
      <c r="UTS19" s="352"/>
      <c r="UTT19" s="352"/>
      <c r="UTU19" s="352"/>
      <c r="UTV19" s="352"/>
      <c r="UTW19" s="352"/>
      <c r="UTX19" s="352"/>
      <c r="UTY19" s="352"/>
      <c r="UTZ19" s="352"/>
      <c r="UUA19" s="352"/>
      <c r="UUB19" s="352"/>
      <c r="UUC19" s="352"/>
      <c r="UUD19" s="352"/>
      <c r="UUE19" s="352"/>
      <c r="UUF19" s="352"/>
      <c r="UUG19" s="352"/>
      <c r="UUH19" s="352"/>
      <c r="UUI19" s="352"/>
      <c r="UUJ19" s="352"/>
      <c r="UUK19" s="352"/>
      <c r="UUL19" s="352"/>
      <c r="UUM19" s="352"/>
      <c r="UUN19" s="352"/>
      <c r="UUO19" s="352"/>
      <c r="UUP19" s="352"/>
      <c r="UUQ19" s="352"/>
      <c r="UUR19" s="352"/>
      <c r="UUS19" s="352"/>
      <c r="UUT19" s="352"/>
      <c r="UUU19" s="352"/>
      <c r="UUV19" s="352"/>
      <c r="UUW19" s="352"/>
      <c r="UUX19" s="352"/>
      <c r="UUY19" s="352"/>
      <c r="UUZ19" s="352"/>
      <c r="UVA19" s="352"/>
      <c r="UVB19" s="352"/>
      <c r="UVC19" s="352"/>
      <c r="UVD19" s="352"/>
      <c r="UVE19" s="352"/>
      <c r="UVF19" s="352"/>
      <c r="UVG19" s="352"/>
      <c r="UVH19" s="352"/>
      <c r="UVI19" s="352"/>
      <c r="UVJ19" s="352"/>
      <c r="UVK19" s="352"/>
      <c r="UVL19" s="352"/>
      <c r="UVM19" s="352"/>
      <c r="UVN19" s="352"/>
      <c r="UVO19" s="352"/>
      <c r="UVP19" s="352"/>
      <c r="UVQ19" s="352"/>
      <c r="UVR19" s="352"/>
      <c r="UVS19" s="352"/>
      <c r="UVT19" s="352"/>
      <c r="UVU19" s="352"/>
      <c r="UVV19" s="352"/>
      <c r="UVW19" s="352"/>
      <c r="UVX19" s="352"/>
      <c r="UVY19" s="352"/>
      <c r="UVZ19" s="352"/>
      <c r="UWA19" s="352"/>
      <c r="UWB19" s="352"/>
      <c r="UWC19" s="352"/>
      <c r="UWD19" s="352"/>
      <c r="UWE19" s="352"/>
      <c r="UWF19" s="352"/>
      <c r="UWG19" s="352"/>
      <c r="UWH19" s="352"/>
      <c r="UWI19" s="352"/>
      <c r="UWJ19" s="352"/>
      <c r="UWK19" s="352"/>
      <c r="UWL19" s="352"/>
      <c r="UWM19" s="352"/>
      <c r="UWN19" s="352"/>
      <c r="UWO19" s="352"/>
      <c r="UWP19" s="352"/>
      <c r="UWQ19" s="352"/>
      <c r="UWR19" s="352"/>
      <c r="UWS19" s="352"/>
      <c r="UWT19" s="352"/>
      <c r="UWU19" s="352"/>
      <c r="UWV19" s="352"/>
      <c r="UWW19" s="352"/>
      <c r="UWX19" s="352"/>
      <c r="UWY19" s="352"/>
      <c r="UWZ19" s="352"/>
      <c r="UXA19" s="352"/>
      <c r="UXB19" s="352"/>
      <c r="UXC19" s="352"/>
      <c r="UXD19" s="352"/>
      <c r="UXE19" s="352"/>
      <c r="UXF19" s="352"/>
      <c r="UXG19" s="352"/>
      <c r="UXH19" s="352"/>
      <c r="UXI19" s="352"/>
      <c r="UXJ19" s="352"/>
      <c r="UXK19" s="352"/>
      <c r="UXL19" s="352"/>
      <c r="UXM19" s="352"/>
      <c r="UXN19" s="352"/>
      <c r="UXO19" s="352"/>
      <c r="UXP19" s="352"/>
      <c r="UXQ19" s="352"/>
      <c r="UXR19" s="352"/>
      <c r="UXS19" s="352"/>
      <c r="UXT19" s="352"/>
      <c r="UXU19" s="352"/>
      <c r="UXV19" s="352"/>
      <c r="UXW19" s="352"/>
      <c r="UXX19" s="352"/>
      <c r="UXY19" s="352"/>
      <c r="UXZ19" s="352"/>
      <c r="UYA19" s="352"/>
      <c r="UYB19" s="352"/>
      <c r="UYC19" s="352"/>
      <c r="UYD19" s="352"/>
      <c r="UYE19" s="352"/>
      <c r="UYF19" s="352"/>
      <c r="UYG19" s="352"/>
      <c r="UYH19" s="352"/>
      <c r="UYI19" s="352"/>
      <c r="UYJ19" s="352"/>
      <c r="UYK19" s="352"/>
      <c r="UYL19" s="352"/>
      <c r="UYM19" s="352"/>
      <c r="UYN19" s="352"/>
      <c r="UYO19" s="352"/>
      <c r="UYP19" s="352"/>
      <c r="UYQ19" s="352"/>
      <c r="UYR19" s="352"/>
      <c r="UYS19" s="352"/>
      <c r="UYT19" s="352"/>
      <c r="UYU19" s="352"/>
      <c r="UYV19" s="352"/>
      <c r="UYW19" s="352"/>
      <c r="UYX19" s="352"/>
      <c r="UYY19" s="352"/>
      <c r="UYZ19" s="352"/>
      <c r="UZA19" s="352"/>
      <c r="UZB19" s="352"/>
      <c r="UZC19" s="352"/>
      <c r="UZD19" s="352"/>
      <c r="UZE19" s="352"/>
      <c r="UZF19" s="352"/>
      <c r="UZG19" s="352"/>
      <c r="UZH19" s="352"/>
      <c r="UZI19" s="352"/>
      <c r="UZJ19" s="352"/>
      <c r="UZK19" s="352"/>
      <c r="UZL19" s="352"/>
      <c r="UZM19" s="352"/>
      <c r="UZN19" s="352"/>
      <c r="UZO19" s="352"/>
      <c r="UZP19" s="352"/>
      <c r="UZQ19" s="352"/>
      <c r="UZR19" s="352"/>
      <c r="UZS19" s="352"/>
      <c r="UZT19" s="352"/>
      <c r="UZU19" s="352"/>
      <c r="UZV19" s="352"/>
      <c r="UZW19" s="352"/>
      <c r="UZX19" s="352"/>
      <c r="UZY19" s="352"/>
      <c r="UZZ19" s="352"/>
      <c r="VAA19" s="352"/>
      <c r="VAB19" s="352"/>
      <c r="VAC19" s="352"/>
      <c r="VAD19" s="352"/>
      <c r="VAE19" s="352"/>
      <c r="VAF19" s="352"/>
      <c r="VAG19" s="352"/>
      <c r="VAH19" s="352"/>
      <c r="VAI19" s="352"/>
      <c r="VAJ19" s="352"/>
      <c r="VAK19" s="352"/>
      <c r="VAL19" s="352"/>
      <c r="VAM19" s="352"/>
      <c r="VAN19" s="352"/>
      <c r="VAO19" s="352"/>
      <c r="VAP19" s="352"/>
      <c r="VAQ19" s="352"/>
      <c r="VAR19" s="352"/>
      <c r="VAS19" s="352"/>
      <c r="VAT19" s="352"/>
      <c r="VAU19" s="352"/>
      <c r="VAV19" s="352"/>
      <c r="VAW19" s="352"/>
      <c r="VAX19" s="352"/>
      <c r="VAY19" s="352"/>
      <c r="VAZ19" s="352"/>
      <c r="VBA19" s="352"/>
      <c r="VBB19" s="352"/>
      <c r="VBC19" s="352"/>
      <c r="VBD19" s="352"/>
      <c r="VBE19" s="352"/>
      <c r="VBF19" s="352"/>
      <c r="VBG19" s="352"/>
      <c r="VBH19" s="352"/>
      <c r="VBI19" s="352"/>
      <c r="VBJ19" s="352"/>
      <c r="VBK19" s="352"/>
      <c r="VBL19" s="352"/>
      <c r="VBM19" s="352"/>
      <c r="VBN19" s="352"/>
      <c r="VBO19" s="352"/>
      <c r="VBP19" s="352"/>
      <c r="VBQ19" s="352"/>
      <c r="VBR19" s="352"/>
      <c r="VBS19" s="352"/>
      <c r="VBT19" s="352"/>
      <c r="VBU19" s="352"/>
      <c r="VBV19" s="352"/>
      <c r="VBW19" s="352"/>
      <c r="VBX19" s="352"/>
      <c r="VBY19" s="352"/>
      <c r="VBZ19" s="352"/>
      <c r="VCA19" s="352"/>
      <c r="VCB19" s="352"/>
      <c r="VCC19" s="352"/>
      <c r="VCD19" s="352"/>
      <c r="VCE19" s="352"/>
      <c r="VCF19" s="352"/>
      <c r="VCG19" s="352"/>
      <c r="VCH19" s="352"/>
      <c r="VCI19" s="352"/>
      <c r="VCJ19" s="352"/>
      <c r="VCK19" s="352"/>
      <c r="VCL19" s="352"/>
      <c r="VCM19" s="352"/>
      <c r="VCN19" s="352"/>
      <c r="VCO19" s="352"/>
      <c r="VCP19" s="352"/>
      <c r="VCQ19" s="352"/>
      <c r="VCR19" s="352"/>
      <c r="VCS19" s="352"/>
      <c r="VCT19" s="352"/>
      <c r="VCU19" s="352"/>
      <c r="VCV19" s="352"/>
      <c r="VCW19" s="352"/>
      <c r="VCX19" s="352"/>
      <c r="VCY19" s="352"/>
      <c r="VCZ19" s="352"/>
      <c r="VDA19" s="352"/>
      <c r="VDB19" s="352"/>
      <c r="VDC19" s="352"/>
      <c r="VDD19" s="352"/>
      <c r="VDE19" s="352"/>
      <c r="VDF19" s="352"/>
      <c r="VDG19" s="352"/>
      <c r="VDH19" s="352"/>
      <c r="VDI19" s="352"/>
      <c r="VDJ19" s="352"/>
      <c r="VDK19" s="352"/>
      <c r="VDL19" s="352"/>
      <c r="VDM19" s="352"/>
      <c r="VDN19" s="352"/>
      <c r="VDO19" s="352"/>
      <c r="VDP19" s="352"/>
      <c r="VDQ19" s="352"/>
      <c r="VDR19" s="352"/>
      <c r="VDS19" s="352"/>
      <c r="VDT19" s="352"/>
      <c r="VDU19" s="352"/>
      <c r="VDV19" s="352"/>
      <c r="VDW19" s="352"/>
      <c r="VDX19" s="352"/>
      <c r="VDY19" s="352"/>
      <c r="VDZ19" s="352"/>
      <c r="VEA19" s="352"/>
      <c r="VEB19" s="352"/>
      <c r="VEC19" s="352"/>
      <c r="VED19" s="352"/>
      <c r="VEE19" s="352"/>
      <c r="VEF19" s="352"/>
      <c r="VEG19" s="352"/>
      <c r="VEH19" s="352"/>
      <c r="VEI19" s="352"/>
      <c r="VEJ19" s="352"/>
      <c r="VEK19" s="352"/>
      <c r="VEL19" s="352"/>
      <c r="VEM19" s="352"/>
      <c r="VEN19" s="352"/>
      <c r="VEO19" s="352"/>
      <c r="VEP19" s="352"/>
      <c r="VEQ19" s="352"/>
      <c r="VER19" s="352"/>
      <c r="VES19" s="352"/>
      <c r="VET19" s="352"/>
      <c r="VEU19" s="352"/>
      <c r="VEV19" s="352"/>
      <c r="VEW19" s="352"/>
      <c r="VEX19" s="352"/>
      <c r="VEY19" s="352"/>
      <c r="VEZ19" s="352"/>
      <c r="VFA19" s="352"/>
      <c r="VFB19" s="352"/>
      <c r="VFC19" s="352"/>
      <c r="VFD19" s="352"/>
      <c r="VFE19" s="352"/>
      <c r="VFF19" s="352"/>
      <c r="VFG19" s="352"/>
      <c r="VFH19" s="352"/>
      <c r="VFI19" s="352"/>
      <c r="VFJ19" s="352"/>
      <c r="VFK19" s="352"/>
      <c r="VFL19" s="352"/>
      <c r="VFM19" s="352"/>
      <c r="VFN19" s="352"/>
      <c r="VFO19" s="352"/>
      <c r="VFP19" s="352"/>
      <c r="VFQ19" s="352"/>
      <c r="VFR19" s="352"/>
      <c r="VFS19" s="352"/>
      <c r="VFT19" s="352"/>
      <c r="VFU19" s="352"/>
      <c r="VFV19" s="352"/>
      <c r="VFW19" s="352"/>
      <c r="VFX19" s="352"/>
      <c r="VFY19" s="352"/>
      <c r="VFZ19" s="352"/>
      <c r="VGA19" s="352"/>
      <c r="VGB19" s="352"/>
      <c r="VGC19" s="352"/>
      <c r="VGD19" s="352"/>
      <c r="VGE19" s="352"/>
      <c r="VGF19" s="352"/>
      <c r="VGG19" s="352"/>
      <c r="VGH19" s="352"/>
      <c r="VGI19" s="352"/>
      <c r="VGJ19" s="352"/>
      <c r="VGK19" s="352"/>
      <c r="VGL19" s="352"/>
      <c r="VGM19" s="352"/>
      <c r="VGN19" s="352"/>
      <c r="VGO19" s="352"/>
      <c r="VGP19" s="352"/>
      <c r="VGQ19" s="352"/>
      <c r="VGR19" s="352"/>
      <c r="VGS19" s="352"/>
      <c r="VGT19" s="352"/>
      <c r="VGU19" s="352"/>
      <c r="VGV19" s="352"/>
      <c r="VGW19" s="352"/>
      <c r="VGX19" s="352"/>
      <c r="VGY19" s="352"/>
      <c r="VGZ19" s="352"/>
      <c r="VHA19" s="352"/>
      <c r="VHB19" s="352"/>
      <c r="VHC19" s="352"/>
      <c r="VHD19" s="352"/>
      <c r="VHE19" s="352"/>
      <c r="VHF19" s="352"/>
      <c r="VHG19" s="352"/>
      <c r="VHH19" s="352"/>
      <c r="VHI19" s="352"/>
      <c r="VHJ19" s="352"/>
      <c r="VHK19" s="352"/>
      <c r="VHL19" s="352"/>
      <c r="VHM19" s="352"/>
      <c r="VHN19" s="352"/>
      <c r="VHO19" s="352"/>
      <c r="VHP19" s="352"/>
      <c r="VHQ19" s="352"/>
      <c r="VHR19" s="352"/>
      <c r="VHS19" s="352"/>
      <c r="VHT19" s="352"/>
      <c r="VHU19" s="352"/>
      <c r="VHV19" s="352"/>
      <c r="VHW19" s="352"/>
      <c r="VHX19" s="352"/>
      <c r="VHY19" s="352"/>
      <c r="VHZ19" s="352"/>
      <c r="VIA19" s="352"/>
      <c r="VIB19" s="352"/>
      <c r="VIC19" s="352"/>
      <c r="VID19" s="352"/>
      <c r="VIE19" s="352"/>
      <c r="VIF19" s="352"/>
      <c r="VIG19" s="352"/>
      <c r="VIH19" s="352"/>
      <c r="VII19" s="352"/>
      <c r="VIJ19" s="352"/>
      <c r="VIK19" s="352"/>
      <c r="VIL19" s="352"/>
      <c r="VIM19" s="352"/>
      <c r="VIN19" s="352"/>
      <c r="VIO19" s="352"/>
      <c r="VIP19" s="352"/>
      <c r="VIQ19" s="352"/>
      <c r="VIR19" s="352"/>
      <c r="VIS19" s="352"/>
      <c r="VIT19" s="352"/>
      <c r="VIU19" s="352"/>
      <c r="VIV19" s="352"/>
      <c r="VIW19" s="352"/>
      <c r="VIX19" s="352"/>
      <c r="VIY19" s="352"/>
      <c r="VIZ19" s="352"/>
      <c r="VJA19" s="352"/>
      <c r="VJB19" s="352"/>
      <c r="VJC19" s="352"/>
      <c r="VJD19" s="352"/>
      <c r="VJE19" s="352"/>
      <c r="VJF19" s="352"/>
      <c r="VJG19" s="352"/>
      <c r="VJH19" s="352"/>
      <c r="VJI19" s="352"/>
      <c r="VJJ19" s="352"/>
      <c r="VJK19" s="352"/>
      <c r="VJL19" s="352"/>
      <c r="VJM19" s="352"/>
      <c r="VJN19" s="352"/>
      <c r="VJO19" s="352"/>
      <c r="VJP19" s="352"/>
      <c r="VJQ19" s="352"/>
      <c r="VJR19" s="352"/>
      <c r="VJS19" s="352"/>
      <c r="VJT19" s="352"/>
      <c r="VJU19" s="352"/>
      <c r="VJV19" s="352"/>
      <c r="VJW19" s="352"/>
      <c r="VJX19" s="352"/>
      <c r="VJY19" s="352"/>
      <c r="VJZ19" s="352"/>
      <c r="VKA19" s="352"/>
      <c r="VKB19" s="352"/>
      <c r="VKC19" s="352"/>
      <c r="VKD19" s="352"/>
      <c r="VKE19" s="352"/>
      <c r="VKF19" s="352"/>
      <c r="VKG19" s="352"/>
      <c r="VKH19" s="352"/>
      <c r="VKI19" s="352"/>
      <c r="VKJ19" s="352"/>
      <c r="VKK19" s="352"/>
      <c r="VKL19" s="352"/>
      <c r="VKM19" s="352"/>
      <c r="VKN19" s="352"/>
      <c r="VKO19" s="352"/>
      <c r="VKP19" s="352"/>
      <c r="VKQ19" s="352"/>
      <c r="VKR19" s="352"/>
      <c r="VKS19" s="352"/>
      <c r="VKT19" s="352"/>
      <c r="VKU19" s="352"/>
      <c r="VKV19" s="352"/>
      <c r="VKW19" s="352"/>
      <c r="VKX19" s="352"/>
      <c r="VKY19" s="352"/>
      <c r="VKZ19" s="352"/>
      <c r="VLA19" s="352"/>
      <c r="VLB19" s="352"/>
      <c r="VLC19" s="352"/>
      <c r="VLD19" s="352"/>
      <c r="VLE19" s="352"/>
      <c r="VLF19" s="352"/>
      <c r="VLG19" s="352"/>
      <c r="VLH19" s="352"/>
      <c r="VLI19" s="352"/>
      <c r="VLJ19" s="352"/>
      <c r="VLK19" s="352"/>
      <c r="VLL19" s="352"/>
      <c r="VLM19" s="352"/>
      <c r="VLN19" s="352"/>
      <c r="VLO19" s="352"/>
      <c r="VLP19" s="352"/>
      <c r="VLQ19" s="352"/>
      <c r="VLR19" s="352"/>
      <c r="VLS19" s="352"/>
      <c r="VLT19" s="352"/>
      <c r="VLU19" s="352"/>
      <c r="VLV19" s="352"/>
      <c r="VLW19" s="352"/>
      <c r="VLX19" s="352"/>
      <c r="VLY19" s="352"/>
      <c r="VLZ19" s="352"/>
      <c r="VMA19" s="352"/>
      <c r="VMB19" s="352"/>
      <c r="VMC19" s="352"/>
      <c r="VMD19" s="352"/>
      <c r="VME19" s="352"/>
      <c r="VMF19" s="352"/>
      <c r="VMG19" s="352"/>
      <c r="VMH19" s="352"/>
      <c r="VMI19" s="352"/>
      <c r="VMJ19" s="352"/>
      <c r="VMK19" s="352"/>
      <c r="VML19" s="352"/>
      <c r="VMM19" s="352"/>
      <c r="VMN19" s="352"/>
      <c r="VMO19" s="352"/>
      <c r="VMP19" s="352"/>
      <c r="VMQ19" s="352"/>
      <c r="VMR19" s="352"/>
      <c r="VMS19" s="352"/>
      <c r="VMT19" s="352"/>
      <c r="VMU19" s="352"/>
      <c r="VMV19" s="352"/>
      <c r="VMW19" s="352"/>
      <c r="VMX19" s="352"/>
      <c r="VMY19" s="352"/>
      <c r="VMZ19" s="352"/>
      <c r="VNA19" s="352"/>
      <c r="VNB19" s="352"/>
      <c r="VNC19" s="352"/>
      <c r="VND19" s="352"/>
      <c r="VNE19" s="352"/>
      <c r="VNF19" s="352"/>
      <c r="VNG19" s="352"/>
      <c r="VNH19" s="352"/>
      <c r="VNI19" s="352"/>
      <c r="VNJ19" s="352"/>
      <c r="VNK19" s="352"/>
      <c r="VNL19" s="352"/>
      <c r="VNM19" s="352"/>
      <c r="VNN19" s="352"/>
      <c r="VNO19" s="352"/>
      <c r="VNP19" s="352"/>
      <c r="VNQ19" s="352"/>
      <c r="VNR19" s="352"/>
      <c r="VNS19" s="352"/>
      <c r="VNT19" s="352"/>
      <c r="VNU19" s="352"/>
      <c r="VNV19" s="352"/>
      <c r="VNW19" s="352"/>
      <c r="VNX19" s="352"/>
      <c r="VNY19" s="352"/>
      <c r="VNZ19" s="352"/>
      <c r="VOA19" s="352"/>
      <c r="VOB19" s="352"/>
      <c r="VOC19" s="352"/>
      <c r="VOD19" s="352"/>
      <c r="VOE19" s="352"/>
      <c r="VOF19" s="352"/>
      <c r="VOG19" s="352"/>
      <c r="VOH19" s="352"/>
      <c r="VOI19" s="352"/>
      <c r="VOJ19" s="352"/>
      <c r="VOK19" s="352"/>
      <c r="VOL19" s="352"/>
      <c r="VOM19" s="352"/>
      <c r="VON19" s="352"/>
      <c r="VOO19" s="352"/>
      <c r="VOP19" s="352"/>
      <c r="VOQ19" s="352"/>
      <c r="VOR19" s="352"/>
      <c r="VOS19" s="352"/>
      <c r="VOT19" s="352"/>
      <c r="VOU19" s="352"/>
      <c r="VOV19" s="352"/>
      <c r="VOW19" s="352"/>
      <c r="VOX19" s="352"/>
      <c r="VOY19" s="352"/>
      <c r="VOZ19" s="352"/>
      <c r="VPA19" s="352"/>
      <c r="VPB19" s="352"/>
      <c r="VPC19" s="352"/>
      <c r="VPD19" s="352"/>
      <c r="VPE19" s="352"/>
      <c r="VPF19" s="352"/>
      <c r="VPG19" s="352"/>
      <c r="VPH19" s="352"/>
      <c r="VPI19" s="352"/>
      <c r="VPJ19" s="352"/>
      <c r="VPK19" s="352"/>
      <c r="VPL19" s="352"/>
      <c r="VPM19" s="352"/>
      <c r="VPN19" s="352"/>
      <c r="VPO19" s="352"/>
      <c r="VPP19" s="352"/>
      <c r="VPQ19" s="352"/>
      <c r="VPR19" s="352"/>
      <c r="VPS19" s="352"/>
      <c r="VPT19" s="352"/>
      <c r="VPU19" s="352"/>
      <c r="VPV19" s="352"/>
      <c r="VPW19" s="352"/>
      <c r="VPX19" s="352"/>
      <c r="VPY19" s="352"/>
      <c r="VPZ19" s="352"/>
      <c r="VQA19" s="352"/>
      <c r="VQB19" s="352"/>
      <c r="VQC19" s="352"/>
      <c r="VQD19" s="352"/>
      <c r="VQE19" s="352"/>
      <c r="VQF19" s="352"/>
      <c r="VQG19" s="352"/>
      <c r="VQH19" s="352"/>
      <c r="VQI19" s="352"/>
      <c r="VQJ19" s="352"/>
      <c r="VQK19" s="352"/>
      <c r="VQL19" s="352"/>
      <c r="VQM19" s="352"/>
      <c r="VQN19" s="352"/>
      <c r="VQO19" s="352"/>
      <c r="VQP19" s="352"/>
      <c r="VQQ19" s="352"/>
      <c r="VQR19" s="352"/>
      <c r="VQS19" s="352"/>
      <c r="VQT19" s="352"/>
      <c r="VQU19" s="352"/>
      <c r="VQV19" s="352"/>
      <c r="VQW19" s="352"/>
      <c r="VQX19" s="352"/>
      <c r="VQY19" s="352"/>
      <c r="VQZ19" s="352"/>
      <c r="VRA19" s="352"/>
      <c r="VRB19" s="352"/>
      <c r="VRC19" s="352"/>
      <c r="VRD19" s="352"/>
      <c r="VRE19" s="352"/>
      <c r="VRF19" s="352"/>
      <c r="VRG19" s="352"/>
      <c r="VRH19" s="352"/>
      <c r="VRI19" s="352"/>
      <c r="VRJ19" s="352"/>
      <c r="VRK19" s="352"/>
      <c r="VRL19" s="352"/>
      <c r="VRM19" s="352"/>
      <c r="VRN19" s="352"/>
      <c r="VRO19" s="352"/>
      <c r="VRP19" s="352"/>
      <c r="VRQ19" s="352"/>
      <c r="VRR19" s="352"/>
      <c r="VRS19" s="352"/>
      <c r="VRT19" s="352"/>
      <c r="VRU19" s="352"/>
      <c r="VRV19" s="352"/>
      <c r="VRW19" s="352"/>
      <c r="VRX19" s="352"/>
      <c r="VRY19" s="352"/>
      <c r="VRZ19" s="352"/>
      <c r="VSA19" s="352"/>
      <c r="VSB19" s="352"/>
      <c r="VSC19" s="352"/>
      <c r="VSD19" s="352"/>
      <c r="VSE19" s="352"/>
      <c r="VSF19" s="352"/>
      <c r="VSG19" s="352"/>
      <c r="VSH19" s="352"/>
      <c r="VSI19" s="352"/>
      <c r="VSJ19" s="352"/>
      <c r="VSK19" s="352"/>
      <c r="VSL19" s="352"/>
      <c r="VSM19" s="352"/>
      <c r="VSN19" s="352"/>
      <c r="VSO19" s="352"/>
      <c r="VSP19" s="352"/>
      <c r="VSQ19" s="352"/>
      <c r="VSR19" s="352"/>
      <c r="VSS19" s="352"/>
      <c r="VST19" s="352"/>
      <c r="VSU19" s="352"/>
      <c r="VSV19" s="352"/>
      <c r="VSW19" s="352"/>
      <c r="VSX19" s="352"/>
      <c r="VSY19" s="352"/>
      <c r="VSZ19" s="352"/>
      <c r="VTA19" s="352"/>
      <c r="VTB19" s="352"/>
      <c r="VTC19" s="352"/>
      <c r="VTD19" s="352"/>
      <c r="VTE19" s="352"/>
      <c r="VTF19" s="352"/>
      <c r="VTG19" s="352"/>
      <c r="VTH19" s="352"/>
      <c r="VTI19" s="352"/>
      <c r="VTJ19" s="352"/>
      <c r="VTK19" s="352"/>
      <c r="VTL19" s="352"/>
      <c r="VTM19" s="352"/>
      <c r="VTN19" s="352"/>
      <c r="VTO19" s="352"/>
      <c r="VTP19" s="352"/>
      <c r="VTQ19" s="352"/>
      <c r="VTR19" s="352"/>
      <c r="VTS19" s="352"/>
      <c r="VTT19" s="352"/>
      <c r="VTU19" s="352"/>
      <c r="VTV19" s="352"/>
      <c r="VTW19" s="352"/>
      <c r="VTX19" s="352"/>
      <c r="VTY19" s="352"/>
      <c r="VTZ19" s="352"/>
      <c r="VUA19" s="352"/>
      <c r="VUB19" s="352"/>
      <c r="VUC19" s="352"/>
      <c r="VUD19" s="352"/>
      <c r="VUE19" s="352"/>
      <c r="VUF19" s="352"/>
      <c r="VUG19" s="352"/>
      <c r="VUH19" s="352"/>
      <c r="VUI19" s="352"/>
      <c r="VUJ19" s="352"/>
      <c r="VUK19" s="352"/>
      <c r="VUL19" s="352"/>
      <c r="VUM19" s="352"/>
      <c r="VUN19" s="352"/>
      <c r="VUO19" s="352"/>
      <c r="VUP19" s="352"/>
      <c r="VUQ19" s="352"/>
      <c r="VUR19" s="352"/>
      <c r="VUS19" s="352"/>
      <c r="VUT19" s="352"/>
      <c r="VUU19" s="352"/>
      <c r="VUV19" s="352"/>
      <c r="VUW19" s="352"/>
      <c r="VUX19" s="352"/>
      <c r="VUY19" s="352"/>
      <c r="VUZ19" s="352"/>
      <c r="VVA19" s="352"/>
      <c r="VVB19" s="352"/>
      <c r="VVC19" s="352"/>
      <c r="VVD19" s="352"/>
      <c r="VVE19" s="352"/>
      <c r="VVF19" s="352"/>
      <c r="VVG19" s="352"/>
      <c r="VVH19" s="352"/>
      <c r="VVI19" s="352"/>
      <c r="VVJ19" s="352"/>
      <c r="VVK19" s="352"/>
      <c r="VVL19" s="352"/>
      <c r="VVM19" s="352"/>
      <c r="VVN19" s="352"/>
      <c r="VVO19" s="352"/>
      <c r="VVP19" s="352"/>
      <c r="VVQ19" s="352"/>
      <c r="VVR19" s="352"/>
      <c r="VVS19" s="352"/>
      <c r="VVT19" s="352"/>
      <c r="VVU19" s="352"/>
      <c r="VVV19" s="352"/>
      <c r="VVW19" s="352"/>
      <c r="VVX19" s="352"/>
      <c r="VVY19" s="352"/>
      <c r="VVZ19" s="352"/>
      <c r="VWA19" s="352"/>
      <c r="VWB19" s="352"/>
      <c r="VWC19" s="352"/>
      <c r="VWD19" s="352"/>
      <c r="VWE19" s="352"/>
      <c r="VWF19" s="352"/>
      <c r="VWG19" s="352"/>
      <c r="VWH19" s="352"/>
      <c r="VWI19" s="352"/>
      <c r="VWJ19" s="352"/>
      <c r="VWK19" s="352"/>
      <c r="VWL19" s="352"/>
      <c r="VWM19" s="352"/>
      <c r="VWN19" s="352"/>
      <c r="VWO19" s="352"/>
      <c r="VWP19" s="352"/>
      <c r="VWQ19" s="352"/>
      <c r="VWR19" s="352"/>
      <c r="VWS19" s="352"/>
      <c r="VWT19" s="352"/>
      <c r="VWU19" s="352"/>
      <c r="VWV19" s="352"/>
      <c r="VWW19" s="352"/>
      <c r="VWX19" s="352"/>
      <c r="VWY19" s="352"/>
      <c r="VWZ19" s="352"/>
      <c r="VXA19" s="352"/>
      <c r="VXB19" s="352"/>
      <c r="VXC19" s="352"/>
      <c r="VXD19" s="352"/>
      <c r="VXE19" s="352"/>
      <c r="VXF19" s="352"/>
      <c r="VXG19" s="352"/>
      <c r="VXH19" s="352"/>
      <c r="VXI19" s="352"/>
      <c r="VXJ19" s="352"/>
      <c r="VXK19" s="352"/>
      <c r="VXL19" s="352"/>
      <c r="VXM19" s="352"/>
      <c r="VXN19" s="352"/>
      <c r="VXO19" s="352"/>
      <c r="VXP19" s="352"/>
      <c r="VXQ19" s="352"/>
      <c r="VXR19" s="352"/>
      <c r="VXS19" s="352"/>
      <c r="VXT19" s="352"/>
      <c r="VXU19" s="352"/>
      <c r="VXV19" s="352"/>
      <c r="VXW19" s="352"/>
      <c r="VXX19" s="352"/>
      <c r="VXY19" s="352"/>
      <c r="VXZ19" s="352"/>
      <c r="VYA19" s="352"/>
      <c r="VYB19" s="352"/>
      <c r="VYC19" s="352"/>
      <c r="VYD19" s="352"/>
      <c r="VYE19" s="352"/>
      <c r="VYF19" s="352"/>
      <c r="VYG19" s="352"/>
      <c r="VYH19" s="352"/>
      <c r="VYI19" s="352"/>
      <c r="VYJ19" s="352"/>
      <c r="VYK19" s="352"/>
      <c r="VYL19" s="352"/>
      <c r="VYM19" s="352"/>
      <c r="VYN19" s="352"/>
      <c r="VYO19" s="352"/>
      <c r="VYP19" s="352"/>
      <c r="VYQ19" s="352"/>
      <c r="VYR19" s="352"/>
      <c r="VYS19" s="352"/>
      <c r="VYT19" s="352"/>
      <c r="VYU19" s="352"/>
      <c r="VYV19" s="352"/>
      <c r="VYW19" s="352"/>
      <c r="VYX19" s="352"/>
      <c r="VYY19" s="352"/>
      <c r="VYZ19" s="352"/>
      <c r="VZA19" s="352"/>
      <c r="VZB19" s="352"/>
      <c r="VZC19" s="352"/>
      <c r="VZD19" s="352"/>
      <c r="VZE19" s="352"/>
      <c r="VZF19" s="352"/>
      <c r="VZG19" s="352"/>
      <c r="VZH19" s="352"/>
      <c r="VZI19" s="352"/>
      <c r="VZJ19" s="352"/>
      <c r="VZK19" s="352"/>
      <c r="VZL19" s="352"/>
      <c r="VZM19" s="352"/>
      <c r="VZN19" s="352"/>
      <c r="VZO19" s="352"/>
      <c r="VZP19" s="352"/>
      <c r="VZQ19" s="352"/>
      <c r="VZR19" s="352"/>
      <c r="VZS19" s="352"/>
      <c r="VZT19" s="352"/>
      <c r="VZU19" s="352"/>
      <c r="VZV19" s="352"/>
      <c r="VZW19" s="352"/>
      <c r="VZX19" s="352"/>
      <c r="VZY19" s="352"/>
      <c r="VZZ19" s="352"/>
      <c r="WAA19" s="352"/>
      <c r="WAB19" s="352"/>
      <c r="WAC19" s="352"/>
      <c r="WAD19" s="352"/>
      <c r="WAE19" s="352"/>
      <c r="WAF19" s="352"/>
      <c r="WAG19" s="352"/>
      <c r="WAH19" s="352"/>
      <c r="WAI19" s="352"/>
      <c r="WAJ19" s="352"/>
      <c r="WAK19" s="352"/>
      <c r="WAL19" s="352"/>
      <c r="WAM19" s="352"/>
      <c r="WAN19" s="352"/>
      <c r="WAO19" s="352"/>
      <c r="WAP19" s="352"/>
      <c r="WAQ19" s="352"/>
      <c r="WAR19" s="352"/>
      <c r="WAS19" s="352"/>
      <c r="WAT19" s="352"/>
      <c r="WAU19" s="352"/>
      <c r="WAV19" s="352"/>
      <c r="WAW19" s="352"/>
      <c r="WAX19" s="352"/>
      <c r="WAY19" s="352"/>
      <c r="WAZ19" s="352"/>
      <c r="WBA19" s="352"/>
      <c r="WBB19" s="352"/>
      <c r="WBC19" s="352"/>
      <c r="WBD19" s="352"/>
      <c r="WBE19" s="352"/>
      <c r="WBF19" s="352"/>
      <c r="WBG19" s="352"/>
      <c r="WBH19" s="352"/>
      <c r="WBI19" s="352"/>
      <c r="WBJ19" s="352"/>
      <c r="WBK19" s="352"/>
      <c r="WBL19" s="352"/>
      <c r="WBM19" s="352"/>
      <c r="WBN19" s="352"/>
      <c r="WBO19" s="352"/>
      <c r="WBP19" s="352"/>
      <c r="WBQ19" s="352"/>
      <c r="WBR19" s="352"/>
      <c r="WBS19" s="352"/>
      <c r="WBT19" s="352"/>
      <c r="WBU19" s="352"/>
      <c r="WBV19" s="352"/>
      <c r="WBW19" s="352"/>
      <c r="WBX19" s="352"/>
      <c r="WBY19" s="352"/>
      <c r="WBZ19" s="352"/>
      <c r="WCA19" s="352"/>
      <c r="WCB19" s="352"/>
      <c r="WCC19" s="352"/>
      <c r="WCD19" s="352"/>
      <c r="WCE19" s="352"/>
      <c r="WCF19" s="352"/>
      <c r="WCG19" s="352"/>
      <c r="WCH19" s="352"/>
      <c r="WCI19" s="352"/>
      <c r="WCJ19" s="352"/>
      <c r="WCK19" s="352"/>
      <c r="WCL19" s="352"/>
      <c r="WCM19" s="352"/>
      <c r="WCN19" s="352"/>
      <c r="WCO19" s="352"/>
      <c r="WCP19" s="352"/>
      <c r="WCQ19" s="352"/>
      <c r="WCR19" s="352"/>
      <c r="WCS19" s="352"/>
      <c r="WCT19" s="352"/>
      <c r="WCU19" s="352"/>
      <c r="WCV19" s="352"/>
      <c r="WCW19" s="352"/>
      <c r="WCX19" s="352"/>
      <c r="WCY19" s="352"/>
      <c r="WCZ19" s="352"/>
      <c r="WDA19" s="352"/>
      <c r="WDB19" s="352"/>
      <c r="WDC19" s="352"/>
      <c r="WDD19" s="352"/>
      <c r="WDE19" s="352"/>
      <c r="WDF19" s="352"/>
      <c r="WDG19" s="352"/>
      <c r="WDH19" s="352"/>
      <c r="WDI19" s="352"/>
      <c r="WDJ19" s="352"/>
      <c r="WDK19" s="352"/>
      <c r="WDL19" s="352"/>
      <c r="WDM19" s="352"/>
      <c r="WDN19" s="352"/>
      <c r="WDO19" s="352"/>
      <c r="WDP19" s="352"/>
      <c r="WDQ19" s="352"/>
      <c r="WDR19" s="352"/>
      <c r="WDS19" s="352"/>
      <c r="WDT19" s="352"/>
      <c r="WDU19" s="352"/>
      <c r="WDV19" s="352"/>
      <c r="WDW19" s="352"/>
      <c r="WDX19" s="352"/>
      <c r="WDY19" s="352"/>
      <c r="WDZ19" s="352"/>
      <c r="WEA19" s="352"/>
      <c r="WEB19" s="352"/>
      <c r="WEC19" s="352"/>
      <c r="WED19" s="352"/>
      <c r="WEE19" s="352"/>
      <c r="WEF19" s="352"/>
      <c r="WEG19" s="352"/>
      <c r="WEH19" s="352"/>
      <c r="WEI19" s="352"/>
      <c r="WEJ19" s="352"/>
      <c r="WEK19" s="352"/>
      <c r="WEL19" s="352"/>
      <c r="WEM19" s="352"/>
      <c r="WEN19" s="352"/>
      <c r="WEO19" s="352"/>
      <c r="WEP19" s="352"/>
      <c r="WEQ19" s="352"/>
      <c r="WER19" s="352"/>
      <c r="WES19" s="352"/>
      <c r="WET19" s="352"/>
      <c r="WEU19" s="352"/>
      <c r="WEV19" s="352"/>
      <c r="WEW19" s="352"/>
      <c r="WEX19" s="352"/>
      <c r="WEY19" s="352"/>
      <c r="WEZ19" s="352"/>
      <c r="WFA19" s="352"/>
      <c r="WFB19" s="352"/>
      <c r="WFC19" s="352"/>
      <c r="WFD19" s="352"/>
      <c r="WFE19" s="352"/>
      <c r="WFF19" s="352"/>
      <c r="WFG19" s="352"/>
      <c r="WFH19" s="352"/>
      <c r="WFI19" s="352"/>
      <c r="WFJ19" s="352"/>
      <c r="WFK19" s="352"/>
      <c r="WFL19" s="352"/>
      <c r="WFM19" s="352"/>
      <c r="WFN19" s="352"/>
      <c r="WFO19" s="352"/>
      <c r="WFP19" s="352"/>
      <c r="WFQ19" s="352"/>
      <c r="WFR19" s="352"/>
      <c r="WFS19" s="352"/>
      <c r="WFT19" s="352"/>
      <c r="WFU19" s="352"/>
      <c r="WFV19" s="352"/>
      <c r="WFW19" s="352"/>
      <c r="WFX19" s="352"/>
      <c r="WFY19" s="352"/>
      <c r="WFZ19" s="352"/>
      <c r="WGA19" s="352"/>
      <c r="WGB19" s="352"/>
      <c r="WGC19" s="352"/>
      <c r="WGD19" s="352"/>
      <c r="WGE19" s="352"/>
      <c r="WGF19" s="352"/>
      <c r="WGG19" s="352"/>
      <c r="WGH19" s="352"/>
      <c r="WGI19" s="352"/>
      <c r="WGJ19" s="352"/>
      <c r="WGK19" s="352"/>
      <c r="WGL19" s="352"/>
      <c r="WGM19" s="352"/>
      <c r="WGN19" s="352"/>
      <c r="WGO19" s="352"/>
      <c r="WGP19" s="352"/>
      <c r="WGQ19" s="352"/>
      <c r="WGR19" s="352"/>
      <c r="WGS19" s="352"/>
      <c r="WGT19" s="352"/>
      <c r="WGU19" s="352"/>
      <c r="WGV19" s="352"/>
      <c r="WGW19" s="352"/>
      <c r="WGX19" s="352"/>
      <c r="WGY19" s="352"/>
      <c r="WGZ19" s="352"/>
      <c r="WHA19" s="352"/>
      <c r="WHB19" s="352"/>
      <c r="WHC19" s="352"/>
      <c r="WHD19" s="352"/>
      <c r="WHE19" s="352"/>
      <c r="WHF19" s="352"/>
      <c r="WHG19" s="352"/>
      <c r="WHH19" s="352"/>
      <c r="WHI19" s="352"/>
      <c r="WHJ19" s="352"/>
      <c r="WHK19" s="352"/>
      <c r="WHL19" s="352"/>
      <c r="WHM19" s="352"/>
      <c r="WHN19" s="352"/>
      <c r="WHO19" s="352"/>
      <c r="WHP19" s="352"/>
      <c r="WHQ19" s="352"/>
      <c r="WHR19" s="352"/>
      <c r="WHS19" s="352"/>
      <c r="WHT19" s="352"/>
      <c r="WHU19" s="352"/>
      <c r="WHV19" s="352"/>
      <c r="WHW19" s="352"/>
      <c r="WHX19" s="352"/>
      <c r="WHY19" s="352"/>
      <c r="WHZ19" s="352"/>
      <c r="WIA19" s="352"/>
      <c r="WIB19" s="352"/>
      <c r="WIC19" s="352"/>
      <c r="WID19" s="352"/>
      <c r="WIE19" s="352"/>
      <c r="WIF19" s="352"/>
      <c r="WIG19" s="352"/>
      <c r="WIH19" s="352"/>
      <c r="WII19" s="352"/>
      <c r="WIJ19" s="352"/>
      <c r="WIK19" s="352"/>
      <c r="WIL19" s="352"/>
      <c r="WIM19" s="352"/>
      <c r="WIN19" s="352"/>
      <c r="WIO19" s="352"/>
      <c r="WIP19" s="352"/>
      <c r="WIQ19" s="352"/>
      <c r="WIR19" s="352"/>
      <c r="WIS19" s="352"/>
      <c r="WIT19" s="352"/>
      <c r="WIU19" s="352"/>
      <c r="WIV19" s="352"/>
      <c r="WIW19" s="352"/>
      <c r="WIX19" s="352"/>
      <c r="WIY19" s="352"/>
      <c r="WIZ19" s="352"/>
      <c r="WJA19" s="352"/>
      <c r="WJB19" s="352"/>
      <c r="WJC19" s="352"/>
      <c r="WJD19" s="352"/>
      <c r="WJE19" s="352"/>
      <c r="WJF19" s="352"/>
      <c r="WJG19" s="352"/>
      <c r="WJH19" s="352"/>
      <c r="WJI19" s="352"/>
      <c r="WJJ19" s="352"/>
      <c r="WJK19" s="352"/>
      <c r="WJL19" s="352"/>
      <c r="WJM19" s="352"/>
      <c r="WJN19" s="352"/>
      <c r="WJO19" s="352"/>
      <c r="WJP19" s="352"/>
      <c r="WJQ19" s="352"/>
      <c r="WJR19" s="352"/>
      <c r="WJS19" s="352"/>
      <c r="WJT19" s="352"/>
      <c r="WJU19" s="352"/>
      <c r="WJV19" s="352"/>
      <c r="WJW19" s="352"/>
      <c r="WJX19" s="352"/>
      <c r="WJY19" s="352"/>
      <c r="WJZ19" s="352"/>
      <c r="WKA19" s="352"/>
      <c r="WKB19" s="352"/>
      <c r="WKC19" s="352"/>
      <c r="WKD19" s="352"/>
      <c r="WKE19" s="352"/>
      <c r="WKF19" s="352"/>
      <c r="WKG19" s="352"/>
      <c r="WKH19" s="352"/>
      <c r="WKI19" s="352"/>
      <c r="WKJ19" s="352"/>
      <c r="WKK19" s="352"/>
      <c r="WKL19" s="352"/>
      <c r="WKM19" s="352"/>
      <c r="WKN19" s="352"/>
      <c r="WKO19" s="352"/>
      <c r="WKP19" s="352"/>
      <c r="WKQ19" s="352"/>
      <c r="WKR19" s="352"/>
      <c r="WKS19" s="352"/>
      <c r="WKT19" s="352"/>
      <c r="WKU19" s="352"/>
      <c r="WKV19" s="352"/>
      <c r="WKW19" s="352"/>
      <c r="WKX19" s="352"/>
      <c r="WKY19" s="352"/>
      <c r="WKZ19" s="352"/>
      <c r="WLA19" s="352"/>
      <c r="WLB19" s="352"/>
      <c r="WLC19" s="352"/>
      <c r="WLD19" s="352"/>
      <c r="WLE19" s="352"/>
      <c r="WLF19" s="352"/>
      <c r="WLG19" s="352"/>
      <c r="WLH19" s="352"/>
      <c r="WLI19" s="352"/>
      <c r="WLJ19" s="352"/>
      <c r="WLK19" s="352"/>
      <c r="WLL19" s="352"/>
      <c r="WLM19" s="352"/>
      <c r="WLN19" s="352"/>
      <c r="WLO19" s="352"/>
      <c r="WLP19" s="352"/>
      <c r="WLQ19" s="352"/>
      <c r="WLR19" s="352"/>
      <c r="WLS19" s="352"/>
      <c r="WLT19" s="352"/>
      <c r="WLU19" s="352"/>
      <c r="WLV19" s="352"/>
      <c r="WLW19" s="352"/>
      <c r="WLX19" s="352"/>
      <c r="WLY19" s="352"/>
      <c r="WLZ19" s="352"/>
      <c r="WMA19" s="352"/>
      <c r="WMB19" s="352"/>
      <c r="WMC19" s="352"/>
      <c r="WMD19" s="352"/>
      <c r="WME19" s="352"/>
      <c r="WMF19" s="352"/>
      <c r="WMG19" s="352"/>
      <c r="WMH19" s="352"/>
      <c r="WMI19" s="352"/>
      <c r="WMJ19" s="352"/>
      <c r="WMK19" s="352"/>
      <c r="WML19" s="352"/>
      <c r="WMM19" s="352"/>
      <c r="WMN19" s="352"/>
      <c r="WMO19" s="352"/>
      <c r="WMP19" s="352"/>
      <c r="WMQ19" s="352"/>
      <c r="WMR19" s="352"/>
      <c r="WMS19" s="352"/>
      <c r="WMT19" s="352"/>
      <c r="WMU19" s="352"/>
      <c r="WMV19" s="352"/>
      <c r="WMW19" s="352"/>
      <c r="WMX19" s="352"/>
      <c r="WMY19" s="352"/>
      <c r="WMZ19" s="352"/>
      <c r="WNA19" s="352"/>
      <c r="WNB19" s="352"/>
      <c r="WNC19" s="352"/>
      <c r="WND19" s="352"/>
      <c r="WNE19" s="352"/>
      <c r="WNF19" s="352"/>
      <c r="WNG19" s="352"/>
      <c r="WNH19" s="352"/>
      <c r="WNI19" s="352"/>
      <c r="WNJ19" s="352"/>
      <c r="WNK19" s="352"/>
      <c r="WNL19" s="352"/>
      <c r="WNM19" s="352"/>
      <c r="WNN19" s="352"/>
      <c r="WNO19" s="352"/>
      <c r="WNP19" s="352"/>
      <c r="WNQ19" s="352"/>
      <c r="WNR19" s="352"/>
      <c r="WNS19" s="352"/>
      <c r="WNT19" s="352"/>
      <c r="WNU19" s="352"/>
      <c r="WNV19" s="352"/>
      <c r="WNW19" s="352"/>
      <c r="WNX19" s="352"/>
      <c r="WNY19" s="352"/>
      <c r="WNZ19" s="352"/>
      <c r="WOA19" s="352"/>
      <c r="WOB19" s="352"/>
      <c r="WOC19" s="352"/>
      <c r="WOD19" s="352"/>
      <c r="WOE19" s="352"/>
      <c r="WOF19" s="352"/>
      <c r="WOG19" s="352"/>
      <c r="WOH19" s="352"/>
      <c r="WOI19" s="352"/>
      <c r="WOJ19" s="352"/>
      <c r="WOK19" s="352"/>
      <c r="WOL19" s="352"/>
      <c r="WOM19" s="352"/>
      <c r="WON19" s="352"/>
      <c r="WOO19" s="352"/>
      <c r="WOP19" s="352"/>
      <c r="WOQ19" s="352"/>
      <c r="WOR19" s="352"/>
      <c r="WOS19" s="352"/>
      <c r="WOT19" s="352"/>
      <c r="WOU19" s="352"/>
      <c r="WOV19" s="352"/>
      <c r="WOW19" s="352"/>
      <c r="WOX19" s="352"/>
      <c r="WOY19" s="352"/>
      <c r="WOZ19" s="352"/>
      <c r="WPA19" s="352"/>
      <c r="WPB19" s="352"/>
      <c r="WPC19" s="352"/>
      <c r="WPD19" s="352"/>
      <c r="WPE19" s="352"/>
      <c r="WPF19" s="352"/>
      <c r="WPG19" s="352"/>
      <c r="WPH19" s="352"/>
      <c r="WPI19" s="352"/>
      <c r="WPJ19" s="352"/>
      <c r="WPK19" s="352"/>
      <c r="WPL19" s="352"/>
      <c r="WPM19" s="352"/>
      <c r="WPN19" s="352"/>
      <c r="WPO19" s="352"/>
      <c r="WPP19" s="352"/>
      <c r="WPQ19" s="352"/>
      <c r="WPR19" s="352"/>
      <c r="WPS19" s="352"/>
      <c r="WPT19" s="352"/>
      <c r="WPU19" s="352"/>
      <c r="WPV19" s="352"/>
      <c r="WPW19" s="352"/>
      <c r="WPX19" s="352"/>
      <c r="WPY19" s="352"/>
      <c r="WPZ19" s="352"/>
      <c r="WQA19" s="352"/>
      <c r="WQB19" s="352"/>
      <c r="WQC19" s="352"/>
      <c r="WQD19" s="352"/>
      <c r="WQE19" s="352"/>
      <c r="WQF19" s="352"/>
      <c r="WQG19" s="352"/>
      <c r="WQH19" s="352"/>
      <c r="WQI19" s="352"/>
      <c r="WQJ19" s="352"/>
      <c r="WQK19" s="352"/>
      <c r="WQL19" s="352"/>
      <c r="WQM19" s="352"/>
      <c r="WQN19" s="352"/>
      <c r="WQO19" s="352"/>
      <c r="WQP19" s="352"/>
      <c r="WQQ19" s="352"/>
      <c r="WQR19" s="352"/>
      <c r="WQS19" s="352"/>
      <c r="WQT19" s="352"/>
      <c r="WQU19" s="352"/>
      <c r="WQV19" s="352"/>
      <c r="WQW19" s="352"/>
      <c r="WQX19" s="352"/>
      <c r="WQY19" s="352"/>
      <c r="WQZ19" s="352"/>
      <c r="WRA19" s="352"/>
      <c r="WRB19" s="352"/>
      <c r="WRC19" s="352"/>
      <c r="WRD19" s="352"/>
      <c r="WRE19" s="352"/>
      <c r="WRF19" s="352"/>
      <c r="WRG19" s="352"/>
      <c r="WRH19" s="352"/>
      <c r="WRI19" s="352"/>
      <c r="WRJ19" s="352"/>
      <c r="WRK19" s="352"/>
      <c r="WRL19" s="352"/>
      <c r="WRM19" s="352"/>
      <c r="WRN19" s="352"/>
      <c r="WRO19" s="352"/>
      <c r="WRP19" s="352"/>
      <c r="WRQ19" s="352"/>
      <c r="WRR19" s="352"/>
      <c r="WRS19" s="352"/>
      <c r="WRT19" s="352"/>
      <c r="WRU19" s="352"/>
      <c r="WRV19" s="352"/>
      <c r="WRW19" s="352"/>
      <c r="WRX19" s="352"/>
      <c r="WRY19" s="352"/>
      <c r="WRZ19" s="352"/>
      <c r="WSA19" s="352"/>
      <c r="WSB19" s="352"/>
      <c r="WSC19" s="352"/>
      <c r="WSD19" s="352"/>
      <c r="WSE19" s="352"/>
      <c r="WSF19" s="352"/>
      <c r="WSG19" s="352"/>
      <c r="WSH19" s="352"/>
      <c r="WSI19" s="352"/>
      <c r="WSJ19" s="352"/>
      <c r="WSK19" s="352"/>
      <c r="WSL19" s="352"/>
      <c r="WSM19" s="352"/>
      <c r="WSN19" s="352"/>
      <c r="WSO19" s="352"/>
      <c r="WSP19" s="352"/>
      <c r="WSQ19" s="352"/>
      <c r="WSR19" s="352"/>
      <c r="WSS19" s="352"/>
      <c r="WST19" s="352"/>
      <c r="WSU19" s="352"/>
      <c r="WSV19" s="352"/>
      <c r="WSW19" s="352"/>
      <c r="WSX19" s="352"/>
      <c r="WSY19" s="352"/>
      <c r="WSZ19" s="352"/>
      <c r="WTA19" s="352"/>
      <c r="WTB19" s="352"/>
      <c r="WTC19" s="352"/>
      <c r="WTD19" s="352"/>
      <c r="WTE19" s="352"/>
      <c r="WTF19" s="352"/>
      <c r="WTG19" s="352"/>
      <c r="WTH19" s="352"/>
      <c r="WTI19" s="352"/>
      <c r="WTJ19" s="352"/>
      <c r="WTK19" s="352"/>
      <c r="WTL19" s="352"/>
      <c r="WTM19" s="352"/>
      <c r="WTN19" s="352"/>
      <c r="WTO19" s="352"/>
      <c r="WTP19" s="352"/>
      <c r="WTQ19" s="352"/>
      <c r="WTR19" s="352"/>
      <c r="WTS19" s="352"/>
      <c r="WTT19" s="352"/>
      <c r="WTU19" s="352"/>
      <c r="WTV19" s="352"/>
      <c r="WTW19" s="352"/>
      <c r="WTX19" s="352"/>
      <c r="WTY19" s="352"/>
      <c r="WTZ19" s="352"/>
      <c r="WUA19" s="352"/>
      <c r="WUB19" s="352"/>
      <c r="WUC19" s="352"/>
      <c r="WUD19" s="352"/>
      <c r="WUE19" s="352"/>
      <c r="WUF19" s="352"/>
      <c r="WUG19" s="352"/>
      <c r="WUH19" s="352"/>
      <c r="WUI19" s="352"/>
      <c r="WUJ19" s="352"/>
      <c r="WUK19" s="352"/>
      <c r="WUL19" s="352"/>
      <c r="WUM19" s="352"/>
      <c r="WUN19" s="352"/>
      <c r="WUO19" s="352"/>
      <c r="WUP19" s="352"/>
      <c r="WUQ19" s="352"/>
      <c r="WUR19" s="352"/>
      <c r="WUS19" s="352"/>
      <c r="WUT19" s="352"/>
      <c r="WUU19" s="352"/>
      <c r="WUV19" s="352"/>
      <c r="WUW19" s="352"/>
      <c r="WUX19" s="352"/>
      <c r="WUY19" s="352"/>
      <c r="WUZ19" s="352"/>
      <c r="WVA19" s="352"/>
      <c r="WVB19" s="352"/>
      <c r="WVC19" s="352"/>
      <c r="WVD19" s="352"/>
      <c r="WVE19" s="352"/>
      <c r="WVF19" s="352"/>
      <c r="WVG19" s="352"/>
      <c r="WVH19" s="352"/>
      <c r="WVI19" s="352"/>
      <c r="WVJ19" s="352"/>
      <c r="WVK19" s="352"/>
      <c r="WVL19" s="352"/>
      <c r="WVM19" s="352"/>
      <c r="WVN19" s="352"/>
      <c r="WVO19" s="352"/>
      <c r="WVP19" s="352"/>
      <c r="WVQ19" s="352"/>
      <c r="WVR19" s="352"/>
      <c r="WVS19" s="352"/>
      <c r="WVT19" s="352"/>
      <c r="WVU19" s="352"/>
      <c r="WVV19" s="352"/>
      <c r="WVW19" s="352"/>
      <c r="WVX19" s="352"/>
      <c r="WVY19" s="352"/>
      <c r="WVZ19" s="352"/>
      <c r="WWA19" s="352"/>
      <c r="WWB19" s="352"/>
      <c r="WWC19" s="352"/>
      <c r="WWD19" s="352"/>
      <c r="WWE19" s="352"/>
      <c r="WWF19" s="352"/>
      <c r="WWG19" s="352"/>
      <c r="WWH19" s="352"/>
      <c r="WWI19" s="352"/>
      <c r="WWJ19" s="352"/>
      <c r="WWK19" s="352"/>
      <c r="WWL19" s="352"/>
      <c r="WWM19" s="352"/>
      <c r="WWN19" s="352"/>
      <c r="WWO19" s="352"/>
      <c r="WWP19" s="352"/>
      <c r="WWQ19" s="352"/>
      <c r="WWR19" s="352"/>
      <c r="WWS19" s="352"/>
      <c r="WWT19" s="352"/>
      <c r="WWU19" s="352"/>
      <c r="WWV19" s="352"/>
      <c r="WWW19" s="352"/>
      <c r="WWX19" s="352"/>
      <c r="WWY19" s="352"/>
      <c r="WWZ19" s="352"/>
      <c r="WXA19" s="352"/>
      <c r="WXB19" s="352"/>
      <c r="WXC19" s="352"/>
      <c r="WXD19" s="352"/>
      <c r="WXE19" s="352"/>
      <c r="WXF19" s="352"/>
      <c r="WXG19" s="352"/>
      <c r="WXH19" s="352"/>
      <c r="WXI19" s="352"/>
      <c r="WXJ19" s="352"/>
      <c r="WXK19" s="352"/>
      <c r="WXL19" s="352"/>
      <c r="WXM19" s="352"/>
      <c r="WXN19" s="352"/>
      <c r="WXO19" s="352"/>
      <c r="WXP19" s="352"/>
      <c r="WXQ19" s="352"/>
      <c r="WXR19" s="352"/>
      <c r="WXS19" s="352"/>
      <c r="WXT19" s="352"/>
      <c r="WXU19" s="352"/>
      <c r="WXV19" s="352"/>
      <c r="WXW19" s="352"/>
      <c r="WXX19" s="352"/>
      <c r="WXY19" s="352"/>
      <c r="WXZ19" s="352"/>
      <c r="WYA19" s="352"/>
      <c r="WYB19" s="352"/>
      <c r="WYC19" s="352"/>
      <c r="WYD19" s="352"/>
      <c r="WYE19" s="352"/>
      <c r="WYF19" s="352"/>
      <c r="WYG19" s="352"/>
      <c r="WYH19" s="352"/>
      <c r="WYI19" s="352"/>
      <c r="WYJ19" s="352"/>
      <c r="WYK19" s="352"/>
      <c r="WYL19" s="352"/>
      <c r="WYM19" s="352"/>
      <c r="WYN19" s="352"/>
      <c r="WYO19" s="352"/>
      <c r="WYP19" s="352"/>
      <c r="WYQ19" s="352"/>
      <c r="WYR19" s="352"/>
      <c r="WYS19" s="352"/>
      <c r="WYT19" s="352"/>
      <c r="WYU19" s="352"/>
      <c r="WYV19" s="352"/>
      <c r="WYW19" s="352"/>
      <c r="WYX19" s="352"/>
      <c r="WYY19" s="352"/>
      <c r="WYZ19" s="352"/>
      <c r="WZA19" s="352"/>
      <c r="WZB19" s="352"/>
      <c r="WZC19" s="352"/>
      <c r="WZD19" s="352"/>
      <c r="WZE19" s="352"/>
      <c r="WZF19" s="352"/>
      <c r="WZG19" s="352"/>
      <c r="WZH19" s="352"/>
      <c r="WZI19" s="352"/>
      <c r="WZJ19" s="352"/>
      <c r="WZK19" s="352"/>
      <c r="WZL19" s="352"/>
      <c r="WZM19" s="352"/>
      <c r="WZN19" s="352"/>
      <c r="WZO19" s="352"/>
      <c r="WZP19" s="352"/>
      <c r="WZQ19" s="352"/>
      <c r="WZR19" s="352"/>
      <c r="WZS19" s="352"/>
      <c r="WZT19" s="352"/>
      <c r="WZU19" s="352"/>
      <c r="WZV19" s="352"/>
      <c r="WZW19" s="352"/>
      <c r="WZX19" s="352"/>
      <c r="WZY19" s="352"/>
      <c r="WZZ19" s="352"/>
      <c r="XAA19" s="352"/>
      <c r="XAB19" s="352"/>
      <c r="XAC19" s="352"/>
      <c r="XAD19" s="352"/>
      <c r="XAE19" s="352"/>
      <c r="XAF19" s="352"/>
      <c r="XAG19" s="352"/>
      <c r="XAH19" s="352"/>
      <c r="XAI19" s="352"/>
      <c r="XAJ19" s="352"/>
      <c r="XAK19" s="352"/>
      <c r="XAL19" s="352"/>
      <c r="XAM19" s="352"/>
      <c r="XAN19" s="352"/>
      <c r="XAO19" s="352"/>
      <c r="XAP19" s="352"/>
      <c r="XAQ19" s="352"/>
      <c r="XAR19" s="352"/>
      <c r="XAS19" s="352"/>
      <c r="XAT19" s="352"/>
      <c r="XAU19" s="352"/>
      <c r="XAV19" s="352"/>
      <c r="XAW19" s="352"/>
      <c r="XAX19" s="352"/>
      <c r="XAY19" s="352"/>
      <c r="XAZ19" s="352"/>
      <c r="XBA19" s="352"/>
      <c r="XBB19" s="352"/>
      <c r="XBC19" s="352"/>
      <c r="XBD19" s="352"/>
      <c r="XBE19" s="352"/>
      <c r="XBF19" s="352"/>
      <c r="XBG19" s="352"/>
      <c r="XBH19" s="352"/>
      <c r="XBI19" s="352"/>
      <c r="XBJ19" s="352"/>
      <c r="XBK19" s="352"/>
      <c r="XBL19" s="352"/>
      <c r="XBM19" s="352"/>
      <c r="XBN19" s="352"/>
      <c r="XBO19" s="352"/>
      <c r="XBP19" s="352"/>
      <c r="XBQ19" s="352"/>
      <c r="XBR19" s="352"/>
      <c r="XBS19" s="352"/>
      <c r="XBT19" s="352"/>
      <c r="XBU19" s="352"/>
      <c r="XBV19" s="352"/>
      <c r="XBW19" s="352"/>
      <c r="XBX19" s="352"/>
      <c r="XBY19" s="352"/>
      <c r="XBZ19" s="352"/>
      <c r="XCA19" s="352"/>
      <c r="XCB19" s="352"/>
      <c r="XCC19" s="352"/>
      <c r="XCD19" s="352"/>
      <c r="XCE19" s="352"/>
      <c r="XCF19" s="352"/>
      <c r="XCG19" s="352"/>
      <c r="XCH19" s="352"/>
      <c r="XCI19" s="352"/>
      <c r="XCJ19" s="352"/>
      <c r="XCK19" s="352"/>
      <c r="XCL19" s="352"/>
      <c r="XCM19" s="352"/>
      <c r="XCN19" s="352"/>
      <c r="XCO19" s="352"/>
      <c r="XCP19" s="352"/>
      <c r="XCQ19" s="352"/>
      <c r="XCR19" s="352"/>
      <c r="XCS19" s="352"/>
      <c r="XCT19" s="352"/>
      <c r="XCU19" s="352"/>
      <c r="XCV19" s="352"/>
      <c r="XCW19" s="352"/>
      <c r="XCX19" s="352"/>
      <c r="XCY19" s="352"/>
      <c r="XCZ19" s="352"/>
      <c r="XDA19" s="352"/>
      <c r="XDB19" s="352"/>
      <c r="XDC19" s="352"/>
      <c r="XDD19" s="352"/>
      <c r="XDE19" s="352"/>
      <c r="XDF19" s="352"/>
      <c r="XDG19" s="352"/>
      <c r="XDH19" s="352"/>
      <c r="XDI19" s="352"/>
      <c r="XDJ19" s="352"/>
      <c r="XDK19" s="352"/>
      <c r="XDL19" s="352"/>
      <c r="XDM19" s="352"/>
      <c r="XDN19" s="352"/>
      <c r="XDO19" s="352"/>
      <c r="XDP19" s="352"/>
      <c r="XDQ19" s="352"/>
      <c r="XDR19" s="352"/>
      <c r="XDS19" s="352"/>
      <c r="XDT19" s="352"/>
      <c r="XDU19" s="352"/>
      <c r="XDV19" s="352"/>
      <c r="XDW19" s="352"/>
      <c r="XDX19" s="352"/>
      <c r="XDY19" s="352"/>
      <c r="XDZ19" s="352"/>
      <c r="XEA19" s="352"/>
      <c r="XEB19" s="352"/>
      <c r="XEC19" s="352"/>
      <c r="XED19" s="352"/>
      <c r="XEE19" s="352"/>
      <c r="XEF19" s="352"/>
      <c r="XEG19" s="352"/>
      <c r="XEH19" s="352"/>
      <c r="XEI19" s="352"/>
      <c r="XEJ19" s="352"/>
      <c r="XEK19" s="352"/>
      <c r="XEL19" s="352"/>
      <c r="XEM19" s="352"/>
      <c r="XEN19" s="352"/>
      <c r="XEO19" s="352"/>
      <c r="XEP19" s="352"/>
      <c r="XEQ19" s="352"/>
      <c r="XER19" s="352"/>
      <c r="XES19" s="352"/>
      <c r="XET19" s="352"/>
      <c r="XEU19" s="352"/>
      <c r="XEV19" s="352"/>
      <c r="XEW19" s="352"/>
      <c r="XEX19" s="352"/>
      <c r="XEY19" s="352"/>
      <c r="XEZ19" s="352"/>
      <c r="XFA19" s="352"/>
      <c r="XFB19" s="352"/>
      <c r="XFC19" s="352"/>
    </row>
    <row r="20" s="351" customFormat="1" spans="1:16383">
      <c r="A20" s="352"/>
      <c r="B20" s="353"/>
      <c r="C20" s="353"/>
      <c r="D20" s="353"/>
      <c r="E20" s="353"/>
      <c r="F20" s="353"/>
      <c r="G20" s="353"/>
      <c r="H20" s="353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352"/>
      <c r="AB20" s="352"/>
      <c r="AC20" s="352"/>
      <c r="AD20" s="352"/>
      <c r="AE20" s="352"/>
      <c r="AF20" s="352"/>
      <c r="AG20" s="352"/>
      <c r="AH20" s="352"/>
      <c r="AI20" s="352"/>
      <c r="AJ20" s="352"/>
      <c r="AK20" s="352"/>
      <c r="AL20" s="352"/>
      <c r="AM20" s="352"/>
      <c r="AN20" s="352"/>
      <c r="AO20" s="352"/>
      <c r="AP20" s="352"/>
      <c r="AQ20" s="352"/>
      <c r="AR20" s="352"/>
      <c r="AS20" s="352"/>
      <c r="AT20" s="352"/>
      <c r="AU20" s="352"/>
      <c r="AV20" s="352"/>
      <c r="AW20" s="352"/>
      <c r="AX20" s="352"/>
      <c r="AY20" s="352"/>
      <c r="AZ20" s="352"/>
      <c r="BA20" s="352"/>
      <c r="BB20" s="352"/>
      <c r="BC20" s="352"/>
      <c r="BD20" s="352"/>
      <c r="BE20" s="352"/>
      <c r="BF20" s="352"/>
      <c r="BG20" s="352"/>
      <c r="BH20" s="352"/>
      <c r="BI20" s="352"/>
      <c r="BJ20" s="352"/>
      <c r="BK20" s="352"/>
      <c r="BL20" s="352"/>
      <c r="BM20" s="352"/>
      <c r="BN20" s="352"/>
      <c r="BO20" s="352"/>
      <c r="BP20" s="352"/>
      <c r="BQ20" s="352"/>
      <c r="BR20" s="352"/>
      <c r="BS20" s="352"/>
      <c r="BT20" s="352"/>
      <c r="BU20" s="352"/>
      <c r="BV20" s="352"/>
      <c r="BW20" s="352"/>
      <c r="BX20" s="352"/>
      <c r="BY20" s="352"/>
      <c r="BZ20" s="352"/>
      <c r="CA20" s="352"/>
      <c r="CB20" s="352"/>
      <c r="CC20" s="352"/>
      <c r="CD20" s="352"/>
      <c r="CE20" s="352"/>
      <c r="CF20" s="352"/>
      <c r="CG20" s="352"/>
      <c r="CH20" s="352"/>
      <c r="CI20" s="352"/>
      <c r="CJ20" s="352"/>
      <c r="CK20" s="352"/>
      <c r="CL20" s="352"/>
      <c r="CM20" s="352"/>
      <c r="CN20" s="352"/>
      <c r="CO20" s="352"/>
      <c r="CP20" s="352"/>
      <c r="CQ20" s="352"/>
      <c r="CR20" s="352"/>
      <c r="CS20" s="352"/>
      <c r="CT20" s="352"/>
      <c r="CU20" s="352"/>
      <c r="CV20" s="352"/>
      <c r="CW20" s="352"/>
      <c r="CX20" s="352"/>
      <c r="CY20" s="352"/>
      <c r="CZ20" s="352"/>
      <c r="DA20" s="352"/>
      <c r="DB20" s="352"/>
      <c r="DC20" s="352"/>
      <c r="DD20" s="352"/>
      <c r="DE20" s="352"/>
      <c r="DF20" s="352"/>
      <c r="DG20" s="352"/>
      <c r="DH20" s="352"/>
      <c r="DI20" s="352"/>
      <c r="DJ20" s="352"/>
      <c r="DK20" s="352"/>
      <c r="DL20" s="352"/>
      <c r="DM20" s="352"/>
      <c r="DN20" s="352"/>
      <c r="DO20" s="352"/>
      <c r="DP20" s="352"/>
      <c r="DQ20" s="352"/>
      <c r="DR20" s="352"/>
      <c r="DS20" s="352"/>
      <c r="DT20" s="352"/>
      <c r="DU20" s="352"/>
      <c r="DV20" s="352"/>
      <c r="DW20" s="352"/>
      <c r="DX20" s="352"/>
      <c r="DY20" s="352"/>
      <c r="DZ20" s="352"/>
      <c r="EA20" s="352"/>
      <c r="EB20" s="352"/>
      <c r="EC20" s="352"/>
      <c r="ED20" s="352"/>
      <c r="EE20" s="352"/>
      <c r="EF20" s="352"/>
      <c r="EG20" s="352"/>
      <c r="EH20" s="352"/>
      <c r="EI20" s="352"/>
      <c r="EJ20" s="352"/>
      <c r="EK20" s="352"/>
      <c r="EL20" s="352"/>
      <c r="EM20" s="352"/>
      <c r="EN20" s="352"/>
      <c r="EO20" s="352"/>
      <c r="EP20" s="352"/>
      <c r="EQ20" s="352"/>
      <c r="ER20" s="352"/>
      <c r="ES20" s="352"/>
      <c r="ET20" s="352"/>
      <c r="EU20" s="352"/>
      <c r="EV20" s="352"/>
      <c r="EW20" s="352"/>
      <c r="EX20" s="352"/>
      <c r="EY20" s="352"/>
      <c r="EZ20" s="352"/>
      <c r="FA20" s="352"/>
      <c r="FB20" s="352"/>
      <c r="FC20" s="352"/>
      <c r="FD20" s="352"/>
      <c r="FE20" s="352"/>
      <c r="FF20" s="352"/>
      <c r="FG20" s="352"/>
      <c r="FH20" s="352"/>
      <c r="FI20" s="352"/>
      <c r="FJ20" s="352"/>
      <c r="FK20" s="352"/>
      <c r="FL20" s="352"/>
      <c r="FM20" s="352"/>
      <c r="FN20" s="352"/>
      <c r="FO20" s="352"/>
      <c r="FP20" s="352"/>
      <c r="FQ20" s="352"/>
      <c r="FR20" s="352"/>
      <c r="FS20" s="352"/>
      <c r="FT20" s="352"/>
      <c r="FU20" s="352"/>
      <c r="FV20" s="352"/>
      <c r="FW20" s="352"/>
      <c r="FX20" s="352"/>
      <c r="FY20" s="352"/>
      <c r="FZ20" s="352"/>
      <c r="GA20" s="352"/>
      <c r="GB20" s="352"/>
      <c r="GC20" s="352"/>
      <c r="GD20" s="352"/>
      <c r="GE20" s="352"/>
      <c r="GF20" s="352"/>
      <c r="GG20" s="352"/>
      <c r="GH20" s="352"/>
      <c r="GI20" s="352"/>
      <c r="GJ20" s="352"/>
      <c r="GK20" s="352"/>
      <c r="GL20" s="352"/>
      <c r="GM20" s="352"/>
      <c r="GN20" s="352"/>
      <c r="GO20" s="352"/>
      <c r="GP20" s="352"/>
      <c r="GQ20" s="352"/>
      <c r="GR20" s="352"/>
      <c r="GS20" s="352"/>
      <c r="GT20" s="352"/>
      <c r="GU20" s="352"/>
      <c r="GV20" s="352"/>
      <c r="GW20" s="352"/>
      <c r="GX20" s="352"/>
      <c r="GY20" s="352"/>
      <c r="GZ20" s="352"/>
      <c r="HA20" s="352"/>
      <c r="HB20" s="352"/>
      <c r="HC20" s="352"/>
      <c r="HD20" s="352"/>
      <c r="HE20" s="352"/>
      <c r="HF20" s="352"/>
      <c r="HG20" s="352"/>
      <c r="HH20" s="352"/>
      <c r="HI20" s="352"/>
      <c r="HJ20" s="352"/>
      <c r="HK20" s="352"/>
      <c r="HL20" s="352"/>
      <c r="HM20" s="352"/>
      <c r="HN20" s="352"/>
      <c r="HO20" s="352"/>
      <c r="HP20" s="352"/>
      <c r="HQ20" s="352"/>
      <c r="HR20" s="352"/>
      <c r="HS20" s="352"/>
      <c r="HT20" s="352"/>
      <c r="HU20" s="352"/>
      <c r="HV20" s="352"/>
      <c r="HW20" s="352"/>
      <c r="HX20" s="352"/>
      <c r="HY20" s="352"/>
      <c r="HZ20" s="352"/>
      <c r="IA20" s="352"/>
      <c r="IB20" s="352"/>
      <c r="IC20" s="352"/>
      <c r="ID20" s="352"/>
      <c r="IE20" s="352"/>
      <c r="IF20" s="352"/>
      <c r="IG20" s="352"/>
      <c r="IH20" s="352"/>
      <c r="II20" s="352"/>
      <c r="IJ20" s="352"/>
      <c r="IK20" s="352"/>
      <c r="IL20" s="352"/>
      <c r="IM20" s="352"/>
      <c r="IN20" s="352"/>
      <c r="IO20" s="352"/>
      <c r="IP20" s="352"/>
      <c r="IQ20" s="352"/>
      <c r="IR20" s="352"/>
      <c r="IS20" s="352"/>
      <c r="IT20" s="352"/>
      <c r="IU20" s="352"/>
      <c r="IV20" s="352"/>
      <c r="IW20" s="352"/>
      <c r="IX20" s="352"/>
      <c r="IY20" s="352"/>
      <c r="IZ20" s="352"/>
      <c r="JA20" s="352"/>
      <c r="JB20" s="352"/>
      <c r="JC20" s="352"/>
      <c r="JD20" s="352"/>
      <c r="JE20" s="352"/>
      <c r="JF20" s="352"/>
      <c r="JG20" s="352"/>
      <c r="JH20" s="352"/>
      <c r="JI20" s="352"/>
      <c r="JJ20" s="352"/>
      <c r="JK20" s="352"/>
      <c r="JL20" s="352"/>
      <c r="JM20" s="352"/>
      <c r="JN20" s="352"/>
      <c r="JO20" s="352"/>
      <c r="JP20" s="352"/>
      <c r="JQ20" s="352"/>
      <c r="JR20" s="352"/>
      <c r="JS20" s="352"/>
      <c r="JT20" s="352"/>
      <c r="JU20" s="352"/>
      <c r="JV20" s="352"/>
      <c r="JW20" s="352"/>
      <c r="JX20" s="352"/>
      <c r="JY20" s="352"/>
      <c r="JZ20" s="352"/>
      <c r="KA20" s="352"/>
      <c r="KB20" s="352"/>
      <c r="KC20" s="352"/>
      <c r="KD20" s="352"/>
      <c r="KE20" s="352"/>
      <c r="KF20" s="352"/>
      <c r="KG20" s="352"/>
      <c r="KH20" s="352"/>
      <c r="KI20" s="352"/>
      <c r="KJ20" s="352"/>
      <c r="KK20" s="352"/>
      <c r="KL20" s="352"/>
      <c r="KM20" s="352"/>
      <c r="KN20" s="352"/>
      <c r="KO20" s="352"/>
      <c r="KP20" s="352"/>
      <c r="KQ20" s="352"/>
      <c r="KR20" s="352"/>
      <c r="KS20" s="352"/>
      <c r="KT20" s="352"/>
      <c r="KU20" s="352"/>
      <c r="KV20" s="352"/>
      <c r="KW20" s="352"/>
      <c r="KX20" s="352"/>
      <c r="KY20" s="352"/>
      <c r="KZ20" s="352"/>
      <c r="LA20" s="352"/>
      <c r="LB20" s="352"/>
      <c r="LC20" s="352"/>
      <c r="LD20" s="352"/>
      <c r="LE20" s="352"/>
      <c r="LF20" s="352"/>
      <c r="LG20" s="352"/>
      <c r="LH20" s="352"/>
      <c r="LI20" s="352"/>
      <c r="LJ20" s="352"/>
      <c r="LK20" s="352"/>
      <c r="LL20" s="352"/>
      <c r="LM20" s="352"/>
      <c r="LN20" s="352"/>
      <c r="LO20" s="352"/>
      <c r="LP20" s="352"/>
      <c r="LQ20" s="352"/>
      <c r="LR20" s="352"/>
      <c r="LS20" s="352"/>
      <c r="LT20" s="352"/>
      <c r="LU20" s="352"/>
      <c r="LV20" s="352"/>
      <c r="LW20" s="352"/>
      <c r="LX20" s="352"/>
      <c r="LY20" s="352"/>
      <c r="LZ20" s="352"/>
      <c r="MA20" s="352"/>
      <c r="MB20" s="352"/>
      <c r="MC20" s="352"/>
      <c r="MD20" s="352"/>
      <c r="ME20" s="352"/>
      <c r="MF20" s="352"/>
      <c r="MG20" s="352"/>
      <c r="MH20" s="352"/>
      <c r="MI20" s="352"/>
      <c r="MJ20" s="352"/>
      <c r="MK20" s="352"/>
      <c r="ML20" s="352"/>
      <c r="MM20" s="352"/>
      <c r="MN20" s="352"/>
      <c r="MO20" s="352"/>
      <c r="MP20" s="352"/>
      <c r="MQ20" s="352"/>
      <c r="MR20" s="352"/>
      <c r="MS20" s="352"/>
      <c r="MT20" s="352"/>
      <c r="MU20" s="352"/>
      <c r="MV20" s="352"/>
      <c r="MW20" s="352"/>
      <c r="MX20" s="352"/>
      <c r="MY20" s="352"/>
      <c r="MZ20" s="352"/>
      <c r="NA20" s="352"/>
      <c r="NB20" s="352"/>
      <c r="NC20" s="352"/>
      <c r="ND20" s="352"/>
      <c r="NE20" s="352"/>
      <c r="NF20" s="352"/>
      <c r="NG20" s="352"/>
      <c r="NH20" s="352"/>
      <c r="NI20" s="352"/>
      <c r="NJ20" s="352"/>
      <c r="NK20" s="352"/>
      <c r="NL20" s="352"/>
      <c r="NM20" s="352"/>
      <c r="NN20" s="352"/>
      <c r="NO20" s="352"/>
      <c r="NP20" s="352"/>
      <c r="NQ20" s="352"/>
      <c r="NR20" s="352"/>
      <c r="NS20" s="352"/>
      <c r="NT20" s="352"/>
      <c r="NU20" s="352"/>
      <c r="NV20" s="352"/>
      <c r="NW20" s="352"/>
      <c r="NX20" s="352"/>
      <c r="NY20" s="352"/>
      <c r="NZ20" s="352"/>
      <c r="OA20" s="352"/>
      <c r="OB20" s="352"/>
      <c r="OC20" s="352"/>
      <c r="OD20" s="352"/>
      <c r="OE20" s="352"/>
      <c r="OF20" s="352"/>
      <c r="OG20" s="352"/>
      <c r="OH20" s="352"/>
      <c r="OI20" s="352"/>
      <c r="OJ20" s="352"/>
      <c r="OK20" s="352"/>
      <c r="OL20" s="352"/>
      <c r="OM20" s="352"/>
      <c r="ON20" s="352"/>
      <c r="OO20" s="352"/>
      <c r="OP20" s="352"/>
      <c r="OQ20" s="352"/>
      <c r="OR20" s="352"/>
      <c r="OS20" s="352"/>
      <c r="OT20" s="352"/>
      <c r="OU20" s="352"/>
      <c r="OV20" s="352"/>
      <c r="OW20" s="352"/>
      <c r="OX20" s="352"/>
      <c r="OY20" s="352"/>
      <c r="OZ20" s="352"/>
      <c r="PA20" s="352"/>
      <c r="PB20" s="352"/>
      <c r="PC20" s="352"/>
      <c r="PD20" s="352"/>
      <c r="PE20" s="352"/>
      <c r="PF20" s="352"/>
      <c r="PG20" s="352"/>
      <c r="PH20" s="352"/>
      <c r="PI20" s="352"/>
      <c r="PJ20" s="352"/>
      <c r="PK20" s="352"/>
      <c r="PL20" s="352"/>
      <c r="PM20" s="352"/>
      <c r="PN20" s="352"/>
      <c r="PO20" s="352"/>
      <c r="PP20" s="352"/>
      <c r="PQ20" s="352"/>
      <c r="PR20" s="352"/>
      <c r="PS20" s="352"/>
      <c r="PT20" s="352"/>
      <c r="PU20" s="352"/>
      <c r="PV20" s="352"/>
      <c r="PW20" s="352"/>
      <c r="PX20" s="352"/>
      <c r="PY20" s="352"/>
      <c r="PZ20" s="352"/>
      <c r="QA20" s="352"/>
      <c r="QB20" s="352"/>
      <c r="QC20" s="352"/>
      <c r="QD20" s="352"/>
      <c r="QE20" s="352"/>
      <c r="QF20" s="352"/>
      <c r="QG20" s="352"/>
      <c r="QH20" s="352"/>
      <c r="QI20" s="352"/>
      <c r="QJ20" s="352"/>
      <c r="QK20" s="352"/>
      <c r="QL20" s="352"/>
      <c r="QM20" s="352"/>
      <c r="QN20" s="352"/>
      <c r="QO20" s="352"/>
      <c r="QP20" s="352"/>
      <c r="QQ20" s="352"/>
      <c r="QR20" s="352"/>
      <c r="QS20" s="352"/>
      <c r="QT20" s="352"/>
      <c r="QU20" s="352"/>
      <c r="QV20" s="352"/>
      <c r="QW20" s="352"/>
      <c r="QX20" s="352"/>
      <c r="QY20" s="352"/>
      <c r="QZ20" s="352"/>
      <c r="RA20" s="352"/>
      <c r="RB20" s="352"/>
      <c r="RC20" s="352"/>
      <c r="RD20" s="352"/>
      <c r="RE20" s="352"/>
      <c r="RF20" s="352"/>
      <c r="RG20" s="352"/>
      <c r="RH20" s="352"/>
      <c r="RI20" s="352"/>
      <c r="RJ20" s="352"/>
      <c r="RK20" s="352"/>
      <c r="RL20" s="352"/>
      <c r="RM20" s="352"/>
      <c r="RN20" s="352"/>
      <c r="RO20" s="352"/>
      <c r="RP20" s="352"/>
      <c r="RQ20" s="352"/>
      <c r="RR20" s="352"/>
      <c r="RS20" s="352"/>
      <c r="RT20" s="352"/>
      <c r="RU20" s="352"/>
      <c r="RV20" s="352"/>
      <c r="RW20" s="352"/>
      <c r="RX20" s="352"/>
      <c r="RY20" s="352"/>
      <c r="RZ20" s="352"/>
      <c r="SA20" s="352"/>
      <c r="SB20" s="352"/>
      <c r="SC20" s="352"/>
      <c r="SD20" s="352"/>
      <c r="SE20" s="352"/>
      <c r="SF20" s="352"/>
      <c r="SG20" s="352"/>
      <c r="SH20" s="352"/>
      <c r="SI20" s="352"/>
      <c r="SJ20" s="352"/>
      <c r="SK20" s="352"/>
      <c r="SL20" s="352"/>
      <c r="SM20" s="352"/>
      <c r="SN20" s="352"/>
      <c r="SO20" s="352"/>
      <c r="SP20" s="352"/>
      <c r="SQ20" s="352"/>
      <c r="SR20" s="352"/>
      <c r="SS20" s="352"/>
      <c r="ST20" s="352"/>
      <c r="SU20" s="352"/>
      <c r="SV20" s="352"/>
      <c r="SW20" s="352"/>
      <c r="SX20" s="352"/>
      <c r="SY20" s="352"/>
      <c r="SZ20" s="352"/>
      <c r="TA20" s="352"/>
      <c r="TB20" s="352"/>
      <c r="TC20" s="352"/>
      <c r="TD20" s="352"/>
      <c r="TE20" s="352"/>
      <c r="TF20" s="352"/>
      <c r="TG20" s="352"/>
      <c r="TH20" s="352"/>
      <c r="TI20" s="352"/>
      <c r="TJ20" s="352"/>
      <c r="TK20" s="352"/>
      <c r="TL20" s="352"/>
      <c r="TM20" s="352"/>
      <c r="TN20" s="352"/>
      <c r="TO20" s="352"/>
      <c r="TP20" s="352"/>
      <c r="TQ20" s="352"/>
      <c r="TR20" s="352"/>
      <c r="TS20" s="352"/>
      <c r="TT20" s="352"/>
      <c r="TU20" s="352"/>
      <c r="TV20" s="352"/>
      <c r="TW20" s="352"/>
      <c r="TX20" s="352"/>
      <c r="TY20" s="352"/>
      <c r="TZ20" s="352"/>
      <c r="UA20" s="352"/>
      <c r="UB20" s="352"/>
      <c r="UC20" s="352"/>
      <c r="UD20" s="352"/>
      <c r="UE20" s="352"/>
      <c r="UF20" s="352"/>
      <c r="UG20" s="352"/>
      <c r="UH20" s="352"/>
      <c r="UI20" s="352"/>
      <c r="UJ20" s="352"/>
      <c r="UK20" s="352"/>
      <c r="UL20" s="352"/>
      <c r="UM20" s="352"/>
      <c r="UN20" s="352"/>
      <c r="UO20" s="352"/>
      <c r="UP20" s="352"/>
      <c r="UQ20" s="352"/>
      <c r="UR20" s="352"/>
      <c r="US20" s="352"/>
      <c r="UT20" s="352"/>
      <c r="UU20" s="352"/>
      <c r="UV20" s="352"/>
      <c r="UW20" s="352"/>
      <c r="UX20" s="352"/>
      <c r="UY20" s="352"/>
      <c r="UZ20" s="352"/>
      <c r="VA20" s="352"/>
      <c r="VB20" s="352"/>
      <c r="VC20" s="352"/>
      <c r="VD20" s="352"/>
      <c r="VE20" s="352"/>
      <c r="VF20" s="352"/>
      <c r="VG20" s="352"/>
      <c r="VH20" s="352"/>
      <c r="VI20" s="352"/>
      <c r="VJ20" s="352"/>
      <c r="VK20" s="352"/>
      <c r="VL20" s="352"/>
      <c r="VM20" s="352"/>
      <c r="VN20" s="352"/>
      <c r="VO20" s="352"/>
      <c r="VP20" s="352"/>
      <c r="VQ20" s="352"/>
      <c r="VR20" s="352"/>
      <c r="VS20" s="352"/>
      <c r="VT20" s="352"/>
      <c r="VU20" s="352"/>
      <c r="VV20" s="352"/>
      <c r="VW20" s="352"/>
      <c r="VX20" s="352"/>
      <c r="VY20" s="352"/>
      <c r="VZ20" s="352"/>
      <c r="WA20" s="352"/>
      <c r="WB20" s="352"/>
      <c r="WC20" s="352"/>
      <c r="WD20" s="352"/>
      <c r="WE20" s="352"/>
      <c r="WF20" s="352"/>
      <c r="WG20" s="352"/>
      <c r="WH20" s="352"/>
      <c r="WI20" s="352"/>
      <c r="WJ20" s="352"/>
      <c r="WK20" s="352"/>
      <c r="WL20" s="352"/>
      <c r="WM20" s="352"/>
      <c r="WN20" s="352"/>
      <c r="WO20" s="352"/>
      <c r="WP20" s="352"/>
      <c r="WQ20" s="352"/>
      <c r="WR20" s="352"/>
      <c r="WS20" s="352"/>
      <c r="WT20" s="352"/>
      <c r="WU20" s="352"/>
      <c r="WV20" s="352"/>
      <c r="WW20" s="352"/>
      <c r="WX20" s="352"/>
      <c r="WY20" s="352"/>
      <c r="WZ20" s="352"/>
      <c r="XA20" s="352"/>
      <c r="XB20" s="352"/>
      <c r="XC20" s="352"/>
      <c r="XD20" s="352"/>
      <c r="XE20" s="352"/>
      <c r="XF20" s="352"/>
      <c r="XG20" s="352"/>
      <c r="XH20" s="352"/>
      <c r="XI20" s="352"/>
      <c r="XJ20" s="352"/>
      <c r="XK20" s="352"/>
      <c r="XL20" s="352"/>
      <c r="XM20" s="352"/>
      <c r="XN20" s="352"/>
      <c r="XO20" s="352"/>
      <c r="XP20" s="352"/>
      <c r="XQ20" s="352"/>
      <c r="XR20" s="352"/>
      <c r="XS20" s="352"/>
      <c r="XT20" s="352"/>
      <c r="XU20" s="352"/>
      <c r="XV20" s="352"/>
      <c r="XW20" s="352"/>
      <c r="XX20" s="352"/>
      <c r="XY20" s="352"/>
      <c r="XZ20" s="352"/>
      <c r="YA20" s="352"/>
      <c r="YB20" s="352"/>
      <c r="YC20" s="352"/>
      <c r="YD20" s="352"/>
      <c r="YE20" s="352"/>
      <c r="YF20" s="352"/>
      <c r="YG20" s="352"/>
      <c r="YH20" s="352"/>
      <c r="YI20" s="352"/>
      <c r="YJ20" s="352"/>
      <c r="YK20" s="352"/>
      <c r="YL20" s="352"/>
      <c r="YM20" s="352"/>
      <c r="YN20" s="352"/>
      <c r="YO20" s="352"/>
      <c r="YP20" s="352"/>
      <c r="YQ20" s="352"/>
      <c r="YR20" s="352"/>
      <c r="YS20" s="352"/>
      <c r="YT20" s="352"/>
      <c r="YU20" s="352"/>
      <c r="YV20" s="352"/>
      <c r="YW20" s="352"/>
      <c r="YX20" s="352"/>
      <c r="YY20" s="352"/>
      <c r="YZ20" s="352"/>
      <c r="ZA20" s="352"/>
      <c r="ZB20" s="352"/>
      <c r="ZC20" s="352"/>
      <c r="ZD20" s="352"/>
      <c r="ZE20" s="352"/>
      <c r="ZF20" s="352"/>
      <c r="ZG20" s="352"/>
      <c r="ZH20" s="352"/>
      <c r="ZI20" s="352"/>
      <c r="ZJ20" s="352"/>
      <c r="ZK20" s="352"/>
      <c r="ZL20" s="352"/>
      <c r="ZM20" s="352"/>
      <c r="ZN20" s="352"/>
      <c r="ZO20" s="352"/>
      <c r="ZP20" s="352"/>
      <c r="ZQ20" s="352"/>
      <c r="ZR20" s="352"/>
      <c r="ZS20" s="352"/>
      <c r="ZT20" s="352"/>
      <c r="ZU20" s="352"/>
      <c r="ZV20" s="352"/>
      <c r="ZW20" s="352"/>
      <c r="ZX20" s="352"/>
      <c r="ZY20" s="352"/>
      <c r="ZZ20" s="352"/>
      <c r="AAA20" s="352"/>
      <c r="AAB20" s="352"/>
      <c r="AAC20" s="352"/>
      <c r="AAD20" s="352"/>
      <c r="AAE20" s="352"/>
      <c r="AAF20" s="352"/>
      <c r="AAG20" s="352"/>
      <c r="AAH20" s="352"/>
      <c r="AAI20" s="352"/>
      <c r="AAJ20" s="352"/>
      <c r="AAK20" s="352"/>
      <c r="AAL20" s="352"/>
      <c r="AAM20" s="352"/>
      <c r="AAN20" s="352"/>
      <c r="AAO20" s="352"/>
      <c r="AAP20" s="352"/>
      <c r="AAQ20" s="352"/>
      <c r="AAR20" s="352"/>
      <c r="AAS20" s="352"/>
      <c r="AAT20" s="352"/>
      <c r="AAU20" s="352"/>
      <c r="AAV20" s="352"/>
      <c r="AAW20" s="352"/>
      <c r="AAX20" s="352"/>
      <c r="AAY20" s="352"/>
      <c r="AAZ20" s="352"/>
      <c r="ABA20" s="352"/>
      <c r="ABB20" s="352"/>
      <c r="ABC20" s="352"/>
      <c r="ABD20" s="352"/>
      <c r="ABE20" s="352"/>
      <c r="ABF20" s="352"/>
      <c r="ABG20" s="352"/>
      <c r="ABH20" s="352"/>
      <c r="ABI20" s="352"/>
      <c r="ABJ20" s="352"/>
      <c r="ABK20" s="352"/>
      <c r="ABL20" s="352"/>
      <c r="ABM20" s="352"/>
      <c r="ABN20" s="352"/>
      <c r="ABO20" s="352"/>
      <c r="ABP20" s="352"/>
      <c r="ABQ20" s="352"/>
      <c r="ABR20" s="352"/>
      <c r="ABS20" s="352"/>
      <c r="ABT20" s="352"/>
      <c r="ABU20" s="352"/>
      <c r="ABV20" s="352"/>
      <c r="ABW20" s="352"/>
      <c r="ABX20" s="352"/>
      <c r="ABY20" s="352"/>
      <c r="ABZ20" s="352"/>
      <c r="ACA20" s="352"/>
      <c r="ACB20" s="352"/>
      <c r="ACC20" s="352"/>
      <c r="ACD20" s="352"/>
      <c r="ACE20" s="352"/>
      <c r="ACF20" s="352"/>
      <c r="ACG20" s="352"/>
      <c r="ACH20" s="352"/>
      <c r="ACI20" s="352"/>
      <c r="ACJ20" s="352"/>
      <c r="ACK20" s="352"/>
      <c r="ACL20" s="352"/>
      <c r="ACM20" s="352"/>
      <c r="ACN20" s="352"/>
      <c r="ACO20" s="352"/>
      <c r="ACP20" s="352"/>
      <c r="ACQ20" s="352"/>
      <c r="ACR20" s="352"/>
      <c r="ACS20" s="352"/>
      <c r="ACT20" s="352"/>
      <c r="ACU20" s="352"/>
      <c r="ACV20" s="352"/>
      <c r="ACW20" s="352"/>
      <c r="ACX20" s="352"/>
      <c r="ACY20" s="352"/>
      <c r="ACZ20" s="352"/>
      <c r="ADA20" s="352"/>
      <c r="ADB20" s="352"/>
      <c r="ADC20" s="352"/>
      <c r="ADD20" s="352"/>
      <c r="ADE20" s="352"/>
      <c r="ADF20" s="352"/>
      <c r="ADG20" s="352"/>
      <c r="ADH20" s="352"/>
      <c r="ADI20" s="352"/>
      <c r="ADJ20" s="352"/>
      <c r="ADK20" s="352"/>
      <c r="ADL20" s="352"/>
      <c r="ADM20" s="352"/>
      <c r="ADN20" s="352"/>
      <c r="ADO20" s="352"/>
      <c r="ADP20" s="352"/>
      <c r="ADQ20" s="352"/>
      <c r="ADR20" s="352"/>
      <c r="ADS20" s="352"/>
      <c r="ADT20" s="352"/>
      <c r="ADU20" s="352"/>
      <c r="ADV20" s="352"/>
      <c r="ADW20" s="352"/>
      <c r="ADX20" s="352"/>
      <c r="ADY20" s="352"/>
      <c r="ADZ20" s="352"/>
      <c r="AEA20" s="352"/>
      <c r="AEB20" s="352"/>
      <c r="AEC20" s="352"/>
      <c r="AED20" s="352"/>
      <c r="AEE20" s="352"/>
      <c r="AEF20" s="352"/>
      <c r="AEG20" s="352"/>
      <c r="AEH20" s="352"/>
      <c r="AEI20" s="352"/>
      <c r="AEJ20" s="352"/>
      <c r="AEK20" s="352"/>
      <c r="AEL20" s="352"/>
      <c r="AEM20" s="352"/>
      <c r="AEN20" s="352"/>
      <c r="AEO20" s="352"/>
      <c r="AEP20" s="352"/>
      <c r="AEQ20" s="352"/>
      <c r="AER20" s="352"/>
      <c r="AES20" s="352"/>
      <c r="AET20" s="352"/>
      <c r="AEU20" s="352"/>
      <c r="AEV20" s="352"/>
      <c r="AEW20" s="352"/>
      <c r="AEX20" s="352"/>
      <c r="AEY20" s="352"/>
      <c r="AEZ20" s="352"/>
      <c r="AFA20" s="352"/>
      <c r="AFB20" s="352"/>
      <c r="AFC20" s="352"/>
      <c r="AFD20" s="352"/>
      <c r="AFE20" s="352"/>
      <c r="AFF20" s="352"/>
      <c r="AFG20" s="352"/>
      <c r="AFH20" s="352"/>
      <c r="AFI20" s="352"/>
      <c r="AFJ20" s="352"/>
      <c r="AFK20" s="352"/>
      <c r="AFL20" s="352"/>
      <c r="AFM20" s="352"/>
      <c r="AFN20" s="352"/>
      <c r="AFO20" s="352"/>
      <c r="AFP20" s="352"/>
      <c r="AFQ20" s="352"/>
      <c r="AFR20" s="352"/>
      <c r="AFS20" s="352"/>
      <c r="AFT20" s="352"/>
      <c r="AFU20" s="352"/>
      <c r="AFV20" s="352"/>
      <c r="AFW20" s="352"/>
      <c r="AFX20" s="352"/>
      <c r="AFY20" s="352"/>
      <c r="AFZ20" s="352"/>
      <c r="AGA20" s="352"/>
      <c r="AGB20" s="352"/>
      <c r="AGC20" s="352"/>
      <c r="AGD20" s="352"/>
      <c r="AGE20" s="352"/>
      <c r="AGF20" s="352"/>
      <c r="AGG20" s="352"/>
      <c r="AGH20" s="352"/>
      <c r="AGI20" s="352"/>
      <c r="AGJ20" s="352"/>
      <c r="AGK20" s="352"/>
      <c r="AGL20" s="352"/>
      <c r="AGM20" s="352"/>
      <c r="AGN20" s="352"/>
      <c r="AGO20" s="352"/>
      <c r="AGP20" s="352"/>
      <c r="AGQ20" s="352"/>
      <c r="AGR20" s="352"/>
      <c r="AGS20" s="352"/>
      <c r="AGT20" s="352"/>
      <c r="AGU20" s="352"/>
      <c r="AGV20" s="352"/>
      <c r="AGW20" s="352"/>
      <c r="AGX20" s="352"/>
      <c r="AGY20" s="352"/>
      <c r="AGZ20" s="352"/>
      <c r="AHA20" s="352"/>
      <c r="AHB20" s="352"/>
      <c r="AHC20" s="352"/>
      <c r="AHD20" s="352"/>
      <c r="AHE20" s="352"/>
      <c r="AHF20" s="352"/>
      <c r="AHG20" s="352"/>
      <c r="AHH20" s="352"/>
      <c r="AHI20" s="352"/>
      <c r="AHJ20" s="352"/>
      <c r="AHK20" s="352"/>
      <c r="AHL20" s="352"/>
      <c r="AHM20" s="352"/>
      <c r="AHN20" s="352"/>
      <c r="AHO20" s="352"/>
      <c r="AHP20" s="352"/>
      <c r="AHQ20" s="352"/>
      <c r="AHR20" s="352"/>
      <c r="AHS20" s="352"/>
      <c r="AHT20" s="352"/>
      <c r="AHU20" s="352"/>
      <c r="AHV20" s="352"/>
      <c r="AHW20" s="352"/>
      <c r="AHX20" s="352"/>
      <c r="AHY20" s="352"/>
      <c r="AHZ20" s="352"/>
      <c r="AIA20" s="352"/>
      <c r="AIB20" s="352"/>
      <c r="AIC20" s="352"/>
      <c r="AID20" s="352"/>
      <c r="AIE20" s="352"/>
      <c r="AIF20" s="352"/>
      <c r="AIG20" s="352"/>
      <c r="AIH20" s="352"/>
      <c r="AII20" s="352"/>
      <c r="AIJ20" s="352"/>
      <c r="AIK20" s="352"/>
      <c r="AIL20" s="352"/>
      <c r="AIM20" s="352"/>
      <c r="AIN20" s="352"/>
      <c r="AIO20" s="352"/>
      <c r="AIP20" s="352"/>
      <c r="AIQ20" s="352"/>
      <c r="AIR20" s="352"/>
      <c r="AIS20" s="352"/>
      <c r="AIT20" s="352"/>
      <c r="AIU20" s="352"/>
      <c r="AIV20" s="352"/>
      <c r="AIW20" s="352"/>
      <c r="AIX20" s="352"/>
      <c r="AIY20" s="352"/>
      <c r="AIZ20" s="352"/>
      <c r="AJA20" s="352"/>
      <c r="AJB20" s="352"/>
      <c r="AJC20" s="352"/>
      <c r="AJD20" s="352"/>
      <c r="AJE20" s="352"/>
      <c r="AJF20" s="352"/>
      <c r="AJG20" s="352"/>
      <c r="AJH20" s="352"/>
      <c r="AJI20" s="352"/>
      <c r="AJJ20" s="352"/>
      <c r="AJK20" s="352"/>
      <c r="AJL20" s="352"/>
      <c r="AJM20" s="352"/>
      <c r="AJN20" s="352"/>
      <c r="AJO20" s="352"/>
      <c r="AJP20" s="352"/>
      <c r="AJQ20" s="352"/>
      <c r="AJR20" s="352"/>
      <c r="AJS20" s="352"/>
      <c r="AJT20" s="352"/>
      <c r="AJU20" s="352"/>
      <c r="AJV20" s="352"/>
      <c r="AJW20" s="352"/>
      <c r="AJX20" s="352"/>
      <c r="AJY20" s="352"/>
      <c r="AJZ20" s="352"/>
      <c r="AKA20" s="352"/>
      <c r="AKB20" s="352"/>
      <c r="AKC20" s="352"/>
      <c r="AKD20" s="352"/>
      <c r="AKE20" s="352"/>
      <c r="AKF20" s="352"/>
      <c r="AKG20" s="352"/>
      <c r="AKH20" s="352"/>
      <c r="AKI20" s="352"/>
      <c r="AKJ20" s="352"/>
      <c r="AKK20" s="352"/>
      <c r="AKL20" s="352"/>
      <c r="AKM20" s="352"/>
      <c r="AKN20" s="352"/>
      <c r="AKO20" s="352"/>
      <c r="AKP20" s="352"/>
      <c r="AKQ20" s="352"/>
      <c r="AKR20" s="352"/>
      <c r="AKS20" s="352"/>
      <c r="AKT20" s="352"/>
      <c r="AKU20" s="352"/>
      <c r="AKV20" s="352"/>
      <c r="AKW20" s="352"/>
      <c r="AKX20" s="352"/>
      <c r="AKY20" s="352"/>
      <c r="AKZ20" s="352"/>
      <c r="ALA20" s="352"/>
      <c r="ALB20" s="352"/>
      <c r="ALC20" s="352"/>
      <c r="ALD20" s="352"/>
      <c r="ALE20" s="352"/>
      <c r="ALF20" s="352"/>
      <c r="ALG20" s="352"/>
      <c r="ALH20" s="352"/>
      <c r="ALI20" s="352"/>
      <c r="ALJ20" s="352"/>
      <c r="ALK20" s="352"/>
      <c r="ALL20" s="352"/>
      <c r="ALM20" s="352"/>
      <c r="ALN20" s="352"/>
      <c r="ALO20" s="352"/>
      <c r="ALP20" s="352"/>
      <c r="ALQ20" s="352"/>
      <c r="ALR20" s="352"/>
      <c r="ALS20" s="352"/>
      <c r="ALT20" s="352"/>
      <c r="ALU20" s="352"/>
      <c r="ALV20" s="352"/>
      <c r="ALW20" s="352"/>
      <c r="ALX20" s="352"/>
      <c r="ALY20" s="352"/>
      <c r="ALZ20" s="352"/>
      <c r="AMA20" s="352"/>
      <c r="AMB20" s="352"/>
      <c r="AMC20" s="352"/>
      <c r="AMD20" s="352"/>
      <c r="AME20" s="352"/>
      <c r="AMF20" s="352"/>
      <c r="AMG20" s="352"/>
      <c r="AMH20" s="352"/>
      <c r="AMI20" s="352"/>
      <c r="AMJ20" s="352"/>
      <c r="AMK20" s="352"/>
      <c r="AML20" s="352"/>
      <c r="AMM20" s="352"/>
      <c r="AMN20" s="352"/>
      <c r="AMO20" s="352"/>
      <c r="AMP20" s="352"/>
      <c r="AMQ20" s="352"/>
      <c r="AMR20" s="352"/>
      <c r="AMS20" s="352"/>
      <c r="AMT20" s="352"/>
      <c r="AMU20" s="352"/>
      <c r="AMV20" s="352"/>
      <c r="AMW20" s="352"/>
      <c r="AMX20" s="352"/>
      <c r="AMY20" s="352"/>
      <c r="AMZ20" s="352"/>
      <c r="ANA20" s="352"/>
      <c r="ANB20" s="352"/>
      <c r="ANC20" s="352"/>
      <c r="AND20" s="352"/>
      <c r="ANE20" s="352"/>
      <c r="ANF20" s="352"/>
      <c r="ANG20" s="352"/>
      <c r="ANH20" s="352"/>
      <c r="ANI20" s="352"/>
      <c r="ANJ20" s="352"/>
      <c r="ANK20" s="352"/>
      <c r="ANL20" s="352"/>
      <c r="ANM20" s="352"/>
      <c r="ANN20" s="352"/>
      <c r="ANO20" s="352"/>
      <c r="ANP20" s="352"/>
      <c r="ANQ20" s="352"/>
      <c r="ANR20" s="352"/>
      <c r="ANS20" s="352"/>
      <c r="ANT20" s="352"/>
      <c r="ANU20" s="352"/>
      <c r="ANV20" s="352"/>
      <c r="ANW20" s="352"/>
      <c r="ANX20" s="352"/>
      <c r="ANY20" s="352"/>
      <c r="ANZ20" s="352"/>
      <c r="AOA20" s="352"/>
      <c r="AOB20" s="352"/>
      <c r="AOC20" s="352"/>
      <c r="AOD20" s="352"/>
      <c r="AOE20" s="352"/>
      <c r="AOF20" s="352"/>
      <c r="AOG20" s="352"/>
      <c r="AOH20" s="352"/>
      <c r="AOI20" s="352"/>
      <c r="AOJ20" s="352"/>
      <c r="AOK20" s="352"/>
      <c r="AOL20" s="352"/>
      <c r="AOM20" s="352"/>
      <c r="AON20" s="352"/>
      <c r="AOO20" s="352"/>
      <c r="AOP20" s="352"/>
      <c r="AOQ20" s="352"/>
      <c r="AOR20" s="352"/>
      <c r="AOS20" s="352"/>
      <c r="AOT20" s="352"/>
      <c r="AOU20" s="352"/>
      <c r="AOV20" s="352"/>
      <c r="AOW20" s="352"/>
      <c r="AOX20" s="352"/>
      <c r="AOY20" s="352"/>
      <c r="AOZ20" s="352"/>
      <c r="APA20" s="352"/>
      <c r="APB20" s="352"/>
      <c r="APC20" s="352"/>
      <c r="APD20" s="352"/>
      <c r="APE20" s="352"/>
      <c r="APF20" s="352"/>
      <c r="APG20" s="352"/>
      <c r="APH20" s="352"/>
      <c r="API20" s="352"/>
      <c r="APJ20" s="352"/>
      <c r="APK20" s="352"/>
      <c r="APL20" s="352"/>
      <c r="APM20" s="352"/>
      <c r="APN20" s="352"/>
      <c r="APO20" s="352"/>
      <c r="APP20" s="352"/>
      <c r="APQ20" s="352"/>
      <c r="APR20" s="352"/>
      <c r="APS20" s="352"/>
      <c r="APT20" s="352"/>
      <c r="APU20" s="352"/>
      <c r="APV20" s="352"/>
      <c r="APW20" s="352"/>
      <c r="APX20" s="352"/>
      <c r="APY20" s="352"/>
      <c r="APZ20" s="352"/>
      <c r="AQA20" s="352"/>
      <c r="AQB20" s="352"/>
      <c r="AQC20" s="352"/>
      <c r="AQD20" s="352"/>
      <c r="AQE20" s="352"/>
      <c r="AQF20" s="352"/>
      <c r="AQG20" s="352"/>
      <c r="AQH20" s="352"/>
      <c r="AQI20" s="352"/>
      <c r="AQJ20" s="352"/>
      <c r="AQK20" s="352"/>
      <c r="AQL20" s="352"/>
      <c r="AQM20" s="352"/>
      <c r="AQN20" s="352"/>
      <c r="AQO20" s="352"/>
      <c r="AQP20" s="352"/>
      <c r="AQQ20" s="352"/>
      <c r="AQR20" s="352"/>
      <c r="AQS20" s="352"/>
      <c r="AQT20" s="352"/>
      <c r="AQU20" s="352"/>
      <c r="AQV20" s="352"/>
      <c r="AQW20" s="352"/>
      <c r="AQX20" s="352"/>
      <c r="AQY20" s="352"/>
      <c r="AQZ20" s="352"/>
      <c r="ARA20" s="352"/>
      <c r="ARB20" s="352"/>
      <c r="ARC20" s="352"/>
      <c r="ARD20" s="352"/>
      <c r="ARE20" s="352"/>
      <c r="ARF20" s="352"/>
      <c r="ARG20" s="352"/>
      <c r="ARH20" s="352"/>
      <c r="ARI20" s="352"/>
      <c r="ARJ20" s="352"/>
      <c r="ARK20" s="352"/>
      <c r="ARL20" s="352"/>
      <c r="ARM20" s="352"/>
      <c r="ARN20" s="352"/>
      <c r="ARO20" s="352"/>
      <c r="ARP20" s="352"/>
      <c r="ARQ20" s="352"/>
      <c r="ARR20" s="352"/>
      <c r="ARS20" s="352"/>
      <c r="ART20" s="352"/>
      <c r="ARU20" s="352"/>
      <c r="ARV20" s="352"/>
      <c r="ARW20" s="352"/>
      <c r="ARX20" s="352"/>
      <c r="ARY20" s="352"/>
      <c r="ARZ20" s="352"/>
      <c r="ASA20" s="352"/>
      <c r="ASB20" s="352"/>
      <c r="ASC20" s="352"/>
      <c r="ASD20" s="352"/>
      <c r="ASE20" s="352"/>
      <c r="ASF20" s="352"/>
      <c r="ASG20" s="352"/>
      <c r="ASH20" s="352"/>
      <c r="ASI20" s="352"/>
      <c r="ASJ20" s="352"/>
      <c r="ASK20" s="352"/>
      <c r="ASL20" s="352"/>
      <c r="ASM20" s="352"/>
      <c r="ASN20" s="352"/>
      <c r="ASO20" s="352"/>
      <c r="ASP20" s="352"/>
      <c r="ASQ20" s="352"/>
      <c r="ASR20" s="352"/>
      <c r="ASS20" s="352"/>
      <c r="AST20" s="352"/>
      <c r="ASU20" s="352"/>
      <c r="ASV20" s="352"/>
      <c r="ASW20" s="352"/>
      <c r="ASX20" s="352"/>
      <c r="ASY20" s="352"/>
      <c r="ASZ20" s="352"/>
      <c r="ATA20" s="352"/>
      <c r="ATB20" s="352"/>
      <c r="ATC20" s="352"/>
      <c r="ATD20" s="352"/>
      <c r="ATE20" s="352"/>
      <c r="ATF20" s="352"/>
      <c r="ATG20" s="352"/>
      <c r="ATH20" s="352"/>
      <c r="ATI20" s="352"/>
      <c r="ATJ20" s="352"/>
      <c r="ATK20" s="352"/>
      <c r="ATL20" s="352"/>
      <c r="ATM20" s="352"/>
      <c r="ATN20" s="352"/>
      <c r="ATO20" s="352"/>
      <c r="ATP20" s="352"/>
      <c r="ATQ20" s="352"/>
      <c r="ATR20" s="352"/>
      <c r="ATS20" s="352"/>
      <c r="ATT20" s="352"/>
      <c r="ATU20" s="352"/>
      <c r="ATV20" s="352"/>
      <c r="ATW20" s="352"/>
      <c r="ATX20" s="352"/>
      <c r="ATY20" s="352"/>
      <c r="ATZ20" s="352"/>
      <c r="AUA20" s="352"/>
      <c r="AUB20" s="352"/>
      <c r="AUC20" s="352"/>
      <c r="AUD20" s="352"/>
      <c r="AUE20" s="352"/>
      <c r="AUF20" s="352"/>
      <c r="AUG20" s="352"/>
      <c r="AUH20" s="352"/>
      <c r="AUI20" s="352"/>
      <c r="AUJ20" s="352"/>
      <c r="AUK20" s="352"/>
      <c r="AUL20" s="352"/>
      <c r="AUM20" s="352"/>
      <c r="AUN20" s="352"/>
      <c r="AUO20" s="352"/>
      <c r="AUP20" s="352"/>
      <c r="AUQ20" s="352"/>
      <c r="AUR20" s="352"/>
      <c r="AUS20" s="352"/>
      <c r="AUT20" s="352"/>
      <c r="AUU20" s="352"/>
      <c r="AUV20" s="352"/>
      <c r="AUW20" s="352"/>
      <c r="AUX20" s="352"/>
      <c r="AUY20" s="352"/>
      <c r="AUZ20" s="352"/>
      <c r="AVA20" s="352"/>
      <c r="AVB20" s="352"/>
      <c r="AVC20" s="352"/>
      <c r="AVD20" s="352"/>
      <c r="AVE20" s="352"/>
      <c r="AVF20" s="352"/>
      <c r="AVG20" s="352"/>
      <c r="AVH20" s="352"/>
      <c r="AVI20" s="352"/>
      <c r="AVJ20" s="352"/>
      <c r="AVK20" s="352"/>
      <c r="AVL20" s="352"/>
      <c r="AVM20" s="352"/>
      <c r="AVN20" s="352"/>
      <c r="AVO20" s="352"/>
      <c r="AVP20" s="352"/>
      <c r="AVQ20" s="352"/>
      <c r="AVR20" s="352"/>
      <c r="AVS20" s="352"/>
      <c r="AVT20" s="352"/>
      <c r="AVU20" s="352"/>
      <c r="AVV20" s="352"/>
      <c r="AVW20" s="352"/>
      <c r="AVX20" s="352"/>
      <c r="AVY20" s="352"/>
      <c r="AVZ20" s="352"/>
      <c r="AWA20" s="352"/>
      <c r="AWB20" s="352"/>
      <c r="AWC20" s="352"/>
      <c r="AWD20" s="352"/>
      <c r="AWE20" s="352"/>
      <c r="AWF20" s="352"/>
      <c r="AWG20" s="352"/>
      <c r="AWH20" s="352"/>
      <c r="AWI20" s="352"/>
      <c r="AWJ20" s="352"/>
      <c r="AWK20" s="352"/>
      <c r="AWL20" s="352"/>
      <c r="AWM20" s="352"/>
      <c r="AWN20" s="352"/>
      <c r="AWO20" s="352"/>
      <c r="AWP20" s="352"/>
      <c r="AWQ20" s="352"/>
      <c r="AWR20" s="352"/>
      <c r="AWS20" s="352"/>
      <c r="AWT20" s="352"/>
      <c r="AWU20" s="352"/>
      <c r="AWV20" s="352"/>
      <c r="AWW20" s="352"/>
      <c r="AWX20" s="352"/>
      <c r="AWY20" s="352"/>
      <c r="AWZ20" s="352"/>
      <c r="AXA20" s="352"/>
      <c r="AXB20" s="352"/>
      <c r="AXC20" s="352"/>
      <c r="AXD20" s="352"/>
      <c r="AXE20" s="352"/>
      <c r="AXF20" s="352"/>
      <c r="AXG20" s="352"/>
      <c r="AXH20" s="352"/>
      <c r="AXI20" s="352"/>
      <c r="AXJ20" s="352"/>
      <c r="AXK20" s="352"/>
      <c r="AXL20" s="352"/>
      <c r="AXM20" s="352"/>
      <c r="AXN20" s="352"/>
      <c r="AXO20" s="352"/>
      <c r="AXP20" s="352"/>
      <c r="AXQ20" s="352"/>
      <c r="AXR20" s="352"/>
      <c r="AXS20" s="352"/>
      <c r="AXT20" s="352"/>
      <c r="AXU20" s="352"/>
      <c r="AXV20" s="352"/>
      <c r="AXW20" s="352"/>
      <c r="AXX20" s="352"/>
      <c r="AXY20" s="352"/>
      <c r="AXZ20" s="352"/>
      <c r="AYA20" s="352"/>
      <c r="AYB20" s="352"/>
      <c r="AYC20" s="352"/>
      <c r="AYD20" s="352"/>
      <c r="AYE20" s="352"/>
      <c r="AYF20" s="352"/>
      <c r="AYG20" s="352"/>
      <c r="AYH20" s="352"/>
      <c r="AYI20" s="352"/>
      <c r="AYJ20" s="352"/>
      <c r="AYK20" s="352"/>
      <c r="AYL20" s="352"/>
      <c r="AYM20" s="352"/>
      <c r="AYN20" s="352"/>
      <c r="AYO20" s="352"/>
      <c r="AYP20" s="352"/>
      <c r="AYQ20" s="352"/>
      <c r="AYR20" s="352"/>
      <c r="AYS20" s="352"/>
      <c r="AYT20" s="352"/>
      <c r="AYU20" s="352"/>
      <c r="AYV20" s="352"/>
      <c r="AYW20" s="352"/>
      <c r="AYX20" s="352"/>
      <c r="AYY20" s="352"/>
      <c r="AYZ20" s="352"/>
      <c r="AZA20" s="352"/>
      <c r="AZB20" s="352"/>
      <c r="AZC20" s="352"/>
      <c r="AZD20" s="352"/>
      <c r="AZE20" s="352"/>
      <c r="AZF20" s="352"/>
      <c r="AZG20" s="352"/>
      <c r="AZH20" s="352"/>
      <c r="AZI20" s="352"/>
      <c r="AZJ20" s="352"/>
      <c r="AZK20" s="352"/>
      <c r="AZL20" s="352"/>
      <c r="AZM20" s="352"/>
      <c r="AZN20" s="352"/>
      <c r="AZO20" s="352"/>
      <c r="AZP20" s="352"/>
      <c r="AZQ20" s="352"/>
      <c r="AZR20" s="352"/>
      <c r="AZS20" s="352"/>
      <c r="AZT20" s="352"/>
      <c r="AZU20" s="352"/>
      <c r="AZV20" s="352"/>
      <c r="AZW20" s="352"/>
      <c r="AZX20" s="352"/>
      <c r="AZY20" s="352"/>
      <c r="AZZ20" s="352"/>
      <c r="BAA20" s="352"/>
      <c r="BAB20" s="352"/>
      <c r="BAC20" s="352"/>
      <c r="BAD20" s="352"/>
      <c r="BAE20" s="352"/>
      <c r="BAF20" s="352"/>
      <c r="BAG20" s="352"/>
      <c r="BAH20" s="352"/>
      <c r="BAI20" s="352"/>
      <c r="BAJ20" s="352"/>
      <c r="BAK20" s="352"/>
      <c r="BAL20" s="352"/>
      <c r="BAM20" s="352"/>
      <c r="BAN20" s="352"/>
      <c r="BAO20" s="352"/>
      <c r="BAP20" s="352"/>
      <c r="BAQ20" s="352"/>
      <c r="BAR20" s="352"/>
      <c r="BAS20" s="352"/>
      <c r="BAT20" s="352"/>
      <c r="BAU20" s="352"/>
      <c r="BAV20" s="352"/>
      <c r="BAW20" s="352"/>
      <c r="BAX20" s="352"/>
      <c r="BAY20" s="352"/>
      <c r="BAZ20" s="352"/>
      <c r="BBA20" s="352"/>
      <c r="BBB20" s="352"/>
      <c r="BBC20" s="352"/>
      <c r="BBD20" s="352"/>
      <c r="BBE20" s="352"/>
      <c r="BBF20" s="352"/>
      <c r="BBG20" s="352"/>
      <c r="BBH20" s="352"/>
      <c r="BBI20" s="352"/>
      <c r="BBJ20" s="352"/>
      <c r="BBK20" s="352"/>
      <c r="BBL20" s="352"/>
      <c r="BBM20" s="352"/>
      <c r="BBN20" s="352"/>
      <c r="BBO20" s="352"/>
      <c r="BBP20" s="352"/>
      <c r="BBQ20" s="352"/>
      <c r="BBR20" s="352"/>
      <c r="BBS20" s="352"/>
      <c r="BBT20" s="352"/>
      <c r="BBU20" s="352"/>
      <c r="BBV20" s="352"/>
      <c r="BBW20" s="352"/>
      <c r="BBX20" s="352"/>
      <c r="BBY20" s="352"/>
      <c r="BBZ20" s="352"/>
      <c r="BCA20" s="352"/>
      <c r="BCB20" s="352"/>
      <c r="BCC20" s="352"/>
      <c r="BCD20" s="352"/>
      <c r="BCE20" s="352"/>
      <c r="BCF20" s="352"/>
      <c r="BCG20" s="352"/>
      <c r="BCH20" s="352"/>
      <c r="BCI20" s="352"/>
      <c r="BCJ20" s="352"/>
      <c r="BCK20" s="352"/>
      <c r="BCL20" s="352"/>
      <c r="BCM20" s="352"/>
      <c r="BCN20" s="352"/>
      <c r="BCO20" s="352"/>
      <c r="BCP20" s="352"/>
      <c r="BCQ20" s="352"/>
      <c r="BCR20" s="352"/>
      <c r="BCS20" s="352"/>
      <c r="BCT20" s="352"/>
      <c r="BCU20" s="352"/>
      <c r="BCV20" s="352"/>
      <c r="BCW20" s="352"/>
      <c r="BCX20" s="352"/>
      <c r="BCY20" s="352"/>
      <c r="BCZ20" s="352"/>
      <c r="BDA20" s="352"/>
      <c r="BDB20" s="352"/>
      <c r="BDC20" s="352"/>
      <c r="BDD20" s="352"/>
      <c r="BDE20" s="352"/>
      <c r="BDF20" s="352"/>
      <c r="BDG20" s="352"/>
      <c r="BDH20" s="352"/>
      <c r="BDI20" s="352"/>
      <c r="BDJ20" s="352"/>
      <c r="BDK20" s="352"/>
      <c r="BDL20" s="352"/>
      <c r="BDM20" s="352"/>
      <c r="BDN20" s="352"/>
      <c r="BDO20" s="352"/>
      <c r="BDP20" s="352"/>
      <c r="BDQ20" s="352"/>
      <c r="BDR20" s="352"/>
      <c r="BDS20" s="352"/>
      <c r="BDT20" s="352"/>
      <c r="BDU20" s="352"/>
      <c r="BDV20" s="352"/>
      <c r="BDW20" s="352"/>
      <c r="BDX20" s="352"/>
      <c r="BDY20" s="352"/>
      <c r="BDZ20" s="352"/>
      <c r="BEA20" s="352"/>
      <c r="BEB20" s="352"/>
      <c r="BEC20" s="352"/>
      <c r="BED20" s="352"/>
      <c r="BEE20" s="352"/>
      <c r="BEF20" s="352"/>
      <c r="BEG20" s="352"/>
      <c r="BEH20" s="352"/>
      <c r="BEI20" s="352"/>
      <c r="BEJ20" s="352"/>
      <c r="BEK20" s="352"/>
      <c r="BEL20" s="352"/>
      <c r="BEM20" s="352"/>
      <c r="BEN20" s="352"/>
      <c r="BEO20" s="352"/>
      <c r="BEP20" s="352"/>
      <c r="BEQ20" s="352"/>
      <c r="BER20" s="352"/>
      <c r="BES20" s="352"/>
      <c r="BET20" s="352"/>
      <c r="BEU20" s="352"/>
      <c r="BEV20" s="352"/>
      <c r="BEW20" s="352"/>
      <c r="BEX20" s="352"/>
      <c r="BEY20" s="352"/>
      <c r="BEZ20" s="352"/>
      <c r="BFA20" s="352"/>
      <c r="BFB20" s="352"/>
      <c r="BFC20" s="352"/>
      <c r="BFD20" s="352"/>
      <c r="BFE20" s="352"/>
      <c r="BFF20" s="352"/>
      <c r="BFG20" s="352"/>
      <c r="BFH20" s="352"/>
      <c r="BFI20" s="352"/>
      <c r="BFJ20" s="352"/>
      <c r="BFK20" s="352"/>
      <c r="BFL20" s="352"/>
      <c r="BFM20" s="352"/>
      <c r="BFN20" s="352"/>
      <c r="BFO20" s="352"/>
      <c r="BFP20" s="352"/>
      <c r="BFQ20" s="352"/>
      <c r="BFR20" s="352"/>
      <c r="BFS20" s="352"/>
      <c r="BFT20" s="352"/>
      <c r="BFU20" s="352"/>
      <c r="BFV20" s="352"/>
      <c r="BFW20" s="352"/>
      <c r="BFX20" s="352"/>
      <c r="BFY20" s="352"/>
      <c r="BFZ20" s="352"/>
      <c r="BGA20" s="352"/>
      <c r="BGB20" s="352"/>
      <c r="BGC20" s="352"/>
      <c r="BGD20" s="352"/>
      <c r="BGE20" s="352"/>
      <c r="BGF20" s="352"/>
      <c r="BGG20" s="352"/>
      <c r="BGH20" s="352"/>
      <c r="BGI20" s="352"/>
      <c r="BGJ20" s="352"/>
      <c r="BGK20" s="352"/>
      <c r="BGL20" s="352"/>
      <c r="BGM20" s="352"/>
      <c r="BGN20" s="352"/>
      <c r="BGO20" s="352"/>
      <c r="BGP20" s="352"/>
      <c r="BGQ20" s="352"/>
      <c r="BGR20" s="352"/>
      <c r="BGS20" s="352"/>
      <c r="BGT20" s="352"/>
      <c r="BGU20" s="352"/>
      <c r="BGV20" s="352"/>
      <c r="BGW20" s="352"/>
      <c r="BGX20" s="352"/>
      <c r="BGY20" s="352"/>
      <c r="BGZ20" s="352"/>
      <c r="BHA20" s="352"/>
      <c r="BHB20" s="352"/>
      <c r="BHC20" s="352"/>
      <c r="BHD20" s="352"/>
      <c r="BHE20" s="352"/>
      <c r="BHF20" s="352"/>
      <c r="BHG20" s="352"/>
      <c r="BHH20" s="352"/>
      <c r="BHI20" s="352"/>
      <c r="BHJ20" s="352"/>
      <c r="BHK20" s="352"/>
      <c r="BHL20" s="352"/>
      <c r="BHM20" s="352"/>
      <c r="BHN20" s="352"/>
      <c r="BHO20" s="352"/>
      <c r="BHP20" s="352"/>
      <c r="BHQ20" s="352"/>
      <c r="BHR20" s="352"/>
      <c r="BHS20" s="352"/>
      <c r="BHT20" s="352"/>
      <c r="BHU20" s="352"/>
      <c r="BHV20" s="352"/>
      <c r="BHW20" s="352"/>
      <c r="BHX20" s="352"/>
      <c r="BHY20" s="352"/>
      <c r="BHZ20" s="352"/>
      <c r="BIA20" s="352"/>
      <c r="BIB20" s="352"/>
      <c r="BIC20" s="352"/>
      <c r="BID20" s="352"/>
      <c r="BIE20" s="352"/>
      <c r="BIF20" s="352"/>
      <c r="BIG20" s="352"/>
      <c r="BIH20" s="352"/>
      <c r="BII20" s="352"/>
      <c r="BIJ20" s="352"/>
      <c r="BIK20" s="352"/>
      <c r="BIL20" s="352"/>
      <c r="BIM20" s="352"/>
      <c r="BIN20" s="352"/>
      <c r="BIO20" s="352"/>
      <c r="BIP20" s="352"/>
      <c r="BIQ20" s="352"/>
      <c r="BIR20" s="352"/>
      <c r="BIS20" s="352"/>
      <c r="BIT20" s="352"/>
      <c r="BIU20" s="352"/>
      <c r="BIV20" s="352"/>
      <c r="BIW20" s="352"/>
      <c r="BIX20" s="352"/>
      <c r="BIY20" s="352"/>
      <c r="BIZ20" s="352"/>
      <c r="BJA20" s="352"/>
      <c r="BJB20" s="352"/>
      <c r="BJC20" s="352"/>
      <c r="BJD20" s="352"/>
      <c r="BJE20" s="352"/>
      <c r="BJF20" s="352"/>
      <c r="BJG20" s="352"/>
      <c r="BJH20" s="352"/>
      <c r="BJI20" s="352"/>
      <c r="BJJ20" s="352"/>
      <c r="BJK20" s="352"/>
      <c r="BJL20" s="352"/>
      <c r="BJM20" s="352"/>
      <c r="BJN20" s="352"/>
      <c r="BJO20" s="352"/>
      <c r="BJP20" s="352"/>
      <c r="BJQ20" s="352"/>
      <c r="BJR20" s="352"/>
      <c r="BJS20" s="352"/>
      <c r="BJT20" s="352"/>
      <c r="BJU20" s="352"/>
      <c r="BJV20" s="352"/>
      <c r="BJW20" s="352"/>
      <c r="BJX20" s="352"/>
      <c r="BJY20" s="352"/>
      <c r="BJZ20" s="352"/>
      <c r="BKA20" s="352"/>
      <c r="BKB20" s="352"/>
      <c r="BKC20" s="352"/>
      <c r="BKD20" s="352"/>
      <c r="BKE20" s="352"/>
      <c r="BKF20" s="352"/>
      <c r="BKG20" s="352"/>
      <c r="BKH20" s="352"/>
      <c r="BKI20" s="352"/>
      <c r="BKJ20" s="352"/>
      <c r="BKK20" s="352"/>
      <c r="BKL20" s="352"/>
      <c r="BKM20" s="352"/>
      <c r="BKN20" s="352"/>
      <c r="BKO20" s="352"/>
      <c r="BKP20" s="352"/>
      <c r="BKQ20" s="352"/>
      <c r="BKR20" s="352"/>
      <c r="BKS20" s="352"/>
      <c r="BKT20" s="352"/>
      <c r="BKU20" s="352"/>
      <c r="BKV20" s="352"/>
      <c r="BKW20" s="352"/>
      <c r="BKX20" s="352"/>
      <c r="BKY20" s="352"/>
      <c r="BKZ20" s="352"/>
      <c r="BLA20" s="352"/>
      <c r="BLB20" s="352"/>
      <c r="BLC20" s="352"/>
      <c r="BLD20" s="352"/>
      <c r="BLE20" s="352"/>
      <c r="BLF20" s="352"/>
      <c r="BLG20" s="352"/>
      <c r="BLH20" s="352"/>
      <c r="BLI20" s="352"/>
      <c r="BLJ20" s="352"/>
      <c r="BLK20" s="352"/>
      <c r="BLL20" s="352"/>
      <c r="BLM20" s="352"/>
      <c r="BLN20" s="352"/>
      <c r="BLO20" s="352"/>
      <c r="BLP20" s="352"/>
      <c r="BLQ20" s="352"/>
      <c r="BLR20" s="352"/>
      <c r="BLS20" s="352"/>
      <c r="BLT20" s="352"/>
      <c r="BLU20" s="352"/>
      <c r="BLV20" s="352"/>
      <c r="BLW20" s="352"/>
      <c r="BLX20" s="352"/>
      <c r="BLY20" s="352"/>
      <c r="BLZ20" s="352"/>
      <c r="BMA20" s="352"/>
      <c r="BMB20" s="352"/>
      <c r="BMC20" s="352"/>
      <c r="BMD20" s="352"/>
      <c r="BME20" s="352"/>
      <c r="BMF20" s="352"/>
      <c r="BMG20" s="352"/>
      <c r="BMH20" s="352"/>
      <c r="BMI20" s="352"/>
      <c r="BMJ20" s="352"/>
      <c r="BMK20" s="352"/>
      <c r="BML20" s="352"/>
      <c r="BMM20" s="352"/>
      <c r="BMN20" s="352"/>
      <c r="BMO20" s="352"/>
      <c r="BMP20" s="352"/>
      <c r="BMQ20" s="352"/>
      <c r="BMR20" s="352"/>
      <c r="BMS20" s="352"/>
      <c r="BMT20" s="352"/>
      <c r="BMU20" s="352"/>
      <c r="BMV20" s="352"/>
      <c r="BMW20" s="352"/>
      <c r="BMX20" s="352"/>
      <c r="BMY20" s="352"/>
      <c r="BMZ20" s="352"/>
      <c r="BNA20" s="352"/>
      <c r="BNB20" s="352"/>
      <c r="BNC20" s="352"/>
      <c r="BND20" s="352"/>
      <c r="BNE20" s="352"/>
      <c r="BNF20" s="352"/>
      <c r="BNG20" s="352"/>
      <c r="BNH20" s="352"/>
      <c r="BNI20" s="352"/>
      <c r="BNJ20" s="352"/>
      <c r="BNK20" s="352"/>
      <c r="BNL20" s="352"/>
      <c r="BNM20" s="352"/>
      <c r="BNN20" s="352"/>
      <c r="BNO20" s="352"/>
      <c r="BNP20" s="352"/>
      <c r="BNQ20" s="352"/>
      <c r="BNR20" s="352"/>
      <c r="BNS20" s="352"/>
      <c r="BNT20" s="352"/>
      <c r="BNU20" s="352"/>
      <c r="BNV20" s="352"/>
      <c r="BNW20" s="352"/>
      <c r="BNX20" s="352"/>
      <c r="BNY20" s="352"/>
      <c r="BNZ20" s="352"/>
      <c r="BOA20" s="352"/>
      <c r="BOB20" s="352"/>
      <c r="BOC20" s="352"/>
      <c r="BOD20" s="352"/>
      <c r="BOE20" s="352"/>
      <c r="BOF20" s="352"/>
      <c r="BOG20" s="352"/>
      <c r="BOH20" s="352"/>
      <c r="BOI20" s="352"/>
      <c r="BOJ20" s="352"/>
      <c r="BOK20" s="352"/>
      <c r="BOL20" s="352"/>
      <c r="BOM20" s="352"/>
      <c r="BON20" s="352"/>
      <c r="BOO20" s="352"/>
      <c r="BOP20" s="352"/>
      <c r="BOQ20" s="352"/>
      <c r="BOR20" s="352"/>
      <c r="BOS20" s="352"/>
      <c r="BOT20" s="352"/>
      <c r="BOU20" s="352"/>
      <c r="BOV20" s="352"/>
      <c r="BOW20" s="352"/>
      <c r="BOX20" s="352"/>
      <c r="BOY20" s="352"/>
      <c r="BOZ20" s="352"/>
      <c r="BPA20" s="352"/>
      <c r="BPB20" s="352"/>
      <c r="BPC20" s="352"/>
      <c r="BPD20" s="352"/>
      <c r="BPE20" s="352"/>
      <c r="BPF20" s="352"/>
      <c r="BPG20" s="352"/>
      <c r="BPH20" s="352"/>
      <c r="BPI20" s="352"/>
      <c r="BPJ20" s="352"/>
      <c r="BPK20" s="352"/>
      <c r="BPL20" s="352"/>
      <c r="BPM20" s="352"/>
      <c r="BPN20" s="352"/>
      <c r="BPO20" s="352"/>
      <c r="BPP20" s="352"/>
      <c r="BPQ20" s="352"/>
      <c r="BPR20" s="352"/>
      <c r="BPS20" s="352"/>
      <c r="BPT20" s="352"/>
      <c r="BPU20" s="352"/>
      <c r="BPV20" s="352"/>
      <c r="BPW20" s="352"/>
      <c r="BPX20" s="352"/>
      <c r="BPY20" s="352"/>
      <c r="BPZ20" s="352"/>
      <c r="BQA20" s="352"/>
      <c r="BQB20" s="352"/>
      <c r="BQC20" s="352"/>
      <c r="BQD20" s="352"/>
      <c r="BQE20" s="352"/>
      <c r="BQF20" s="352"/>
      <c r="BQG20" s="352"/>
      <c r="BQH20" s="352"/>
      <c r="BQI20" s="352"/>
      <c r="BQJ20" s="352"/>
      <c r="BQK20" s="352"/>
      <c r="BQL20" s="352"/>
      <c r="BQM20" s="352"/>
      <c r="BQN20" s="352"/>
      <c r="BQO20" s="352"/>
      <c r="BQP20" s="352"/>
      <c r="BQQ20" s="352"/>
      <c r="BQR20" s="352"/>
      <c r="BQS20" s="352"/>
      <c r="BQT20" s="352"/>
      <c r="BQU20" s="352"/>
      <c r="BQV20" s="352"/>
      <c r="BQW20" s="352"/>
      <c r="BQX20" s="352"/>
      <c r="BQY20" s="352"/>
      <c r="BQZ20" s="352"/>
      <c r="BRA20" s="352"/>
      <c r="BRB20" s="352"/>
      <c r="BRC20" s="352"/>
      <c r="BRD20" s="352"/>
      <c r="BRE20" s="352"/>
      <c r="BRF20" s="352"/>
      <c r="BRG20" s="352"/>
      <c r="BRH20" s="352"/>
      <c r="BRI20" s="352"/>
      <c r="BRJ20" s="352"/>
      <c r="BRK20" s="352"/>
      <c r="BRL20" s="352"/>
      <c r="BRM20" s="352"/>
      <c r="BRN20" s="352"/>
      <c r="BRO20" s="352"/>
      <c r="BRP20" s="352"/>
      <c r="BRQ20" s="352"/>
      <c r="BRR20" s="352"/>
      <c r="BRS20" s="352"/>
      <c r="BRT20" s="352"/>
      <c r="BRU20" s="352"/>
      <c r="BRV20" s="352"/>
      <c r="BRW20" s="352"/>
      <c r="BRX20" s="352"/>
      <c r="BRY20" s="352"/>
      <c r="BRZ20" s="352"/>
      <c r="BSA20" s="352"/>
      <c r="BSB20" s="352"/>
      <c r="BSC20" s="352"/>
      <c r="BSD20" s="352"/>
      <c r="BSE20" s="352"/>
      <c r="BSF20" s="352"/>
      <c r="BSG20" s="352"/>
      <c r="BSH20" s="352"/>
      <c r="BSI20" s="352"/>
      <c r="BSJ20" s="352"/>
      <c r="BSK20" s="352"/>
      <c r="BSL20" s="352"/>
      <c r="BSM20" s="352"/>
      <c r="BSN20" s="352"/>
      <c r="BSO20" s="352"/>
      <c r="BSP20" s="352"/>
      <c r="BSQ20" s="352"/>
      <c r="BSR20" s="352"/>
      <c r="BSS20" s="352"/>
      <c r="BST20" s="352"/>
      <c r="BSU20" s="352"/>
      <c r="BSV20" s="352"/>
      <c r="BSW20" s="352"/>
      <c r="BSX20" s="352"/>
      <c r="BSY20" s="352"/>
      <c r="BSZ20" s="352"/>
      <c r="BTA20" s="352"/>
      <c r="BTB20" s="352"/>
      <c r="BTC20" s="352"/>
      <c r="BTD20" s="352"/>
      <c r="BTE20" s="352"/>
      <c r="BTF20" s="352"/>
      <c r="BTG20" s="352"/>
      <c r="BTH20" s="352"/>
      <c r="BTI20" s="352"/>
      <c r="BTJ20" s="352"/>
      <c r="BTK20" s="352"/>
      <c r="BTL20" s="352"/>
      <c r="BTM20" s="352"/>
      <c r="BTN20" s="352"/>
      <c r="BTO20" s="352"/>
      <c r="BTP20" s="352"/>
      <c r="BTQ20" s="352"/>
      <c r="BTR20" s="352"/>
      <c r="BTS20" s="352"/>
      <c r="BTT20" s="352"/>
      <c r="BTU20" s="352"/>
      <c r="BTV20" s="352"/>
      <c r="BTW20" s="352"/>
      <c r="BTX20" s="352"/>
      <c r="BTY20" s="352"/>
      <c r="BTZ20" s="352"/>
      <c r="BUA20" s="352"/>
      <c r="BUB20" s="352"/>
      <c r="BUC20" s="352"/>
      <c r="BUD20" s="352"/>
      <c r="BUE20" s="352"/>
      <c r="BUF20" s="352"/>
      <c r="BUG20" s="352"/>
      <c r="BUH20" s="352"/>
      <c r="BUI20" s="352"/>
      <c r="BUJ20" s="352"/>
      <c r="BUK20" s="352"/>
      <c r="BUL20" s="352"/>
      <c r="BUM20" s="352"/>
      <c r="BUN20" s="352"/>
      <c r="BUO20" s="352"/>
      <c r="BUP20" s="352"/>
      <c r="BUQ20" s="352"/>
      <c r="BUR20" s="352"/>
      <c r="BUS20" s="352"/>
      <c r="BUT20" s="352"/>
      <c r="BUU20" s="352"/>
      <c r="BUV20" s="352"/>
      <c r="BUW20" s="352"/>
      <c r="BUX20" s="352"/>
      <c r="BUY20" s="352"/>
      <c r="BUZ20" s="352"/>
      <c r="BVA20" s="352"/>
      <c r="BVB20" s="352"/>
      <c r="BVC20" s="352"/>
      <c r="BVD20" s="352"/>
      <c r="BVE20" s="352"/>
      <c r="BVF20" s="352"/>
      <c r="BVG20" s="352"/>
      <c r="BVH20" s="352"/>
      <c r="BVI20" s="352"/>
      <c r="BVJ20" s="352"/>
      <c r="BVK20" s="352"/>
      <c r="BVL20" s="352"/>
      <c r="BVM20" s="352"/>
      <c r="BVN20" s="352"/>
      <c r="BVO20" s="352"/>
      <c r="BVP20" s="352"/>
      <c r="BVQ20" s="352"/>
      <c r="BVR20" s="352"/>
      <c r="BVS20" s="352"/>
      <c r="BVT20" s="352"/>
      <c r="BVU20" s="352"/>
      <c r="BVV20" s="352"/>
      <c r="BVW20" s="352"/>
      <c r="BVX20" s="352"/>
      <c r="BVY20" s="352"/>
      <c r="BVZ20" s="352"/>
      <c r="BWA20" s="352"/>
      <c r="BWB20" s="352"/>
      <c r="BWC20" s="352"/>
      <c r="BWD20" s="352"/>
      <c r="BWE20" s="352"/>
      <c r="BWF20" s="352"/>
      <c r="BWG20" s="352"/>
      <c r="BWH20" s="352"/>
      <c r="BWI20" s="352"/>
      <c r="BWJ20" s="352"/>
      <c r="BWK20" s="352"/>
      <c r="BWL20" s="352"/>
      <c r="BWM20" s="352"/>
      <c r="BWN20" s="352"/>
      <c r="BWO20" s="352"/>
      <c r="BWP20" s="352"/>
      <c r="BWQ20" s="352"/>
      <c r="BWR20" s="352"/>
      <c r="BWS20" s="352"/>
      <c r="BWT20" s="352"/>
      <c r="BWU20" s="352"/>
      <c r="BWV20" s="352"/>
      <c r="BWW20" s="352"/>
      <c r="BWX20" s="352"/>
      <c r="BWY20" s="352"/>
      <c r="BWZ20" s="352"/>
      <c r="BXA20" s="352"/>
      <c r="BXB20" s="352"/>
      <c r="BXC20" s="352"/>
      <c r="BXD20" s="352"/>
      <c r="BXE20" s="352"/>
      <c r="BXF20" s="352"/>
      <c r="BXG20" s="352"/>
      <c r="BXH20" s="352"/>
      <c r="BXI20" s="352"/>
      <c r="BXJ20" s="352"/>
      <c r="BXK20" s="352"/>
      <c r="BXL20" s="352"/>
      <c r="BXM20" s="352"/>
      <c r="BXN20" s="352"/>
      <c r="BXO20" s="352"/>
      <c r="BXP20" s="352"/>
      <c r="BXQ20" s="352"/>
      <c r="BXR20" s="352"/>
      <c r="BXS20" s="352"/>
      <c r="BXT20" s="352"/>
      <c r="BXU20" s="352"/>
      <c r="BXV20" s="352"/>
      <c r="BXW20" s="352"/>
      <c r="BXX20" s="352"/>
      <c r="BXY20" s="352"/>
      <c r="BXZ20" s="352"/>
      <c r="BYA20" s="352"/>
      <c r="BYB20" s="352"/>
      <c r="BYC20" s="352"/>
      <c r="BYD20" s="352"/>
      <c r="BYE20" s="352"/>
      <c r="BYF20" s="352"/>
      <c r="BYG20" s="352"/>
      <c r="BYH20" s="352"/>
      <c r="BYI20" s="352"/>
      <c r="BYJ20" s="352"/>
      <c r="BYK20" s="352"/>
      <c r="BYL20" s="352"/>
      <c r="BYM20" s="352"/>
      <c r="BYN20" s="352"/>
      <c r="BYO20" s="352"/>
      <c r="BYP20" s="352"/>
      <c r="BYQ20" s="352"/>
      <c r="BYR20" s="352"/>
      <c r="BYS20" s="352"/>
      <c r="BYT20" s="352"/>
      <c r="BYU20" s="352"/>
      <c r="BYV20" s="352"/>
      <c r="BYW20" s="352"/>
      <c r="BYX20" s="352"/>
      <c r="BYY20" s="352"/>
      <c r="BYZ20" s="352"/>
      <c r="BZA20" s="352"/>
      <c r="BZB20" s="352"/>
      <c r="BZC20" s="352"/>
      <c r="BZD20" s="352"/>
      <c r="BZE20" s="352"/>
      <c r="BZF20" s="352"/>
      <c r="BZG20" s="352"/>
      <c r="BZH20" s="352"/>
      <c r="BZI20" s="352"/>
      <c r="BZJ20" s="352"/>
      <c r="BZK20" s="352"/>
      <c r="BZL20" s="352"/>
      <c r="BZM20" s="352"/>
      <c r="BZN20" s="352"/>
      <c r="BZO20" s="352"/>
      <c r="BZP20" s="352"/>
      <c r="BZQ20" s="352"/>
      <c r="BZR20" s="352"/>
      <c r="BZS20" s="352"/>
      <c r="BZT20" s="352"/>
      <c r="BZU20" s="352"/>
      <c r="BZV20" s="352"/>
      <c r="BZW20" s="352"/>
      <c r="BZX20" s="352"/>
      <c r="BZY20" s="352"/>
      <c r="BZZ20" s="352"/>
      <c r="CAA20" s="352"/>
      <c r="CAB20" s="352"/>
      <c r="CAC20" s="352"/>
      <c r="CAD20" s="352"/>
      <c r="CAE20" s="352"/>
      <c r="CAF20" s="352"/>
      <c r="CAG20" s="352"/>
      <c r="CAH20" s="352"/>
      <c r="CAI20" s="352"/>
      <c r="CAJ20" s="352"/>
      <c r="CAK20" s="352"/>
      <c r="CAL20" s="352"/>
      <c r="CAM20" s="352"/>
      <c r="CAN20" s="352"/>
      <c r="CAO20" s="352"/>
      <c r="CAP20" s="352"/>
      <c r="CAQ20" s="352"/>
      <c r="CAR20" s="352"/>
      <c r="CAS20" s="352"/>
      <c r="CAT20" s="352"/>
      <c r="CAU20" s="352"/>
      <c r="CAV20" s="352"/>
      <c r="CAW20" s="352"/>
      <c r="CAX20" s="352"/>
      <c r="CAY20" s="352"/>
      <c r="CAZ20" s="352"/>
      <c r="CBA20" s="352"/>
      <c r="CBB20" s="352"/>
      <c r="CBC20" s="352"/>
      <c r="CBD20" s="352"/>
      <c r="CBE20" s="352"/>
      <c r="CBF20" s="352"/>
      <c r="CBG20" s="352"/>
      <c r="CBH20" s="352"/>
      <c r="CBI20" s="352"/>
      <c r="CBJ20" s="352"/>
      <c r="CBK20" s="352"/>
      <c r="CBL20" s="352"/>
      <c r="CBM20" s="352"/>
      <c r="CBN20" s="352"/>
      <c r="CBO20" s="352"/>
      <c r="CBP20" s="352"/>
      <c r="CBQ20" s="352"/>
      <c r="CBR20" s="352"/>
      <c r="CBS20" s="352"/>
      <c r="CBT20" s="352"/>
      <c r="CBU20" s="352"/>
      <c r="CBV20" s="352"/>
      <c r="CBW20" s="352"/>
      <c r="CBX20" s="352"/>
      <c r="CBY20" s="352"/>
      <c r="CBZ20" s="352"/>
      <c r="CCA20" s="352"/>
      <c r="CCB20" s="352"/>
      <c r="CCC20" s="352"/>
      <c r="CCD20" s="352"/>
      <c r="CCE20" s="352"/>
      <c r="CCF20" s="352"/>
      <c r="CCG20" s="352"/>
      <c r="CCH20" s="352"/>
      <c r="CCI20" s="352"/>
      <c r="CCJ20" s="352"/>
      <c r="CCK20" s="352"/>
      <c r="CCL20" s="352"/>
      <c r="CCM20" s="352"/>
      <c r="CCN20" s="352"/>
      <c r="CCO20" s="352"/>
      <c r="CCP20" s="352"/>
      <c r="CCQ20" s="352"/>
      <c r="CCR20" s="352"/>
      <c r="CCS20" s="352"/>
      <c r="CCT20" s="352"/>
      <c r="CCU20" s="352"/>
      <c r="CCV20" s="352"/>
      <c r="CCW20" s="352"/>
      <c r="CCX20" s="352"/>
      <c r="CCY20" s="352"/>
      <c r="CCZ20" s="352"/>
      <c r="CDA20" s="352"/>
      <c r="CDB20" s="352"/>
      <c r="CDC20" s="352"/>
      <c r="CDD20" s="352"/>
      <c r="CDE20" s="352"/>
      <c r="CDF20" s="352"/>
      <c r="CDG20" s="352"/>
      <c r="CDH20" s="352"/>
      <c r="CDI20" s="352"/>
      <c r="CDJ20" s="352"/>
      <c r="CDK20" s="352"/>
      <c r="CDL20" s="352"/>
      <c r="CDM20" s="352"/>
      <c r="CDN20" s="352"/>
      <c r="CDO20" s="352"/>
      <c r="CDP20" s="352"/>
      <c r="CDQ20" s="352"/>
      <c r="CDR20" s="352"/>
      <c r="CDS20" s="352"/>
      <c r="CDT20" s="352"/>
      <c r="CDU20" s="352"/>
      <c r="CDV20" s="352"/>
      <c r="CDW20" s="352"/>
      <c r="CDX20" s="352"/>
      <c r="CDY20" s="352"/>
      <c r="CDZ20" s="352"/>
      <c r="CEA20" s="352"/>
      <c r="CEB20" s="352"/>
      <c r="CEC20" s="352"/>
      <c r="CED20" s="352"/>
      <c r="CEE20" s="352"/>
      <c r="CEF20" s="352"/>
      <c r="CEG20" s="352"/>
      <c r="CEH20" s="352"/>
      <c r="CEI20" s="352"/>
      <c r="CEJ20" s="352"/>
      <c r="CEK20" s="352"/>
      <c r="CEL20" s="352"/>
      <c r="CEM20" s="352"/>
      <c r="CEN20" s="352"/>
      <c r="CEO20" s="352"/>
      <c r="CEP20" s="352"/>
      <c r="CEQ20" s="352"/>
      <c r="CER20" s="352"/>
      <c r="CES20" s="352"/>
      <c r="CET20" s="352"/>
      <c r="CEU20" s="352"/>
      <c r="CEV20" s="352"/>
      <c r="CEW20" s="352"/>
      <c r="CEX20" s="352"/>
      <c r="CEY20" s="352"/>
      <c r="CEZ20" s="352"/>
      <c r="CFA20" s="352"/>
      <c r="CFB20" s="352"/>
      <c r="CFC20" s="352"/>
      <c r="CFD20" s="352"/>
      <c r="CFE20" s="352"/>
      <c r="CFF20" s="352"/>
      <c r="CFG20" s="352"/>
      <c r="CFH20" s="352"/>
      <c r="CFI20" s="352"/>
      <c r="CFJ20" s="352"/>
      <c r="CFK20" s="352"/>
      <c r="CFL20" s="352"/>
      <c r="CFM20" s="352"/>
      <c r="CFN20" s="352"/>
      <c r="CFO20" s="352"/>
      <c r="CFP20" s="352"/>
      <c r="CFQ20" s="352"/>
      <c r="CFR20" s="352"/>
      <c r="CFS20" s="352"/>
      <c r="CFT20" s="352"/>
      <c r="CFU20" s="352"/>
      <c r="CFV20" s="352"/>
      <c r="CFW20" s="352"/>
      <c r="CFX20" s="352"/>
      <c r="CFY20" s="352"/>
      <c r="CFZ20" s="352"/>
      <c r="CGA20" s="352"/>
      <c r="CGB20" s="352"/>
      <c r="CGC20" s="352"/>
      <c r="CGD20" s="352"/>
      <c r="CGE20" s="352"/>
      <c r="CGF20" s="352"/>
      <c r="CGG20" s="352"/>
      <c r="CGH20" s="352"/>
      <c r="CGI20" s="352"/>
      <c r="CGJ20" s="352"/>
      <c r="CGK20" s="352"/>
      <c r="CGL20" s="352"/>
      <c r="CGM20" s="352"/>
      <c r="CGN20" s="352"/>
      <c r="CGO20" s="352"/>
      <c r="CGP20" s="352"/>
      <c r="CGQ20" s="352"/>
      <c r="CGR20" s="352"/>
      <c r="CGS20" s="352"/>
      <c r="CGT20" s="352"/>
      <c r="CGU20" s="352"/>
      <c r="CGV20" s="352"/>
      <c r="CGW20" s="352"/>
      <c r="CGX20" s="352"/>
      <c r="CGY20" s="352"/>
      <c r="CGZ20" s="352"/>
      <c r="CHA20" s="352"/>
      <c r="CHB20" s="352"/>
      <c r="CHC20" s="352"/>
      <c r="CHD20" s="352"/>
      <c r="CHE20" s="352"/>
      <c r="CHF20" s="352"/>
      <c r="CHG20" s="352"/>
      <c r="CHH20" s="352"/>
      <c r="CHI20" s="352"/>
      <c r="CHJ20" s="352"/>
      <c r="CHK20" s="352"/>
      <c r="CHL20" s="352"/>
      <c r="CHM20" s="352"/>
      <c r="CHN20" s="352"/>
      <c r="CHO20" s="352"/>
      <c r="CHP20" s="352"/>
      <c r="CHQ20" s="352"/>
      <c r="CHR20" s="352"/>
      <c r="CHS20" s="352"/>
      <c r="CHT20" s="352"/>
      <c r="CHU20" s="352"/>
      <c r="CHV20" s="352"/>
      <c r="CHW20" s="352"/>
      <c r="CHX20" s="352"/>
      <c r="CHY20" s="352"/>
      <c r="CHZ20" s="352"/>
      <c r="CIA20" s="352"/>
      <c r="CIB20" s="352"/>
      <c r="CIC20" s="352"/>
      <c r="CID20" s="352"/>
      <c r="CIE20" s="352"/>
      <c r="CIF20" s="352"/>
      <c r="CIG20" s="352"/>
      <c r="CIH20" s="352"/>
      <c r="CII20" s="352"/>
      <c r="CIJ20" s="352"/>
      <c r="CIK20" s="352"/>
      <c r="CIL20" s="352"/>
      <c r="CIM20" s="352"/>
      <c r="CIN20" s="352"/>
      <c r="CIO20" s="352"/>
      <c r="CIP20" s="352"/>
      <c r="CIQ20" s="352"/>
      <c r="CIR20" s="352"/>
      <c r="CIS20" s="352"/>
      <c r="CIT20" s="352"/>
      <c r="CIU20" s="352"/>
      <c r="CIV20" s="352"/>
      <c r="CIW20" s="352"/>
      <c r="CIX20" s="352"/>
      <c r="CIY20" s="352"/>
      <c r="CIZ20" s="352"/>
      <c r="CJA20" s="352"/>
      <c r="CJB20" s="352"/>
      <c r="CJC20" s="352"/>
      <c r="CJD20" s="352"/>
      <c r="CJE20" s="352"/>
      <c r="CJF20" s="352"/>
      <c r="CJG20" s="352"/>
      <c r="CJH20" s="352"/>
      <c r="CJI20" s="352"/>
      <c r="CJJ20" s="352"/>
      <c r="CJK20" s="352"/>
      <c r="CJL20" s="352"/>
      <c r="CJM20" s="352"/>
      <c r="CJN20" s="352"/>
      <c r="CJO20" s="352"/>
      <c r="CJP20" s="352"/>
      <c r="CJQ20" s="352"/>
      <c r="CJR20" s="352"/>
      <c r="CJS20" s="352"/>
      <c r="CJT20" s="352"/>
      <c r="CJU20" s="352"/>
      <c r="CJV20" s="352"/>
      <c r="CJW20" s="352"/>
      <c r="CJX20" s="352"/>
      <c r="CJY20" s="352"/>
      <c r="CJZ20" s="352"/>
      <c r="CKA20" s="352"/>
      <c r="CKB20" s="352"/>
      <c r="CKC20" s="352"/>
      <c r="CKD20" s="352"/>
      <c r="CKE20" s="352"/>
      <c r="CKF20" s="352"/>
      <c r="CKG20" s="352"/>
      <c r="CKH20" s="352"/>
      <c r="CKI20" s="352"/>
      <c r="CKJ20" s="352"/>
      <c r="CKK20" s="352"/>
      <c r="CKL20" s="352"/>
      <c r="CKM20" s="352"/>
      <c r="CKN20" s="352"/>
      <c r="CKO20" s="352"/>
      <c r="CKP20" s="352"/>
      <c r="CKQ20" s="352"/>
      <c r="CKR20" s="352"/>
      <c r="CKS20" s="352"/>
      <c r="CKT20" s="352"/>
      <c r="CKU20" s="352"/>
      <c r="CKV20" s="352"/>
      <c r="CKW20" s="352"/>
      <c r="CKX20" s="352"/>
      <c r="CKY20" s="352"/>
      <c r="CKZ20" s="352"/>
      <c r="CLA20" s="352"/>
      <c r="CLB20" s="352"/>
      <c r="CLC20" s="352"/>
      <c r="CLD20" s="352"/>
      <c r="CLE20" s="352"/>
      <c r="CLF20" s="352"/>
      <c r="CLG20" s="352"/>
      <c r="CLH20" s="352"/>
      <c r="CLI20" s="352"/>
      <c r="CLJ20" s="352"/>
      <c r="CLK20" s="352"/>
      <c r="CLL20" s="352"/>
      <c r="CLM20" s="352"/>
      <c r="CLN20" s="352"/>
      <c r="CLO20" s="352"/>
      <c r="CLP20" s="352"/>
      <c r="CLQ20" s="352"/>
      <c r="CLR20" s="352"/>
      <c r="CLS20" s="352"/>
      <c r="CLT20" s="352"/>
      <c r="CLU20" s="352"/>
      <c r="CLV20" s="352"/>
      <c r="CLW20" s="352"/>
      <c r="CLX20" s="352"/>
      <c r="CLY20" s="352"/>
      <c r="CLZ20" s="352"/>
      <c r="CMA20" s="352"/>
      <c r="CMB20" s="352"/>
      <c r="CMC20" s="352"/>
      <c r="CMD20" s="352"/>
      <c r="CME20" s="352"/>
      <c r="CMF20" s="352"/>
      <c r="CMG20" s="352"/>
      <c r="CMH20" s="352"/>
      <c r="CMI20" s="352"/>
      <c r="CMJ20" s="352"/>
      <c r="CMK20" s="352"/>
      <c r="CML20" s="352"/>
      <c r="CMM20" s="352"/>
      <c r="CMN20" s="352"/>
      <c r="CMO20" s="352"/>
      <c r="CMP20" s="352"/>
      <c r="CMQ20" s="352"/>
      <c r="CMR20" s="352"/>
      <c r="CMS20" s="352"/>
      <c r="CMT20" s="352"/>
      <c r="CMU20" s="352"/>
      <c r="CMV20" s="352"/>
      <c r="CMW20" s="352"/>
      <c r="CMX20" s="352"/>
      <c r="CMY20" s="352"/>
      <c r="CMZ20" s="352"/>
      <c r="CNA20" s="352"/>
      <c r="CNB20" s="352"/>
      <c r="CNC20" s="352"/>
      <c r="CND20" s="352"/>
      <c r="CNE20" s="352"/>
      <c r="CNF20" s="352"/>
      <c r="CNG20" s="352"/>
      <c r="CNH20" s="352"/>
      <c r="CNI20" s="352"/>
      <c r="CNJ20" s="352"/>
      <c r="CNK20" s="352"/>
      <c r="CNL20" s="352"/>
      <c r="CNM20" s="352"/>
      <c r="CNN20" s="352"/>
      <c r="CNO20" s="352"/>
      <c r="CNP20" s="352"/>
      <c r="CNQ20" s="352"/>
      <c r="CNR20" s="352"/>
      <c r="CNS20" s="352"/>
      <c r="CNT20" s="352"/>
      <c r="CNU20" s="352"/>
      <c r="CNV20" s="352"/>
      <c r="CNW20" s="352"/>
      <c r="CNX20" s="352"/>
      <c r="CNY20" s="352"/>
      <c r="CNZ20" s="352"/>
      <c r="COA20" s="352"/>
      <c r="COB20" s="352"/>
      <c r="COC20" s="352"/>
      <c r="COD20" s="352"/>
      <c r="COE20" s="352"/>
      <c r="COF20" s="352"/>
      <c r="COG20" s="352"/>
      <c r="COH20" s="352"/>
      <c r="COI20" s="352"/>
      <c r="COJ20" s="352"/>
      <c r="COK20" s="352"/>
      <c r="COL20" s="352"/>
      <c r="COM20" s="352"/>
      <c r="CON20" s="352"/>
      <c r="COO20" s="352"/>
      <c r="COP20" s="352"/>
      <c r="COQ20" s="352"/>
      <c r="COR20" s="352"/>
      <c r="COS20" s="352"/>
      <c r="COT20" s="352"/>
      <c r="COU20" s="352"/>
      <c r="COV20" s="352"/>
      <c r="COW20" s="352"/>
      <c r="COX20" s="352"/>
      <c r="COY20" s="352"/>
      <c r="COZ20" s="352"/>
      <c r="CPA20" s="352"/>
      <c r="CPB20" s="352"/>
      <c r="CPC20" s="352"/>
      <c r="CPD20" s="352"/>
      <c r="CPE20" s="352"/>
      <c r="CPF20" s="352"/>
      <c r="CPG20" s="352"/>
      <c r="CPH20" s="352"/>
      <c r="CPI20" s="352"/>
      <c r="CPJ20" s="352"/>
      <c r="CPK20" s="352"/>
      <c r="CPL20" s="352"/>
      <c r="CPM20" s="352"/>
      <c r="CPN20" s="352"/>
      <c r="CPO20" s="352"/>
      <c r="CPP20" s="352"/>
      <c r="CPQ20" s="352"/>
      <c r="CPR20" s="352"/>
      <c r="CPS20" s="352"/>
      <c r="CPT20" s="352"/>
      <c r="CPU20" s="352"/>
      <c r="CPV20" s="352"/>
      <c r="CPW20" s="352"/>
      <c r="CPX20" s="352"/>
      <c r="CPY20" s="352"/>
      <c r="CPZ20" s="352"/>
      <c r="CQA20" s="352"/>
      <c r="CQB20" s="352"/>
      <c r="CQC20" s="352"/>
      <c r="CQD20" s="352"/>
      <c r="CQE20" s="352"/>
      <c r="CQF20" s="352"/>
      <c r="CQG20" s="352"/>
      <c r="CQH20" s="352"/>
      <c r="CQI20" s="352"/>
      <c r="CQJ20" s="352"/>
      <c r="CQK20" s="352"/>
      <c r="CQL20" s="352"/>
      <c r="CQM20" s="352"/>
      <c r="CQN20" s="352"/>
      <c r="CQO20" s="352"/>
      <c r="CQP20" s="352"/>
      <c r="CQQ20" s="352"/>
      <c r="CQR20" s="352"/>
      <c r="CQS20" s="352"/>
      <c r="CQT20" s="352"/>
      <c r="CQU20" s="352"/>
      <c r="CQV20" s="352"/>
      <c r="CQW20" s="352"/>
      <c r="CQX20" s="352"/>
      <c r="CQY20" s="352"/>
      <c r="CQZ20" s="352"/>
      <c r="CRA20" s="352"/>
      <c r="CRB20" s="352"/>
      <c r="CRC20" s="352"/>
      <c r="CRD20" s="352"/>
      <c r="CRE20" s="352"/>
      <c r="CRF20" s="352"/>
      <c r="CRG20" s="352"/>
      <c r="CRH20" s="352"/>
      <c r="CRI20" s="352"/>
      <c r="CRJ20" s="352"/>
      <c r="CRK20" s="352"/>
      <c r="CRL20" s="352"/>
      <c r="CRM20" s="352"/>
      <c r="CRN20" s="352"/>
      <c r="CRO20" s="352"/>
      <c r="CRP20" s="352"/>
      <c r="CRQ20" s="352"/>
      <c r="CRR20" s="352"/>
      <c r="CRS20" s="352"/>
      <c r="CRT20" s="352"/>
      <c r="CRU20" s="352"/>
      <c r="CRV20" s="352"/>
      <c r="CRW20" s="352"/>
      <c r="CRX20" s="352"/>
      <c r="CRY20" s="352"/>
      <c r="CRZ20" s="352"/>
      <c r="CSA20" s="352"/>
      <c r="CSB20" s="352"/>
      <c r="CSC20" s="352"/>
      <c r="CSD20" s="352"/>
      <c r="CSE20" s="352"/>
      <c r="CSF20" s="352"/>
      <c r="CSG20" s="352"/>
      <c r="CSH20" s="352"/>
      <c r="CSI20" s="352"/>
      <c r="CSJ20" s="352"/>
      <c r="CSK20" s="352"/>
      <c r="CSL20" s="352"/>
      <c r="CSM20" s="352"/>
      <c r="CSN20" s="352"/>
      <c r="CSO20" s="352"/>
      <c r="CSP20" s="352"/>
      <c r="CSQ20" s="352"/>
      <c r="CSR20" s="352"/>
      <c r="CSS20" s="352"/>
      <c r="CST20" s="352"/>
      <c r="CSU20" s="352"/>
      <c r="CSV20" s="352"/>
      <c r="CSW20" s="352"/>
      <c r="CSX20" s="352"/>
      <c r="CSY20" s="352"/>
      <c r="CSZ20" s="352"/>
      <c r="CTA20" s="352"/>
      <c r="CTB20" s="352"/>
      <c r="CTC20" s="352"/>
      <c r="CTD20" s="352"/>
      <c r="CTE20" s="352"/>
      <c r="CTF20" s="352"/>
      <c r="CTG20" s="352"/>
      <c r="CTH20" s="352"/>
      <c r="CTI20" s="352"/>
      <c r="CTJ20" s="352"/>
      <c r="CTK20" s="352"/>
      <c r="CTL20" s="352"/>
      <c r="CTM20" s="352"/>
      <c r="CTN20" s="352"/>
      <c r="CTO20" s="352"/>
      <c r="CTP20" s="352"/>
      <c r="CTQ20" s="352"/>
      <c r="CTR20" s="352"/>
      <c r="CTS20" s="352"/>
      <c r="CTT20" s="352"/>
      <c r="CTU20" s="352"/>
      <c r="CTV20" s="352"/>
      <c r="CTW20" s="352"/>
      <c r="CTX20" s="352"/>
      <c r="CTY20" s="352"/>
      <c r="CTZ20" s="352"/>
      <c r="CUA20" s="352"/>
      <c r="CUB20" s="352"/>
      <c r="CUC20" s="352"/>
      <c r="CUD20" s="352"/>
      <c r="CUE20" s="352"/>
      <c r="CUF20" s="352"/>
      <c r="CUG20" s="352"/>
      <c r="CUH20" s="352"/>
      <c r="CUI20" s="352"/>
      <c r="CUJ20" s="352"/>
      <c r="CUK20" s="352"/>
      <c r="CUL20" s="352"/>
      <c r="CUM20" s="352"/>
      <c r="CUN20" s="352"/>
      <c r="CUO20" s="352"/>
      <c r="CUP20" s="352"/>
      <c r="CUQ20" s="352"/>
      <c r="CUR20" s="352"/>
      <c r="CUS20" s="352"/>
      <c r="CUT20" s="352"/>
      <c r="CUU20" s="352"/>
      <c r="CUV20" s="352"/>
      <c r="CUW20" s="352"/>
      <c r="CUX20" s="352"/>
      <c r="CUY20" s="352"/>
      <c r="CUZ20" s="352"/>
      <c r="CVA20" s="352"/>
      <c r="CVB20" s="352"/>
      <c r="CVC20" s="352"/>
      <c r="CVD20" s="352"/>
      <c r="CVE20" s="352"/>
      <c r="CVF20" s="352"/>
      <c r="CVG20" s="352"/>
      <c r="CVH20" s="352"/>
      <c r="CVI20" s="352"/>
      <c r="CVJ20" s="352"/>
      <c r="CVK20" s="352"/>
      <c r="CVL20" s="352"/>
      <c r="CVM20" s="352"/>
      <c r="CVN20" s="352"/>
      <c r="CVO20" s="352"/>
      <c r="CVP20" s="352"/>
      <c r="CVQ20" s="352"/>
      <c r="CVR20" s="352"/>
      <c r="CVS20" s="352"/>
      <c r="CVT20" s="352"/>
      <c r="CVU20" s="352"/>
      <c r="CVV20" s="352"/>
      <c r="CVW20" s="352"/>
      <c r="CVX20" s="352"/>
      <c r="CVY20" s="352"/>
      <c r="CVZ20" s="352"/>
      <c r="CWA20" s="352"/>
      <c r="CWB20" s="352"/>
      <c r="CWC20" s="352"/>
      <c r="CWD20" s="352"/>
      <c r="CWE20" s="352"/>
      <c r="CWF20" s="352"/>
      <c r="CWG20" s="352"/>
      <c r="CWH20" s="352"/>
      <c r="CWI20" s="352"/>
      <c r="CWJ20" s="352"/>
      <c r="CWK20" s="352"/>
      <c r="CWL20" s="352"/>
      <c r="CWM20" s="352"/>
      <c r="CWN20" s="352"/>
      <c r="CWO20" s="352"/>
      <c r="CWP20" s="352"/>
      <c r="CWQ20" s="352"/>
      <c r="CWR20" s="352"/>
      <c r="CWS20" s="352"/>
      <c r="CWT20" s="352"/>
      <c r="CWU20" s="352"/>
      <c r="CWV20" s="352"/>
      <c r="CWW20" s="352"/>
      <c r="CWX20" s="352"/>
      <c r="CWY20" s="352"/>
      <c r="CWZ20" s="352"/>
      <c r="CXA20" s="352"/>
      <c r="CXB20" s="352"/>
      <c r="CXC20" s="352"/>
      <c r="CXD20" s="352"/>
      <c r="CXE20" s="352"/>
      <c r="CXF20" s="352"/>
      <c r="CXG20" s="352"/>
      <c r="CXH20" s="352"/>
      <c r="CXI20" s="352"/>
      <c r="CXJ20" s="352"/>
      <c r="CXK20" s="352"/>
      <c r="CXL20" s="352"/>
      <c r="CXM20" s="352"/>
      <c r="CXN20" s="352"/>
      <c r="CXO20" s="352"/>
      <c r="CXP20" s="352"/>
      <c r="CXQ20" s="352"/>
      <c r="CXR20" s="352"/>
      <c r="CXS20" s="352"/>
      <c r="CXT20" s="352"/>
      <c r="CXU20" s="352"/>
      <c r="CXV20" s="352"/>
      <c r="CXW20" s="352"/>
      <c r="CXX20" s="352"/>
      <c r="CXY20" s="352"/>
      <c r="CXZ20" s="352"/>
      <c r="CYA20" s="352"/>
      <c r="CYB20" s="352"/>
      <c r="CYC20" s="352"/>
      <c r="CYD20" s="352"/>
      <c r="CYE20" s="352"/>
      <c r="CYF20" s="352"/>
      <c r="CYG20" s="352"/>
      <c r="CYH20" s="352"/>
      <c r="CYI20" s="352"/>
      <c r="CYJ20" s="352"/>
      <c r="CYK20" s="352"/>
      <c r="CYL20" s="352"/>
      <c r="CYM20" s="352"/>
      <c r="CYN20" s="352"/>
      <c r="CYO20" s="352"/>
      <c r="CYP20" s="352"/>
      <c r="CYQ20" s="352"/>
      <c r="CYR20" s="352"/>
      <c r="CYS20" s="352"/>
      <c r="CYT20" s="352"/>
      <c r="CYU20" s="352"/>
      <c r="CYV20" s="352"/>
      <c r="CYW20" s="352"/>
      <c r="CYX20" s="352"/>
      <c r="CYY20" s="352"/>
      <c r="CYZ20" s="352"/>
      <c r="CZA20" s="352"/>
      <c r="CZB20" s="352"/>
      <c r="CZC20" s="352"/>
      <c r="CZD20" s="352"/>
      <c r="CZE20" s="352"/>
      <c r="CZF20" s="352"/>
      <c r="CZG20" s="352"/>
      <c r="CZH20" s="352"/>
      <c r="CZI20" s="352"/>
      <c r="CZJ20" s="352"/>
      <c r="CZK20" s="352"/>
      <c r="CZL20" s="352"/>
      <c r="CZM20" s="352"/>
      <c r="CZN20" s="352"/>
      <c r="CZO20" s="352"/>
      <c r="CZP20" s="352"/>
      <c r="CZQ20" s="352"/>
      <c r="CZR20" s="352"/>
      <c r="CZS20" s="352"/>
      <c r="CZT20" s="352"/>
      <c r="CZU20" s="352"/>
      <c r="CZV20" s="352"/>
      <c r="CZW20" s="352"/>
      <c r="CZX20" s="352"/>
      <c r="CZY20" s="352"/>
      <c r="CZZ20" s="352"/>
      <c r="DAA20" s="352"/>
      <c r="DAB20" s="352"/>
      <c r="DAC20" s="352"/>
      <c r="DAD20" s="352"/>
      <c r="DAE20" s="352"/>
      <c r="DAF20" s="352"/>
      <c r="DAG20" s="352"/>
      <c r="DAH20" s="352"/>
      <c r="DAI20" s="352"/>
      <c r="DAJ20" s="352"/>
      <c r="DAK20" s="352"/>
      <c r="DAL20" s="352"/>
      <c r="DAM20" s="352"/>
      <c r="DAN20" s="352"/>
      <c r="DAO20" s="352"/>
      <c r="DAP20" s="352"/>
      <c r="DAQ20" s="352"/>
      <c r="DAR20" s="352"/>
      <c r="DAS20" s="352"/>
      <c r="DAT20" s="352"/>
      <c r="DAU20" s="352"/>
      <c r="DAV20" s="352"/>
      <c r="DAW20" s="352"/>
      <c r="DAX20" s="352"/>
      <c r="DAY20" s="352"/>
      <c r="DAZ20" s="352"/>
      <c r="DBA20" s="352"/>
      <c r="DBB20" s="352"/>
      <c r="DBC20" s="352"/>
      <c r="DBD20" s="352"/>
      <c r="DBE20" s="352"/>
      <c r="DBF20" s="352"/>
      <c r="DBG20" s="352"/>
      <c r="DBH20" s="352"/>
      <c r="DBI20" s="352"/>
      <c r="DBJ20" s="352"/>
      <c r="DBK20" s="352"/>
      <c r="DBL20" s="352"/>
      <c r="DBM20" s="352"/>
      <c r="DBN20" s="352"/>
      <c r="DBO20" s="352"/>
      <c r="DBP20" s="352"/>
      <c r="DBQ20" s="352"/>
      <c r="DBR20" s="352"/>
      <c r="DBS20" s="352"/>
      <c r="DBT20" s="352"/>
      <c r="DBU20" s="352"/>
      <c r="DBV20" s="352"/>
      <c r="DBW20" s="352"/>
      <c r="DBX20" s="352"/>
      <c r="DBY20" s="352"/>
      <c r="DBZ20" s="352"/>
      <c r="DCA20" s="352"/>
      <c r="DCB20" s="352"/>
      <c r="DCC20" s="352"/>
      <c r="DCD20" s="352"/>
      <c r="DCE20" s="352"/>
      <c r="DCF20" s="352"/>
      <c r="DCG20" s="352"/>
      <c r="DCH20" s="352"/>
      <c r="DCI20" s="352"/>
      <c r="DCJ20" s="352"/>
      <c r="DCK20" s="352"/>
      <c r="DCL20" s="352"/>
      <c r="DCM20" s="352"/>
      <c r="DCN20" s="352"/>
      <c r="DCO20" s="352"/>
      <c r="DCP20" s="352"/>
      <c r="DCQ20" s="352"/>
      <c r="DCR20" s="352"/>
      <c r="DCS20" s="352"/>
      <c r="DCT20" s="352"/>
      <c r="DCU20" s="352"/>
      <c r="DCV20" s="352"/>
      <c r="DCW20" s="352"/>
      <c r="DCX20" s="352"/>
      <c r="DCY20" s="352"/>
      <c r="DCZ20" s="352"/>
      <c r="DDA20" s="352"/>
      <c r="DDB20" s="352"/>
      <c r="DDC20" s="352"/>
      <c r="DDD20" s="352"/>
      <c r="DDE20" s="352"/>
      <c r="DDF20" s="352"/>
      <c r="DDG20" s="352"/>
      <c r="DDH20" s="352"/>
      <c r="DDI20" s="352"/>
      <c r="DDJ20" s="352"/>
      <c r="DDK20" s="352"/>
      <c r="DDL20" s="352"/>
      <c r="DDM20" s="352"/>
      <c r="DDN20" s="352"/>
      <c r="DDO20" s="352"/>
      <c r="DDP20" s="352"/>
      <c r="DDQ20" s="352"/>
      <c r="DDR20" s="352"/>
      <c r="DDS20" s="352"/>
      <c r="DDT20" s="352"/>
      <c r="DDU20" s="352"/>
      <c r="DDV20" s="352"/>
      <c r="DDW20" s="352"/>
      <c r="DDX20" s="352"/>
      <c r="DDY20" s="352"/>
      <c r="DDZ20" s="352"/>
      <c r="DEA20" s="352"/>
      <c r="DEB20" s="352"/>
      <c r="DEC20" s="352"/>
      <c r="DED20" s="352"/>
      <c r="DEE20" s="352"/>
      <c r="DEF20" s="352"/>
      <c r="DEG20" s="352"/>
      <c r="DEH20" s="352"/>
      <c r="DEI20" s="352"/>
      <c r="DEJ20" s="352"/>
      <c r="DEK20" s="352"/>
      <c r="DEL20" s="352"/>
      <c r="DEM20" s="352"/>
      <c r="DEN20" s="352"/>
      <c r="DEO20" s="352"/>
      <c r="DEP20" s="352"/>
      <c r="DEQ20" s="352"/>
      <c r="DER20" s="352"/>
      <c r="DES20" s="352"/>
      <c r="DET20" s="352"/>
      <c r="DEU20" s="352"/>
      <c r="DEV20" s="352"/>
      <c r="DEW20" s="352"/>
      <c r="DEX20" s="352"/>
      <c r="DEY20" s="352"/>
      <c r="DEZ20" s="352"/>
      <c r="DFA20" s="352"/>
      <c r="DFB20" s="352"/>
      <c r="DFC20" s="352"/>
      <c r="DFD20" s="352"/>
      <c r="DFE20" s="352"/>
      <c r="DFF20" s="352"/>
      <c r="DFG20" s="352"/>
      <c r="DFH20" s="352"/>
      <c r="DFI20" s="352"/>
      <c r="DFJ20" s="352"/>
      <c r="DFK20" s="352"/>
      <c r="DFL20" s="352"/>
      <c r="DFM20" s="352"/>
      <c r="DFN20" s="352"/>
      <c r="DFO20" s="352"/>
      <c r="DFP20" s="352"/>
      <c r="DFQ20" s="352"/>
      <c r="DFR20" s="352"/>
      <c r="DFS20" s="352"/>
      <c r="DFT20" s="352"/>
      <c r="DFU20" s="352"/>
      <c r="DFV20" s="352"/>
      <c r="DFW20" s="352"/>
      <c r="DFX20" s="352"/>
      <c r="DFY20" s="352"/>
      <c r="DFZ20" s="352"/>
      <c r="DGA20" s="352"/>
      <c r="DGB20" s="352"/>
      <c r="DGC20" s="352"/>
      <c r="DGD20" s="352"/>
      <c r="DGE20" s="352"/>
      <c r="DGF20" s="352"/>
      <c r="DGG20" s="352"/>
      <c r="DGH20" s="352"/>
      <c r="DGI20" s="352"/>
      <c r="DGJ20" s="352"/>
      <c r="DGK20" s="352"/>
      <c r="DGL20" s="352"/>
      <c r="DGM20" s="352"/>
      <c r="DGN20" s="352"/>
      <c r="DGO20" s="352"/>
      <c r="DGP20" s="352"/>
      <c r="DGQ20" s="352"/>
      <c r="DGR20" s="352"/>
      <c r="DGS20" s="352"/>
      <c r="DGT20" s="352"/>
      <c r="DGU20" s="352"/>
      <c r="DGV20" s="352"/>
      <c r="DGW20" s="352"/>
      <c r="DGX20" s="352"/>
      <c r="DGY20" s="352"/>
      <c r="DGZ20" s="352"/>
      <c r="DHA20" s="352"/>
      <c r="DHB20" s="352"/>
      <c r="DHC20" s="352"/>
      <c r="DHD20" s="352"/>
      <c r="DHE20" s="352"/>
      <c r="DHF20" s="352"/>
      <c r="DHG20" s="352"/>
      <c r="DHH20" s="352"/>
      <c r="DHI20" s="352"/>
      <c r="DHJ20" s="352"/>
      <c r="DHK20" s="352"/>
      <c r="DHL20" s="352"/>
      <c r="DHM20" s="352"/>
      <c r="DHN20" s="352"/>
      <c r="DHO20" s="352"/>
      <c r="DHP20" s="352"/>
      <c r="DHQ20" s="352"/>
      <c r="DHR20" s="352"/>
      <c r="DHS20" s="352"/>
      <c r="DHT20" s="352"/>
      <c r="DHU20" s="352"/>
      <c r="DHV20" s="352"/>
      <c r="DHW20" s="352"/>
      <c r="DHX20" s="352"/>
      <c r="DHY20" s="352"/>
      <c r="DHZ20" s="352"/>
      <c r="DIA20" s="352"/>
      <c r="DIB20" s="352"/>
      <c r="DIC20" s="352"/>
      <c r="DID20" s="352"/>
      <c r="DIE20" s="352"/>
      <c r="DIF20" s="352"/>
      <c r="DIG20" s="352"/>
      <c r="DIH20" s="352"/>
      <c r="DII20" s="352"/>
      <c r="DIJ20" s="352"/>
      <c r="DIK20" s="352"/>
      <c r="DIL20" s="352"/>
      <c r="DIM20" s="352"/>
      <c r="DIN20" s="352"/>
      <c r="DIO20" s="352"/>
      <c r="DIP20" s="352"/>
      <c r="DIQ20" s="352"/>
      <c r="DIR20" s="352"/>
      <c r="DIS20" s="352"/>
      <c r="DIT20" s="352"/>
      <c r="DIU20" s="352"/>
      <c r="DIV20" s="352"/>
      <c r="DIW20" s="352"/>
      <c r="DIX20" s="352"/>
      <c r="DIY20" s="352"/>
      <c r="DIZ20" s="352"/>
      <c r="DJA20" s="352"/>
      <c r="DJB20" s="352"/>
      <c r="DJC20" s="352"/>
      <c r="DJD20" s="352"/>
      <c r="DJE20" s="352"/>
      <c r="DJF20" s="352"/>
      <c r="DJG20" s="352"/>
      <c r="DJH20" s="352"/>
      <c r="DJI20" s="352"/>
      <c r="DJJ20" s="352"/>
      <c r="DJK20" s="352"/>
      <c r="DJL20" s="352"/>
      <c r="DJM20" s="352"/>
      <c r="DJN20" s="352"/>
      <c r="DJO20" s="352"/>
      <c r="DJP20" s="352"/>
      <c r="DJQ20" s="352"/>
      <c r="DJR20" s="352"/>
      <c r="DJS20" s="352"/>
      <c r="DJT20" s="352"/>
      <c r="DJU20" s="352"/>
      <c r="DJV20" s="352"/>
      <c r="DJW20" s="352"/>
      <c r="DJX20" s="352"/>
      <c r="DJY20" s="352"/>
      <c r="DJZ20" s="352"/>
      <c r="DKA20" s="352"/>
      <c r="DKB20" s="352"/>
      <c r="DKC20" s="352"/>
      <c r="DKD20" s="352"/>
      <c r="DKE20" s="352"/>
      <c r="DKF20" s="352"/>
      <c r="DKG20" s="352"/>
      <c r="DKH20" s="352"/>
      <c r="DKI20" s="352"/>
      <c r="DKJ20" s="352"/>
      <c r="DKK20" s="352"/>
      <c r="DKL20" s="352"/>
      <c r="DKM20" s="352"/>
      <c r="DKN20" s="352"/>
      <c r="DKO20" s="352"/>
      <c r="DKP20" s="352"/>
      <c r="DKQ20" s="352"/>
      <c r="DKR20" s="352"/>
      <c r="DKS20" s="352"/>
      <c r="DKT20" s="352"/>
      <c r="DKU20" s="352"/>
      <c r="DKV20" s="352"/>
      <c r="DKW20" s="352"/>
      <c r="DKX20" s="352"/>
      <c r="DKY20" s="352"/>
      <c r="DKZ20" s="352"/>
      <c r="DLA20" s="352"/>
      <c r="DLB20" s="352"/>
      <c r="DLC20" s="352"/>
      <c r="DLD20" s="352"/>
      <c r="DLE20" s="352"/>
      <c r="DLF20" s="352"/>
      <c r="DLG20" s="352"/>
      <c r="DLH20" s="352"/>
      <c r="DLI20" s="352"/>
      <c r="DLJ20" s="352"/>
      <c r="DLK20" s="352"/>
      <c r="DLL20" s="352"/>
      <c r="DLM20" s="352"/>
      <c r="DLN20" s="352"/>
      <c r="DLO20" s="352"/>
      <c r="DLP20" s="352"/>
      <c r="DLQ20" s="352"/>
      <c r="DLR20" s="352"/>
      <c r="DLS20" s="352"/>
      <c r="DLT20" s="352"/>
      <c r="DLU20" s="352"/>
      <c r="DLV20" s="352"/>
      <c r="DLW20" s="352"/>
      <c r="DLX20" s="352"/>
      <c r="DLY20" s="352"/>
      <c r="DLZ20" s="352"/>
      <c r="DMA20" s="352"/>
      <c r="DMB20" s="352"/>
      <c r="DMC20" s="352"/>
      <c r="DMD20" s="352"/>
      <c r="DME20" s="352"/>
      <c r="DMF20" s="352"/>
      <c r="DMG20" s="352"/>
      <c r="DMH20" s="352"/>
      <c r="DMI20" s="352"/>
      <c r="DMJ20" s="352"/>
      <c r="DMK20" s="352"/>
      <c r="DML20" s="352"/>
      <c r="DMM20" s="352"/>
      <c r="DMN20" s="352"/>
      <c r="DMO20" s="352"/>
      <c r="DMP20" s="352"/>
      <c r="DMQ20" s="352"/>
      <c r="DMR20" s="352"/>
      <c r="DMS20" s="352"/>
      <c r="DMT20" s="352"/>
      <c r="DMU20" s="352"/>
      <c r="DMV20" s="352"/>
      <c r="DMW20" s="352"/>
      <c r="DMX20" s="352"/>
      <c r="DMY20" s="352"/>
      <c r="DMZ20" s="352"/>
      <c r="DNA20" s="352"/>
      <c r="DNB20" s="352"/>
      <c r="DNC20" s="352"/>
      <c r="DND20" s="352"/>
      <c r="DNE20" s="352"/>
      <c r="DNF20" s="352"/>
      <c r="DNG20" s="352"/>
      <c r="DNH20" s="352"/>
      <c r="DNI20" s="352"/>
      <c r="DNJ20" s="352"/>
      <c r="DNK20" s="352"/>
      <c r="DNL20" s="352"/>
      <c r="DNM20" s="352"/>
      <c r="DNN20" s="352"/>
      <c r="DNO20" s="352"/>
      <c r="DNP20" s="352"/>
      <c r="DNQ20" s="352"/>
      <c r="DNR20" s="352"/>
      <c r="DNS20" s="352"/>
      <c r="DNT20" s="352"/>
      <c r="DNU20" s="352"/>
      <c r="DNV20" s="352"/>
      <c r="DNW20" s="352"/>
      <c r="DNX20" s="352"/>
      <c r="DNY20" s="352"/>
      <c r="DNZ20" s="352"/>
      <c r="DOA20" s="352"/>
      <c r="DOB20" s="352"/>
      <c r="DOC20" s="352"/>
      <c r="DOD20" s="352"/>
      <c r="DOE20" s="352"/>
      <c r="DOF20" s="352"/>
      <c r="DOG20" s="352"/>
      <c r="DOH20" s="352"/>
      <c r="DOI20" s="352"/>
      <c r="DOJ20" s="352"/>
      <c r="DOK20" s="352"/>
      <c r="DOL20" s="352"/>
      <c r="DOM20" s="352"/>
      <c r="DON20" s="352"/>
      <c r="DOO20" s="352"/>
      <c r="DOP20" s="352"/>
      <c r="DOQ20" s="352"/>
      <c r="DOR20" s="352"/>
      <c r="DOS20" s="352"/>
      <c r="DOT20" s="352"/>
      <c r="DOU20" s="352"/>
      <c r="DOV20" s="352"/>
      <c r="DOW20" s="352"/>
      <c r="DOX20" s="352"/>
      <c r="DOY20" s="352"/>
      <c r="DOZ20" s="352"/>
      <c r="DPA20" s="352"/>
      <c r="DPB20" s="352"/>
      <c r="DPC20" s="352"/>
      <c r="DPD20" s="352"/>
      <c r="DPE20" s="352"/>
      <c r="DPF20" s="352"/>
      <c r="DPG20" s="352"/>
      <c r="DPH20" s="352"/>
      <c r="DPI20" s="352"/>
      <c r="DPJ20" s="352"/>
      <c r="DPK20" s="352"/>
      <c r="DPL20" s="352"/>
      <c r="DPM20" s="352"/>
      <c r="DPN20" s="352"/>
      <c r="DPO20" s="352"/>
      <c r="DPP20" s="352"/>
      <c r="DPQ20" s="352"/>
      <c r="DPR20" s="352"/>
      <c r="DPS20" s="352"/>
      <c r="DPT20" s="352"/>
      <c r="DPU20" s="352"/>
      <c r="DPV20" s="352"/>
      <c r="DPW20" s="352"/>
      <c r="DPX20" s="352"/>
      <c r="DPY20" s="352"/>
      <c r="DPZ20" s="352"/>
      <c r="DQA20" s="352"/>
      <c r="DQB20" s="352"/>
      <c r="DQC20" s="352"/>
      <c r="DQD20" s="352"/>
      <c r="DQE20" s="352"/>
      <c r="DQF20" s="352"/>
      <c r="DQG20" s="352"/>
      <c r="DQH20" s="352"/>
      <c r="DQI20" s="352"/>
      <c r="DQJ20" s="352"/>
      <c r="DQK20" s="352"/>
      <c r="DQL20" s="352"/>
      <c r="DQM20" s="352"/>
      <c r="DQN20" s="352"/>
      <c r="DQO20" s="352"/>
      <c r="DQP20" s="352"/>
      <c r="DQQ20" s="352"/>
      <c r="DQR20" s="352"/>
      <c r="DQS20" s="352"/>
      <c r="DQT20" s="352"/>
      <c r="DQU20" s="352"/>
      <c r="DQV20" s="352"/>
      <c r="DQW20" s="352"/>
      <c r="DQX20" s="352"/>
      <c r="DQY20" s="352"/>
      <c r="DQZ20" s="352"/>
      <c r="DRA20" s="352"/>
      <c r="DRB20" s="352"/>
      <c r="DRC20" s="352"/>
      <c r="DRD20" s="352"/>
      <c r="DRE20" s="352"/>
      <c r="DRF20" s="352"/>
      <c r="DRG20" s="352"/>
      <c r="DRH20" s="352"/>
      <c r="DRI20" s="352"/>
      <c r="DRJ20" s="352"/>
      <c r="DRK20" s="352"/>
      <c r="DRL20" s="352"/>
      <c r="DRM20" s="352"/>
      <c r="DRN20" s="352"/>
      <c r="DRO20" s="352"/>
      <c r="DRP20" s="352"/>
      <c r="DRQ20" s="352"/>
      <c r="DRR20" s="352"/>
      <c r="DRS20" s="352"/>
      <c r="DRT20" s="352"/>
      <c r="DRU20" s="352"/>
      <c r="DRV20" s="352"/>
      <c r="DRW20" s="352"/>
      <c r="DRX20" s="352"/>
      <c r="DRY20" s="352"/>
      <c r="DRZ20" s="352"/>
      <c r="DSA20" s="352"/>
      <c r="DSB20" s="352"/>
      <c r="DSC20" s="352"/>
      <c r="DSD20" s="352"/>
      <c r="DSE20" s="352"/>
      <c r="DSF20" s="352"/>
      <c r="DSG20" s="352"/>
      <c r="DSH20" s="352"/>
      <c r="DSI20" s="352"/>
      <c r="DSJ20" s="352"/>
      <c r="DSK20" s="352"/>
      <c r="DSL20" s="352"/>
      <c r="DSM20" s="352"/>
      <c r="DSN20" s="352"/>
      <c r="DSO20" s="352"/>
      <c r="DSP20" s="352"/>
      <c r="DSQ20" s="352"/>
      <c r="DSR20" s="352"/>
      <c r="DSS20" s="352"/>
      <c r="DST20" s="352"/>
      <c r="DSU20" s="352"/>
      <c r="DSV20" s="352"/>
      <c r="DSW20" s="352"/>
      <c r="DSX20" s="352"/>
      <c r="DSY20" s="352"/>
      <c r="DSZ20" s="352"/>
      <c r="DTA20" s="352"/>
      <c r="DTB20" s="352"/>
      <c r="DTC20" s="352"/>
      <c r="DTD20" s="352"/>
      <c r="DTE20" s="352"/>
      <c r="DTF20" s="352"/>
      <c r="DTG20" s="352"/>
      <c r="DTH20" s="352"/>
      <c r="DTI20" s="352"/>
      <c r="DTJ20" s="352"/>
      <c r="DTK20" s="352"/>
      <c r="DTL20" s="352"/>
      <c r="DTM20" s="352"/>
      <c r="DTN20" s="352"/>
      <c r="DTO20" s="352"/>
      <c r="DTP20" s="352"/>
      <c r="DTQ20" s="352"/>
      <c r="DTR20" s="352"/>
      <c r="DTS20" s="352"/>
      <c r="DTT20" s="352"/>
      <c r="DTU20" s="352"/>
      <c r="DTV20" s="352"/>
      <c r="DTW20" s="352"/>
      <c r="DTX20" s="352"/>
      <c r="DTY20" s="352"/>
      <c r="DTZ20" s="352"/>
      <c r="DUA20" s="352"/>
      <c r="DUB20" s="352"/>
      <c r="DUC20" s="352"/>
      <c r="DUD20" s="352"/>
      <c r="DUE20" s="352"/>
      <c r="DUF20" s="352"/>
      <c r="DUG20" s="352"/>
      <c r="DUH20" s="352"/>
      <c r="DUI20" s="352"/>
      <c r="DUJ20" s="352"/>
      <c r="DUK20" s="352"/>
      <c r="DUL20" s="352"/>
      <c r="DUM20" s="352"/>
      <c r="DUN20" s="352"/>
      <c r="DUO20" s="352"/>
      <c r="DUP20" s="352"/>
      <c r="DUQ20" s="352"/>
      <c r="DUR20" s="352"/>
      <c r="DUS20" s="352"/>
      <c r="DUT20" s="352"/>
      <c r="DUU20" s="352"/>
      <c r="DUV20" s="352"/>
      <c r="DUW20" s="352"/>
      <c r="DUX20" s="352"/>
      <c r="DUY20" s="352"/>
      <c r="DUZ20" s="352"/>
      <c r="DVA20" s="352"/>
      <c r="DVB20" s="352"/>
      <c r="DVC20" s="352"/>
      <c r="DVD20" s="352"/>
      <c r="DVE20" s="352"/>
      <c r="DVF20" s="352"/>
      <c r="DVG20" s="352"/>
      <c r="DVH20" s="352"/>
      <c r="DVI20" s="352"/>
      <c r="DVJ20" s="352"/>
      <c r="DVK20" s="352"/>
      <c r="DVL20" s="352"/>
      <c r="DVM20" s="352"/>
      <c r="DVN20" s="352"/>
      <c r="DVO20" s="352"/>
      <c r="DVP20" s="352"/>
      <c r="DVQ20" s="352"/>
      <c r="DVR20" s="352"/>
      <c r="DVS20" s="352"/>
      <c r="DVT20" s="352"/>
      <c r="DVU20" s="352"/>
      <c r="DVV20" s="352"/>
      <c r="DVW20" s="352"/>
      <c r="DVX20" s="352"/>
      <c r="DVY20" s="352"/>
      <c r="DVZ20" s="352"/>
      <c r="DWA20" s="352"/>
      <c r="DWB20" s="352"/>
      <c r="DWC20" s="352"/>
      <c r="DWD20" s="352"/>
      <c r="DWE20" s="352"/>
      <c r="DWF20" s="352"/>
      <c r="DWG20" s="352"/>
      <c r="DWH20" s="352"/>
      <c r="DWI20" s="352"/>
      <c r="DWJ20" s="352"/>
      <c r="DWK20" s="352"/>
      <c r="DWL20" s="352"/>
      <c r="DWM20" s="352"/>
      <c r="DWN20" s="352"/>
      <c r="DWO20" s="352"/>
      <c r="DWP20" s="352"/>
      <c r="DWQ20" s="352"/>
      <c r="DWR20" s="352"/>
      <c r="DWS20" s="352"/>
      <c r="DWT20" s="352"/>
      <c r="DWU20" s="352"/>
      <c r="DWV20" s="352"/>
      <c r="DWW20" s="352"/>
      <c r="DWX20" s="352"/>
      <c r="DWY20" s="352"/>
      <c r="DWZ20" s="352"/>
      <c r="DXA20" s="352"/>
      <c r="DXB20" s="352"/>
      <c r="DXC20" s="352"/>
      <c r="DXD20" s="352"/>
      <c r="DXE20" s="352"/>
      <c r="DXF20" s="352"/>
      <c r="DXG20" s="352"/>
      <c r="DXH20" s="352"/>
      <c r="DXI20" s="352"/>
      <c r="DXJ20" s="352"/>
      <c r="DXK20" s="352"/>
      <c r="DXL20" s="352"/>
      <c r="DXM20" s="352"/>
      <c r="DXN20" s="352"/>
      <c r="DXO20" s="352"/>
      <c r="DXP20" s="352"/>
      <c r="DXQ20" s="352"/>
      <c r="DXR20" s="352"/>
      <c r="DXS20" s="352"/>
      <c r="DXT20" s="352"/>
      <c r="DXU20" s="352"/>
      <c r="DXV20" s="352"/>
      <c r="DXW20" s="352"/>
      <c r="DXX20" s="352"/>
      <c r="DXY20" s="352"/>
      <c r="DXZ20" s="352"/>
      <c r="DYA20" s="352"/>
      <c r="DYB20" s="352"/>
      <c r="DYC20" s="352"/>
      <c r="DYD20" s="352"/>
      <c r="DYE20" s="352"/>
      <c r="DYF20" s="352"/>
      <c r="DYG20" s="352"/>
      <c r="DYH20" s="352"/>
      <c r="DYI20" s="352"/>
      <c r="DYJ20" s="352"/>
      <c r="DYK20" s="352"/>
      <c r="DYL20" s="352"/>
      <c r="DYM20" s="352"/>
      <c r="DYN20" s="352"/>
      <c r="DYO20" s="352"/>
      <c r="DYP20" s="352"/>
      <c r="DYQ20" s="352"/>
      <c r="DYR20" s="352"/>
      <c r="DYS20" s="352"/>
      <c r="DYT20" s="352"/>
      <c r="DYU20" s="352"/>
      <c r="DYV20" s="352"/>
      <c r="DYW20" s="352"/>
      <c r="DYX20" s="352"/>
      <c r="DYY20" s="352"/>
      <c r="DYZ20" s="352"/>
      <c r="DZA20" s="352"/>
      <c r="DZB20" s="352"/>
      <c r="DZC20" s="352"/>
      <c r="DZD20" s="352"/>
      <c r="DZE20" s="352"/>
      <c r="DZF20" s="352"/>
      <c r="DZG20" s="352"/>
      <c r="DZH20" s="352"/>
      <c r="DZI20" s="352"/>
      <c r="DZJ20" s="352"/>
      <c r="DZK20" s="352"/>
      <c r="DZL20" s="352"/>
      <c r="DZM20" s="352"/>
      <c r="DZN20" s="352"/>
      <c r="DZO20" s="352"/>
      <c r="DZP20" s="352"/>
      <c r="DZQ20" s="352"/>
      <c r="DZR20" s="352"/>
      <c r="DZS20" s="352"/>
      <c r="DZT20" s="352"/>
      <c r="DZU20" s="352"/>
      <c r="DZV20" s="352"/>
      <c r="DZW20" s="352"/>
      <c r="DZX20" s="352"/>
      <c r="DZY20" s="352"/>
      <c r="DZZ20" s="352"/>
      <c r="EAA20" s="352"/>
      <c r="EAB20" s="352"/>
      <c r="EAC20" s="352"/>
      <c r="EAD20" s="352"/>
      <c r="EAE20" s="352"/>
      <c r="EAF20" s="352"/>
      <c r="EAG20" s="352"/>
      <c r="EAH20" s="352"/>
      <c r="EAI20" s="352"/>
      <c r="EAJ20" s="352"/>
      <c r="EAK20" s="352"/>
      <c r="EAL20" s="352"/>
      <c r="EAM20" s="352"/>
      <c r="EAN20" s="352"/>
      <c r="EAO20" s="352"/>
      <c r="EAP20" s="352"/>
      <c r="EAQ20" s="352"/>
      <c r="EAR20" s="352"/>
      <c r="EAS20" s="352"/>
      <c r="EAT20" s="352"/>
      <c r="EAU20" s="352"/>
      <c r="EAV20" s="352"/>
      <c r="EAW20" s="352"/>
      <c r="EAX20" s="352"/>
      <c r="EAY20" s="352"/>
      <c r="EAZ20" s="352"/>
      <c r="EBA20" s="352"/>
      <c r="EBB20" s="352"/>
      <c r="EBC20" s="352"/>
      <c r="EBD20" s="352"/>
      <c r="EBE20" s="352"/>
      <c r="EBF20" s="352"/>
      <c r="EBG20" s="352"/>
      <c r="EBH20" s="352"/>
      <c r="EBI20" s="352"/>
      <c r="EBJ20" s="352"/>
      <c r="EBK20" s="352"/>
      <c r="EBL20" s="352"/>
      <c r="EBM20" s="352"/>
      <c r="EBN20" s="352"/>
      <c r="EBO20" s="352"/>
      <c r="EBP20" s="352"/>
      <c r="EBQ20" s="352"/>
      <c r="EBR20" s="352"/>
      <c r="EBS20" s="352"/>
      <c r="EBT20" s="352"/>
      <c r="EBU20" s="352"/>
      <c r="EBV20" s="352"/>
      <c r="EBW20" s="352"/>
      <c r="EBX20" s="352"/>
      <c r="EBY20" s="352"/>
      <c r="EBZ20" s="352"/>
      <c r="ECA20" s="352"/>
      <c r="ECB20" s="352"/>
      <c r="ECC20" s="352"/>
      <c r="ECD20" s="352"/>
      <c r="ECE20" s="352"/>
      <c r="ECF20" s="352"/>
      <c r="ECG20" s="352"/>
      <c r="ECH20" s="352"/>
      <c r="ECI20" s="352"/>
      <c r="ECJ20" s="352"/>
      <c r="ECK20" s="352"/>
      <c r="ECL20" s="352"/>
      <c r="ECM20" s="352"/>
      <c r="ECN20" s="352"/>
      <c r="ECO20" s="352"/>
      <c r="ECP20" s="352"/>
      <c r="ECQ20" s="352"/>
      <c r="ECR20" s="352"/>
      <c r="ECS20" s="352"/>
      <c r="ECT20" s="352"/>
      <c r="ECU20" s="352"/>
      <c r="ECV20" s="352"/>
      <c r="ECW20" s="352"/>
      <c r="ECX20" s="352"/>
      <c r="ECY20" s="352"/>
      <c r="ECZ20" s="352"/>
      <c r="EDA20" s="352"/>
      <c r="EDB20" s="352"/>
      <c r="EDC20" s="352"/>
      <c r="EDD20" s="352"/>
      <c r="EDE20" s="352"/>
      <c r="EDF20" s="352"/>
      <c r="EDG20" s="352"/>
      <c r="EDH20" s="352"/>
      <c r="EDI20" s="352"/>
      <c r="EDJ20" s="352"/>
      <c r="EDK20" s="352"/>
      <c r="EDL20" s="352"/>
      <c r="EDM20" s="352"/>
      <c r="EDN20" s="352"/>
      <c r="EDO20" s="352"/>
      <c r="EDP20" s="352"/>
      <c r="EDQ20" s="352"/>
      <c r="EDR20" s="352"/>
      <c r="EDS20" s="352"/>
      <c r="EDT20" s="352"/>
      <c r="EDU20" s="352"/>
      <c r="EDV20" s="352"/>
      <c r="EDW20" s="352"/>
      <c r="EDX20" s="352"/>
      <c r="EDY20" s="352"/>
      <c r="EDZ20" s="352"/>
      <c r="EEA20" s="352"/>
      <c r="EEB20" s="352"/>
      <c r="EEC20" s="352"/>
      <c r="EED20" s="352"/>
      <c r="EEE20" s="352"/>
      <c r="EEF20" s="352"/>
      <c r="EEG20" s="352"/>
      <c r="EEH20" s="352"/>
      <c r="EEI20" s="352"/>
      <c r="EEJ20" s="352"/>
      <c r="EEK20" s="352"/>
      <c r="EEL20" s="352"/>
      <c r="EEM20" s="352"/>
      <c r="EEN20" s="352"/>
      <c r="EEO20" s="352"/>
      <c r="EEP20" s="352"/>
      <c r="EEQ20" s="352"/>
      <c r="EER20" s="352"/>
      <c r="EES20" s="352"/>
      <c r="EET20" s="352"/>
      <c r="EEU20" s="352"/>
      <c r="EEV20" s="352"/>
      <c r="EEW20" s="352"/>
      <c r="EEX20" s="352"/>
      <c r="EEY20" s="352"/>
      <c r="EEZ20" s="352"/>
      <c r="EFA20" s="352"/>
      <c r="EFB20" s="352"/>
      <c r="EFC20" s="352"/>
      <c r="EFD20" s="352"/>
      <c r="EFE20" s="352"/>
      <c r="EFF20" s="352"/>
      <c r="EFG20" s="352"/>
      <c r="EFH20" s="352"/>
      <c r="EFI20" s="352"/>
      <c r="EFJ20" s="352"/>
      <c r="EFK20" s="352"/>
      <c r="EFL20" s="352"/>
      <c r="EFM20" s="352"/>
      <c r="EFN20" s="352"/>
      <c r="EFO20" s="352"/>
      <c r="EFP20" s="352"/>
      <c r="EFQ20" s="352"/>
      <c r="EFR20" s="352"/>
      <c r="EFS20" s="352"/>
      <c r="EFT20" s="352"/>
      <c r="EFU20" s="352"/>
      <c r="EFV20" s="352"/>
      <c r="EFW20" s="352"/>
      <c r="EFX20" s="352"/>
      <c r="EFY20" s="352"/>
      <c r="EFZ20" s="352"/>
      <c r="EGA20" s="352"/>
      <c r="EGB20" s="352"/>
      <c r="EGC20" s="352"/>
      <c r="EGD20" s="352"/>
      <c r="EGE20" s="352"/>
      <c r="EGF20" s="352"/>
      <c r="EGG20" s="352"/>
      <c r="EGH20" s="352"/>
      <c r="EGI20" s="352"/>
      <c r="EGJ20" s="352"/>
      <c r="EGK20" s="352"/>
      <c r="EGL20" s="352"/>
      <c r="EGM20" s="352"/>
      <c r="EGN20" s="352"/>
      <c r="EGO20" s="352"/>
      <c r="EGP20" s="352"/>
      <c r="EGQ20" s="352"/>
      <c r="EGR20" s="352"/>
      <c r="EGS20" s="352"/>
      <c r="EGT20" s="352"/>
      <c r="EGU20" s="352"/>
      <c r="EGV20" s="352"/>
      <c r="EGW20" s="352"/>
      <c r="EGX20" s="352"/>
      <c r="EGY20" s="352"/>
      <c r="EGZ20" s="352"/>
      <c r="EHA20" s="352"/>
      <c r="EHB20" s="352"/>
      <c r="EHC20" s="352"/>
      <c r="EHD20" s="352"/>
      <c r="EHE20" s="352"/>
      <c r="EHF20" s="352"/>
      <c r="EHG20" s="352"/>
      <c r="EHH20" s="352"/>
      <c r="EHI20" s="352"/>
      <c r="EHJ20" s="352"/>
      <c r="EHK20" s="352"/>
      <c r="EHL20" s="352"/>
      <c r="EHM20" s="352"/>
      <c r="EHN20" s="352"/>
      <c r="EHO20" s="352"/>
      <c r="EHP20" s="352"/>
      <c r="EHQ20" s="352"/>
      <c r="EHR20" s="352"/>
      <c r="EHS20" s="352"/>
      <c r="EHT20" s="352"/>
      <c r="EHU20" s="352"/>
      <c r="EHV20" s="352"/>
      <c r="EHW20" s="352"/>
      <c r="EHX20" s="352"/>
      <c r="EHY20" s="352"/>
      <c r="EHZ20" s="352"/>
      <c r="EIA20" s="352"/>
      <c r="EIB20" s="352"/>
      <c r="EIC20" s="352"/>
      <c r="EID20" s="352"/>
      <c r="EIE20" s="352"/>
      <c r="EIF20" s="352"/>
      <c r="EIG20" s="352"/>
      <c r="EIH20" s="352"/>
      <c r="EII20" s="352"/>
      <c r="EIJ20" s="352"/>
      <c r="EIK20" s="352"/>
      <c r="EIL20" s="352"/>
      <c r="EIM20" s="352"/>
      <c r="EIN20" s="352"/>
      <c r="EIO20" s="352"/>
      <c r="EIP20" s="352"/>
      <c r="EIQ20" s="352"/>
      <c r="EIR20" s="352"/>
      <c r="EIS20" s="352"/>
      <c r="EIT20" s="352"/>
      <c r="EIU20" s="352"/>
      <c r="EIV20" s="352"/>
      <c r="EIW20" s="352"/>
      <c r="EIX20" s="352"/>
      <c r="EIY20" s="352"/>
      <c r="EIZ20" s="352"/>
      <c r="EJA20" s="352"/>
      <c r="EJB20" s="352"/>
      <c r="EJC20" s="352"/>
      <c r="EJD20" s="352"/>
      <c r="EJE20" s="352"/>
      <c r="EJF20" s="352"/>
      <c r="EJG20" s="352"/>
      <c r="EJH20" s="352"/>
      <c r="EJI20" s="352"/>
      <c r="EJJ20" s="352"/>
      <c r="EJK20" s="352"/>
      <c r="EJL20" s="352"/>
      <c r="EJM20" s="352"/>
      <c r="EJN20" s="352"/>
      <c r="EJO20" s="352"/>
      <c r="EJP20" s="352"/>
      <c r="EJQ20" s="352"/>
      <c r="EJR20" s="352"/>
      <c r="EJS20" s="352"/>
      <c r="EJT20" s="352"/>
      <c r="EJU20" s="352"/>
      <c r="EJV20" s="352"/>
      <c r="EJW20" s="352"/>
      <c r="EJX20" s="352"/>
      <c r="EJY20" s="352"/>
      <c r="EJZ20" s="352"/>
      <c r="EKA20" s="352"/>
      <c r="EKB20" s="352"/>
      <c r="EKC20" s="352"/>
      <c r="EKD20" s="352"/>
      <c r="EKE20" s="352"/>
      <c r="EKF20" s="352"/>
      <c r="EKG20" s="352"/>
      <c r="EKH20" s="352"/>
      <c r="EKI20" s="352"/>
      <c r="EKJ20" s="352"/>
      <c r="EKK20" s="352"/>
      <c r="EKL20" s="352"/>
      <c r="EKM20" s="352"/>
      <c r="EKN20" s="352"/>
      <c r="EKO20" s="352"/>
      <c r="EKP20" s="352"/>
      <c r="EKQ20" s="352"/>
      <c r="EKR20" s="352"/>
      <c r="EKS20" s="352"/>
      <c r="EKT20" s="352"/>
      <c r="EKU20" s="352"/>
      <c r="EKV20" s="352"/>
      <c r="EKW20" s="352"/>
      <c r="EKX20" s="352"/>
      <c r="EKY20" s="352"/>
      <c r="EKZ20" s="352"/>
      <c r="ELA20" s="352"/>
      <c r="ELB20" s="352"/>
      <c r="ELC20" s="352"/>
      <c r="ELD20" s="352"/>
      <c r="ELE20" s="352"/>
      <c r="ELF20" s="352"/>
      <c r="ELG20" s="352"/>
      <c r="ELH20" s="352"/>
      <c r="ELI20" s="352"/>
      <c r="ELJ20" s="352"/>
      <c r="ELK20" s="352"/>
      <c r="ELL20" s="352"/>
      <c r="ELM20" s="352"/>
      <c r="ELN20" s="352"/>
      <c r="ELO20" s="352"/>
      <c r="ELP20" s="352"/>
      <c r="ELQ20" s="352"/>
      <c r="ELR20" s="352"/>
      <c r="ELS20" s="352"/>
      <c r="ELT20" s="352"/>
      <c r="ELU20" s="352"/>
      <c r="ELV20" s="352"/>
      <c r="ELW20" s="352"/>
      <c r="ELX20" s="352"/>
      <c r="ELY20" s="352"/>
      <c r="ELZ20" s="352"/>
      <c r="EMA20" s="352"/>
      <c r="EMB20" s="352"/>
      <c r="EMC20" s="352"/>
      <c r="EMD20" s="352"/>
      <c r="EME20" s="352"/>
      <c r="EMF20" s="352"/>
      <c r="EMG20" s="352"/>
      <c r="EMH20" s="352"/>
      <c r="EMI20" s="352"/>
      <c r="EMJ20" s="352"/>
      <c r="EMK20" s="352"/>
      <c r="EML20" s="352"/>
      <c r="EMM20" s="352"/>
      <c r="EMN20" s="352"/>
      <c r="EMO20" s="352"/>
      <c r="EMP20" s="352"/>
      <c r="EMQ20" s="352"/>
      <c r="EMR20" s="352"/>
      <c r="EMS20" s="352"/>
      <c r="EMT20" s="352"/>
      <c r="EMU20" s="352"/>
      <c r="EMV20" s="352"/>
      <c r="EMW20" s="352"/>
      <c r="EMX20" s="352"/>
      <c r="EMY20" s="352"/>
      <c r="EMZ20" s="352"/>
      <c r="ENA20" s="352"/>
      <c r="ENB20" s="352"/>
      <c r="ENC20" s="352"/>
      <c r="END20" s="352"/>
      <c r="ENE20" s="352"/>
      <c r="ENF20" s="352"/>
      <c r="ENG20" s="352"/>
      <c r="ENH20" s="352"/>
      <c r="ENI20" s="352"/>
      <c r="ENJ20" s="352"/>
      <c r="ENK20" s="352"/>
      <c r="ENL20" s="352"/>
      <c r="ENM20" s="352"/>
      <c r="ENN20" s="352"/>
      <c r="ENO20" s="352"/>
      <c r="ENP20" s="352"/>
      <c r="ENQ20" s="352"/>
      <c r="ENR20" s="352"/>
      <c r="ENS20" s="352"/>
      <c r="ENT20" s="352"/>
      <c r="ENU20" s="352"/>
      <c r="ENV20" s="352"/>
      <c r="ENW20" s="352"/>
      <c r="ENX20" s="352"/>
      <c r="ENY20" s="352"/>
      <c r="ENZ20" s="352"/>
      <c r="EOA20" s="352"/>
      <c r="EOB20" s="352"/>
      <c r="EOC20" s="352"/>
      <c r="EOD20" s="352"/>
      <c r="EOE20" s="352"/>
      <c r="EOF20" s="352"/>
      <c r="EOG20" s="352"/>
      <c r="EOH20" s="352"/>
      <c r="EOI20" s="352"/>
      <c r="EOJ20" s="352"/>
      <c r="EOK20" s="352"/>
      <c r="EOL20" s="352"/>
      <c r="EOM20" s="352"/>
      <c r="EON20" s="352"/>
      <c r="EOO20" s="352"/>
      <c r="EOP20" s="352"/>
      <c r="EOQ20" s="352"/>
      <c r="EOR20" s="352"/>
      <c r="EOS20" s="352"/>
      <c r="EOT20" s="352"/>
      <c r="EOU20" s="352"/>
      <c r="EOV20" s="352"/>
      <c r="EOW20" s="352"/>
      <c r="EOX20" s="352"/>
      <c r="EOY20" s="352"/>
      <c r="EOZ20" s="352"/>
      <c r="EPA20" s="352"/>
      <c r="EPB20" s="352"/>
      <c r="EPC20" s="352"/>
      <c r="EPD20" s="352"/>
      <c r="EPE20" s="352"/>
      <c r="EPF20" s="352"/>
      <c r="EPG20" s="352"/>
      <c r="EPH20" s="352"/>
      <c r="EPI20" s="352"/>
      <c r="EPJ20" s="352"/>
      <c r="EPK20" s="352"/>
      <c r="EPL20" s="352"/>
      <c r="EPM20" s="352"/>
      <c r="EPN20" s="352"/>
      <c r="EPO20" s="352"/>
      <c r="EPP20" s="352"/>
      <c r="EPQ20" s="352"/>
      <c r="EPR20" s="352"/>
      <c r="EPS20" s="352"/>
      <c r="EPT20" s="352"/>
      <c r="EPU20" s="352"/>
      <c r="EPV20" s="352"/>
      <c r="EPW20" s="352"/>
      <c r="EPX20" s="352"/>
      <c r="EPY20" s="352"/>
      <c r="EPZ20" s="352"/>
      <c r="EQA20" s="352"/>
      <c r="EQB20" s="352"/>
      <c r="EQC20" s="352"/>
      <c r="EQD20" s="352"/>
      <c r="EQE20" s="352"/>
      <c r="EQF20" s="352"/>
      <c r="EQG20" s="352"/>
      <c r="EQH20" s="352"/>
      <c r="EQI20" s="352"/>
      <c r="EQJ20" s="352"/>
      <c r="EQK20" s="352"/>
      <c r="EQL20" s="352"/>
      <c r="EQM20" s="352"/>
      <c r="EQN20" s="352"/>
      <c r="EQO20" s="352"/>
      <c r="EQP20" s="352"/>
      <c r="EQQ20" s="352"/>
      <c r="EQR20" s="352"/>
      <c r="EQS20" s="352"/>
      <c r="EQT20" s="352"/>
      <c r="EQU20" s="352"/>
      <c r="EQV20" s="352"/>
      <c r="EQW20" s="352"/>
      <c r="EQX20" s="352"/>
      <c r="EQY20" s="352"/>
      <c r="EQZ20" s="352"/>
      <c r="ERA20" s="352"/>
      <c r="ERB20" s="352"/>
      <c r="ERC20" s="352"/>
      <c r="ERD20" s="352"/>
      <c r="ERE20" s="352"/>
      <c r="ERF20" s="352"/>
      <c r="ERG20" s="352"/>
      <c r="ERH20" s="352"/>
      <c r="ERI20" s="352"/>
      <c r="ERJ20" s="352"/>
      <c r="ERK20" s="352"/>
      <c r="ERL20" s="352"/>
      <c r="ERM20" s="352"/>
      <c r="ERN20" s="352"/>
      <c r="ERO20" s="352"/>
      <c r="ERP20" s="352"/>
      <c r="ERQ20" s="352"/>
      <c r="ERR20" s="352"/>
      <c r="ERS20" s="352"/>
      <c r="ERT20" s="352"/>
      <c r="ERU20" s="352"/>
      <c r="ERV20" s="352"/>
      <c r="ERW20" s="352"/>
      <c r="ERX20" s="352"/>
      <c r="ERY20" s="352"/>
      <c r="ERZ20" s="352"/>
      <c r="ESA20" s="352"/>
      <c r="ESB20" s="352"/>
      <c r="ESC20" s="352"/>
      <c r="ESD20" s="352"/>
      <c r="ESE20" s="352"/>
      <c r="ESF20" s="352"/>
      <c r="ESG20" s="352"/>
      <c r="ESH20" s="352"/>
      <c r="ESI20" s="352"/>
      <c r="ESJ20" s="352"/>
      <c r="ESK20" s="352"/>
      <c r="ESL20" s="352"/>
      <c r="ESM20" s="352"/>
      <c r="ESN20" s="352"/>
      <c r="ESO20" s="352"/>
      <c r="ESP20" s="352"/>
      <c r="ESQ20" s="352"/>
      <c r="ESR20" s="352"/>
      <c r="ESS20" s="352"/>
      <c r="EST20" s="352"/>
      <c r="ESU20" s="352"/>
      <c r="ESV20" s="352"/>
      <c r="ESW20" s="352"/>
      <c r="ESX20" s="352"/>
      <c r="ESY20" s="352"/>
      <c r="ESZ20" s="352"/>
      <c r="ETA20" s="352"/>
      <c r="ETB20" s="352"/>
      <c r="ETC20" s="352"/>
      <c r="ETD20" s="352"/>
      <c r="ETE20" s="352"/>
      <c r="ETF20" s="352"/>
      <c r="ETG20" s="352"/>
      <c r="ETH20" s="352"/>
      <c r="ETI20" s="352"/>
      <c r="ETJ20" s="352"/>
      <c r="ETK20" s="352"/>
      <c r="ETL20" s="352"/>
      <c r="ETM20" s="352"/>
      <c r="ETN20" s="352"/>
      <c r="ETO20" s="352"/>
      <c r="ETP20" s="352"/>
      <c r="ETQ20" s="352"/>
      <c r="ETR20" s="352"/>
      <c r="ETS20" s="352"/>
      <c r="ETT20" s="352"/>
      <c r="ETU20" s="352"/>
      <c r="ETV20" s="352"/>
      <c r="ETW20" s="352"/>
      <c r="ETX20" s="352"/>
      <c r="ETY20" s="352"/>
      <c r="ETZ20" s="352"/>
      <c r="EUA20" s="352"/>
      <c r="EUB20" s="352"/>
      <c r="EUC20" s="352"/>
      <c r="EUD20" s="352"/>
      <c r="EUE20" s="352"/>
      <c r="EUF20" s="352"/>
      <c r="EUG20" s="352"/>
      <c r="EUH20" s="352"/>
      <c r="EUI20" s="352"/>
      <c r="EUJ20" s="352"/>
      <c r="EUK20" s="352"/>
      <c r="EUL20" s="352"/>
      <c r="EUM20" s="352"/>
      <c r="EUN20" s="352"/>
      <c r="EUO20" s="352"/>
      <c r="EUP20" s="352"/>
      <c r="EUQ20" s="352"/>
      <c r="EUR20" s="352"/>
      <c r="EUS20" s="352"/>
      <c r="EUT20" s="352"/>
      <c r="EUU20" s="352"/>
      <c r="EUV20" s="352"/>
      <c r="EUW20" s="352"/>
      <c r="EUX20" s="352"/>
      <c r="EUY20" s="352"/>
      <c r="EUZ20" s="352"/>
      <c r="EVA20" s="352"/>
      <c r="EVB20" s="352"/>
      <c r="EVC20" s="352"/>
      <c r="EVD20" s="352"/>
      <c r="EVE20" s="352"/>
      <c r="EVF20" s="352"/>
      <c r="EVG20" s="352"/>
      <c r="EVH20" s="352"/>
      <c r="EVI20" s="352"/>
      <c r="EVJ20" s="352"/>
      <c r="EVK20" s="352"/>
      <c r="EVL20" s="352"/>
      <c r="EVM20" s="352"/>
      <c r="EVN20" s="352"/>
      <c r="EVO20" s="352"/>
      <c r="EVP20" s="352"/>
      <c r="EVQ20" s="352"/>
      <c r="EVR20" s="352"/>
      <c r="EVS20" s="352"/>
      <c r="EVT20" s="352"/>
      <c r="EVU20" s="352"/>
      <c r="EVV20" s="352"/>
      <c r="EVW20" s="352"/>
      <c r="EVX20" s="352"/>
      <c r="EVY20" s="352"/>
      <c r="EVZ20" s="352"/>
      <c r="EWA20" s="352"/>
      <c r="EWB20" s="352"/>
      <c r="EWC20" s="352"/>
      <c r="EWD20" s="352"/>
      <c r="EWE20" s="352"/>
      <c r="EWF20" s="352"/>
      <c r="EWG20" s="352"/>
      <c r="EWH20" s="352"/>
      <c r="EWI20" s="352"/>
      <c r="EWJ20" s="352"/>
      <c r="EWK20" s="352"/>
      <c r="EWL20" s="352"/>
      <c r="EWM20" s="352"/>
      <c r="EWN20" s="352"/>
      <c r="EWO20" s="352"/>
      <c r="EWP20" s="352"/>
      <c r="EWQ20" s="352"/>
      <c r="EWR20" s="352"/>
      <c r="EWS20" s="352"/>
      <c r="EWT20" s="352"/>
      <c r="EWU20" s="352"/>
      <c r="EWV20" s="352"/>
      <c r="EWW20" s="352"/>
      <c r="EWX20" s="352"/>
      <c r="EWY20" s="352"/>
      <c r="EWZ20" s="352"/>
      <c r="EXA20" s="352"/>
      <c r="EXB20" s="352"/>
      <c r="EXC20" s="352"/>
      <c r="EXD20" s="352"/>
      <c r="EXE20" s="352"/>
      <c r="EXF20" s="352"/>
      <c r="EXG20" s="352"/>
      <c r="EXH20" s="352"/>
      <c r="EXI20" s="352"/>
      <c r="EXJ20" s="352"/>
      <c r="EXK20" s="352"/>
      <c r="EXL20" s="352"/>
      <c r="EXM20" s="352"/>
      <c r="EXN20" s="352"/>
      <c r="EXO20" s="352"/>
      <c r="EXP20" s="352"/>
      <c r="EXQ20" s="352"/>
      <c r="EXR20" s="352"/>
      <c r="EXS20" s="352"/>
      <c r="EXT20" s="352"/>
      <c r="EXU20" s="352"/>
      <c r="EXV20" s="352"/>
      <c r="EXW20" s="352"/>
      <c r="EXX20" s="352"/>
      <c r="EXY20" s="352"/>
      <c r="EXZ20" s="352"/>
      <c r="EYA20" s="352"/>
      <c r="EYB20" s="352"/>
      <c r="EYC20" s="352"/>
      <c r="EYD20" s="352"/>
      <c r="EYE20" s="352"/>
      <c r="EYF20" s="352"/>
      <c r="EYG20" s="352"/>
      <c r="EYH20" s="352"/>
      <c r="EYI20" s="352"/>
      <c r="EYJ20" s="352"/>
      <c r="EYK20" s="352"/>
      <c r="EYL20" s="352"/>
      <c r="EYM20" s="352"/>
      <c r="EYN20" s="352"/>
      <c r="EYO20" s="352"/>
      <c r="EYP20" s="352"/>
      <c r="EYQ20" s="352"/>
      <c r="EYR20" s="352"/>
      <c r="EYS20" s="352"/>
      <c r="EYT20" s="352"/>
      <c r="EYU20" s="352"/>
      <c r="EYV20" s="352"/>
      <c r="EYW20" s="352"/>
      <c r="EYX20" s="352"/>
      <c r="EYY20" s="352"/>
      <c r="EYZ20" s="352"/>
      <c r="EZA20" s="352"/>
      <c r="EZB20" s="352"/>
      <c r="EZC20" s="352"/>
      <c r="EZD20" s="352"/>
      <c r="EZE20" s="352"/>
      <c r="EZF20" s="352"/>
      <c r="EZG20" s="352"/>
      <c r="EZH20" s="352"/>
      <c r="EZI20" s="352"/>
      <c r="EZJ20" s="352"/>
      <c r="EZK20" s="352"/>
      <c r="EZL20" s="352"/>
      <c r="EZM20" s="352"/>
      <c r="EZN20" s="352"/>
      <c r="EZO20" s="352"/>
      <c r="EZP20" s="352"/>
      <c r="EZQ20" s="352"/>
      <c r="EZR20" s="352"/>
      <c r="EZS20" s="352"/>
      <c r="EZT20" s="352"/>
      <c r="EZU20" s="352"/>
      <c r="EZV20" s="352"/>
      <c r="EZW20" s="352"/>
      <c r="EZX20" s="352"/>
      <c r="EZY20" s="352"/>
      <c r="EZZ20" s="352"/>
      <c r="FAA20" s="352"/>
      <c r="FAB20" s="352"/>
      <c r="FAC20" s="352"/>
      <c r="FAD20" s="352"/>
      <c r="FAE20" s="352"/>
      <c r="FAF20" s="352"/>
      <c r="FAG20" s="352"/>
      <c r="FAH20" s="352"/>
      <c r="FAI20" s="352"/>
      <c r="FAJ20" s="352"/>
      <c r="FAK20" s="352"/>
      <c r="FAL20" s="352"/>
      <c r="FAM20" s="352"/>
      <c r="FAN20" s="352"/>
      <c r="FAO20" s="352"/>
      <c r="FAP20" s="352"/>
      <c r="FAQ20" s="352"/>
      <c r="FAR20" s="352"/>
      <c r="FAS20" s="352"/>
      <c r="FAT20" s="352"/>
      <c r="FAU20" s="352"/>
      <c r="FAV20" s="352"/>
      <c r="FAW20" s="352"/>
      <c r="FAX20" s="352"/>
      <c r="FAY20" s="352"/>
      <c r="FAZ20" s="352"/>
      <c r="FBA20" s="352"/>
      <c r="FBB20" s="352"/>
      <c r="FBC20" s="352"/>
      <c r="FBD20" s="352"/>
      <c r="FBE20" s="352"/>
      <c r="FBF20" s="352"/>
      <c r="FBG20" s="352"/>
      <c r="FBH20" s="352"/>
      <c r="FBI20" s="352"/>
      <c r="FBJ20" s="352"/>
      <c r="FBK20" s="352"/>
      <c r="FBL20" s="352"/>
      <c r="FBM20" s="352"/>
      <c r="FBN20" s="352"/>
      <c r="FBO20" s="352"/>
      <c r="FBP20" s="352"/>
      <c r="FBQ20" s="352"/>
      <c r="FBR20" s="352"/>
      <c r="FBS20" s="352"/>
      <c r="FBT20" s="352"/>
      <c r="FBU20" s="352"/>
      <c r="FBV20" s="352"/>
      <c r="FBW20" s="352"/>
      <c r="FBX20" s="352"/>
      <c r="FBY20" s="352"/>
      <c r="FBZ20" s="352"/>
      <c r="FCA20" s="352"/>
      <c r="FCB20" s="352"/>
      <c r="FCC20" s="352"/>
      <c r="FCD20" s="352"/>
      <c r="FCE20" s="352"/>
      <c r="FCF20" s="352"/>
      <c r="FCG20" s="352"/>
      <c r="FCH20" s="352"/>
      <c r="FCI20" s="352"/>
      <c r="FCJ20" s="352"/>
      <c r="FCK20" s="352"/>
      <c r="FCL20" s="352"/>
      <c r="FCM20" s="352"/>
      <c r="FCN20" s="352"/>
      <c r="FCO20" s="352"/>
      <c r="FCP20" s="352"/>
      <c r="FCQ20" s="352"/>
      <c r="FCR20" s="352"/>
      <c r="FCS20" s="352"/>
      <c r="FCT20" s="352"/>
      <c r="FCU20" s="352"/>
      <c r="FCV20" s="352"/>
      <c r="FCW20" s="352"/>
      <c r="FCX20" s="352"/>
      <c r="FCY20" s="352"/>
      <c r="FCZ20" s="352"/>
      <c r="FDA20" s="352"/>
      <c r="FDB20" s="352"/>
      <c r="FDC20" s="352"/>
      <c r="FDD20" s="352"/>
      <c r="FDE20" s="352"/>
      <c r="FDF20" s="352"/>
      <c r="FDG20" s="352"/>
      <c r="FDH20" s="352"/>
      <c r="FDI20" s="352"/>
      <c r="FDJ20" s="352"/>
      <c r="FDK20" s="352"/>
      <c r="FDL20" s="352"/>
      <c r="FDM20" s="352"/>
      <c r="FDN20" s="352"/>
      <c r="FDO20" s="352"/>
      <c r="FDP20" s="352"/>
      <c r="FDQ20" s="352"/>
      <c r="FDR20" s="352"/>
      <c r="FDS20" s="352"/>
      <c r="FDT20" s="352"/>
      <c r="FDU20" s="352"/>
      <c r="FDV20" s="352"/>
      <c r="FDW20" s="352"/>
      <c r="FDX20" s="352"/>
      <c r="FDY20" s="352"/>
      <c r="FDZ20" s="352"/>
      <c r="FEA20" s="352"/>
      <c r="FEB20" s="352"/>
      <c r="FEC20" s="352"/>
      <c r="FED20" s="352"/>
      <c r="FEE20" s="352"/>
      <c r="FEF20" s="352"/>
      <c r="FEG20" s="352"/>
      <c r="FEH20" s="352"/>
      <c r="FEI20" s="352"/>
      <c r="FEJ20" s="352"/>
      <c r="FEK20" s="352"/>
      <c r="FEL20" s="352"/>
      <c r="FEM20" s="352"/>
      <c r="FEN20" s="352"/>
      <c r="FEO20" s="352"/>
      <c r="FEP20" s="352"/>
      <c r="FEQ20" s="352"/>
      <c r="FER20" s="352"/>
      <c r="FES20" s="352"/>
      <c r="FET20" s="352"/>
      <c r="FEU20" s="352"/>
      <c r="FEV20" s="352"/>
      <c r="FEW20" s="352"/>
      <c r="FEX20" s="352"/>
      <c r="FEY20" s="352"/>
      <c r="FEZ20" s="352"/>
      <c r="FFA20" s="352"/>
      <c r="FFB20" s="352"/>
      <c r="FFC20" s="352"/>
      <c r="FFD20" s="352"/>
      <c r="FFE20" s="352"/>
      <c r="FFF20" s="352"/>
      <c r="FFG20" s="352"/>
      <c r="FFH20" s="352"/>
      <c r="FFI20" s="352"/>
      <c r="FFJ20" s="352"/>
      <c r="FFK20" s="352"/>
      <c r="FFL20" s="352"/>
      <c r="FFM20" s="352"/>
      <c r="FFN20" s="352"/>
      <c r="FFO20" s="352"/>
      <c r="FFP20" s="352"/>
      <c r="FFQ20" s="352"/>
      <c r="FFR20" s="352"/>
      <c r="FFS20" s="352"/>
      <c r="FFT20" s="352"/>
      <c r="FFU20" s="352"/>
      <c r="FFV20" s="352"/>
      <c r="FFW20" s="352"/>
      <c r="FFX20" s="352"/>
      <c r="FFY20" s="352"/>
      <c r="FFZ20" s="352"/>
      <c r="FGA20" s="352"/>
      <c r="FGB20" s="352"/>
      <c r="FGC20" s="352"/>
      <c r="FGD20" s="352"/>
      <c r="FGE20" s="352"/>
      <c r="FGF20" s="352"/>
      <c r="FGG20" s="352"/>
      <c r="FGH20" s="352"/>
      <c r="FGI20" s="352"/>
      <c r="FGJ20" s="352"/>
      <c r="FGK20" s="352"/>
      <c r="FGL20" s="352"/>
      <c r="FGM20" s="352"/>
      <c r="FGN20" s="352"/>
      <c r="FGO20" s="352"/>
      <c r="FGP20" s="352"/>
      <c r="FGQ20" s="352"/>
      <c r="FGR20" s="352"/>
      <c r="FGS20" s="352"/>
      <c r="FGT20" s="352"/>
      <c r="FGU20" s="352"/>
      <c r="FGV20" s="352"/>
      <c r="FGW20" s="352"/>
      <c r="FGX20" s="352"/>
      <c r="FGY20" s="352"/>
      <c r="FGZ20" s="352"/>
      <c r="FHA20" s="352"/>
      <c r="FHB20" s="352"/>
      <c r="FHC20" s="352"/>
      <c r="FHD20" s="352"/>
      <c r="FHE20" s="352"/>
      <c r="FHF20" s="352"/>
      <c r="FHG20" s="352"/>
      <c r="FHH20" s="352"/>
      <c r="FHI20" s="352"/>
      <c r="FHJ20" s="352"/>
      <c r="FHK20" s="352"/>
      <c r="FHL20" s="352"/>
      <c r="FHM20" s="352"/>
      <c r="FHN20" s="352"/>
      <c r="FHO20" s="352"/>
      <c r="FHP20" s="352"/>
      <c r="FHQ20" s="352"/>
      <c r="FHR20" s="352"/>
      <c r="FHS20" s="352"/>
      <c r="FHT20" s="352"/>
      <c r="FHU20" s="352"/>
      <c r="FHV20" s="352"/>
      <c r="FHW20" s="352"/>
      <c r="FHX20" s="352"/>
      <c r="FHY20" s="352"/>
      <c r="FHZ20" s="352"/>
      <c r="FIA20" s="352"/>
      <c r="FIB20" s="352"/>
      <c r="FIC20" s="352"/>
      <c r="FID20" s="352"/>
      <c r="FIE20" s="352"/>
      <c r="FIF20" s="352"/>
      <c r="FIG20" s="352"/>
      <c r="FIH20" s="352"/>
      <c r="FII20" s="352"/>
      <c r="FIJ20" s="352"/>
      <c r="FIK20" s="352"/>
      <c r="FIL20" s="352"/>
      <c r="FIM20" s="352"/>
      <c r="FIN20" s="352"/>
      <c r="FIO20" s="352"/>
      <c r="FIP20" s="352"/>
      <c r="FIQ20" s="352"/>
      <c r="FIR20" s="352"/>
      <c r="FIS20" s="352"/>
      <c r="FIT20" s="352"/>
      <c r="FIU20" s="352"/>
      <c r="FIV20" s="352"/>
      <c r="FIW20" s="352"/>
      <c r="FIX20" s="352"/>
      <c r="FIY20" s="352"/>
      <c r="FIZ20" s="352"/>
      <c r="FJA20" s="352"/>
      <c r="FJB20" s="352"/>
      <c r="FJC20" s="352"/>
      <c r="FJD20" s="352"/>
      <c r="FJE20" s="352"/>
      <c r="FJF20" s="352"/>
      <c r="FJG20" s="352"/>
      <c r="FJH20" s="352"/>
      <c r="FJI20" s="352"/>
      <c r="FJJ20" s="352"/>
      <c r="FJK20" s="352"/>
      <c r="FJL20" s="352"/>
      <c r="FJM20" s="352"/>
      <c r="FJN20" s="352"/>
      <c r="FJO20" s="352"/>
      <c r="FJP20" s="352"/>
      <c r="FJQ20" s="352"/>
      <c r="FJR20" s="352"/>
      <c r="FJS20" s="352"/>
      <c r="FJT20" s="352"/>
      <c r="FJU20" s="352"/>
      <c r="FJV20" s="352"/>
      <c r="FJW20" s="352"/>
      <c r="FJX20" s="352"/>
      <c r="FJY20" s="352"/>
      <c r="FJZ20" s="352"/>
      <c r="FKA20" s="352"/>
      <c r="FKB20" s="352"/>
      <c r="FKC20" s="352"/>
      <c r="FKD20" s="352"/>
      <c r="FKE20" s="352"/>
      <c r="FKF20" s="352"/>
      <c r="FKG20" s="352"/>
      <c r="FKH20" s="352"/>
      <c r="FKI20" s="352"/>
      <c r="FKJ20" s="352"/>
      <c r="FKK20" s="352"/>
      <c r="FKL20" s="352"/>
      <c r="FKM20" s="352"/>
      <c r="FKN20" s="352"/>
      <c r="FKO20" s="352"/>
      <c r="FKP20" s="352"/>
      <c r="FKQ20" s="352"/>
      <c r="FKR20" s="352"/>
      <c r="FKS20" s="352"/>
      <c r="FKT20" s="352"/>
      <c r="FKU20" s="352"/>
      <c r="FKV20" s="352"/>
      <c r="FKW20" s="352"/>
      <c r="FKX20" s="352"/>
      <c r="FKY20" s="352"/>
      <c r="FKZ20" s="352"/>
      <c r="FLA20" s="352"/>
      <c r="FLB20" s="352"/>
      <c r="FLC20" s="352"/>
      <c r="FLD20" s="352"/>
      <c r="FLE20" s="352"/>
      <c r="FLF20" s="352"/>
      <c r="FLG20" s="352"/>
      <c r="FLH20" s="352"/>
      <c r="FLI20" s="352"/>
      <c r="FLJ20" s="352"/>
      <c r="FLK20" s="352"/>
      <c r="FLL20" s="352"/>
      <c r="FLM20" s="352"/>
      <c r="FLN20" s="352"/>
      <c r="FLO20" s="352"/>
      <c r="FLP20" s="352"/>
      <c r="FLQ20" s="352"/>
      <c r="FLR20" s="352"/>
      <c r="FLS20" s="352"/>
      <c r="FLT20" s="352"/>
      <c r="FLU20" s="352"/>
      <c r="FLV20" s="352"/>
      <c r="FLW20" s="352"/>
      <c r="FLX20" s="352"/>
      <c r="FLY20" s="352"/>
      <c r="FLZ20" s="352"/>
      <c r="FMA20" s="352"/>
      <c r="FMB20" s="352"/>
      <c r="FMC20" s="352"/>
      <c r="FMD20" s="352"/>
      <c r="FME20" s="352"/>
      <c r="FMF20" s="352"/>
      <c r="FMG20" s="352"/>
      <c r="FMH20" s="352"/>
      <c r="FMI20" s="352"/>
      <c r="FMJ20" s="352"/>
      <c r="FMK20" s="352"/>
      <c r="FML20" s="352"/>
      <c r="FMM20" s="352"/>
      <c r="FMN20" s="352"/>
      <c r="FMO20" s="352"/>
      <c r="FMP20" s="352"/>
      <c r="FMQ20" s="352"/>
      <c r="FMR20" s="352"/>
      <c r="FMS20" s="352"/>
      <c r="FMT20" s="352"/>
      <c r="FMU20" s="352"/>
      <c r="FMV20" s="352"/>
      <c r="FMW20" s="352"/>
      <c r="FMX20" s="352"/>
      <c r="FMY20" s="352"/>
      <c r="FMZ20" s="352"/>
      <c r="FNA20" s="352"/>
      <c r="FNB20" s="352"/>
      <c r="FNC20" s="352"/>
      <c r="FND20" s="352"/>
      <c r="FNE20" s="352"/>
      <c r="FNF20" s="352"/>
      <c r="FNG20" s="352"/>
      <c r="FNH20" s="352"/>
      <c r="FNI20" s="352"/>
      <c r="FNJ20" s="352"/>
      <c r="FNK20" s="352"/>
      <c r="FNL20" s="352"/>
      <c r="FNM20" s="352"/>
      <c r="FNN20" s="352"/>
      <c r="FNO20" s="352"/>
      <c r="FNP20" s="352"/>
      <c r="FNQ20" s="352"/>
      <c r="FNR20" s="352"/>
      <c r="FNS20" s="352"/>
      <c r="FNT20" s="352"/>
      <c r="FNU20" s="352"/>
      <c r="FNV20" s="352"/>
      <c r="FNW20" s="352"/>
      <c r="FNX20" s="352"/>
      <c r="FNY20" s="352"/>
      <c r="FNZ20" s="352"/>
      <c r="FOA20" s="352"/>
      <c r="FOB20" s="352"/>
      <c r="FOC20" s="352"/>
      <c r="FOD20" s="352"/>
      <c r="FOE20" s="352"/>
      <c r="FOF20" s="352"/>
      <c r="FOG20" s="352"/>
      <c r="FOH20" s="352"/>
      <c r="FOI20" s="352"/>
      <c r="FOJ20" s="352"/>
      <c r="FOK20" s="352"/>
      <c r="FOL20" s="352"/>
      <c r="FOM20" s="352"/>
      <c r="FON20" s="352"/>
      <c r="FOO20" s="352"/>
      <c r="FOP20" s="352"/>
      <c r="FOQ20" s="352"/>
      <c r="FOR20" s="352"/>
      <c r="FOS20" s="352"/>
      <c r="FOT20" s="352"/>
      <c r="FOU20" s="352"/>
      <c r="FOV20" s="352"/>
      <c r="FOW20" s="352"/>
      <c r="FOX20" s="352"/>
      <c r="FOY20" s="352"/>
      <c r="FOZ20" s="352"/>
      <c r="FPA20" s="352"/>
      <c r="FPB20" s="352"/>
      <c r="FPC20" s="352"/>
      <c r="FPD20" s="352"/>
      <c r="FPE20" s="352"/>
      <c r="FPF20" s="352"/>
      <c r="FPG20" s="352"/>
      <c r="FPH20" s="352"/>
      <c r="FPI20" s="352"/>
      <c r="FPJ20" s="352"/>
      <c r="FPK20" s="352"/>
      <c r="FPL20" s="352"/>
      <c r="FPM20" s="352"/>
      <c r="FPN20" s="352"/>
      <c r="FPO20" s="352"/>
      <c r="FPP20" s="352"/>
      <c r="FPQ20" s="352"/>
      <c r="FPR20" s="352"/>
      <c r="FPS20" s="352"/>
      <c r="FPT20" s="352"/>
      <c r="FPU20" s="352"/>
      <c r="FPV20" s="352"/>
      <c r="FPW20" s="352"/>
      <c r="FPX20" s="352"/>
      <c r="FPY20" s="352"/>
      <c r="FPZ20" s="352"/>
      <c r="FQA20" s="352"/>
      <c r="FQB20" s="352"/>
      <c r="FQC20" s="352"/>
      <c r="FQD20" s="352"/>
      <c r="FQE20" s="352"/>
      <c r="FQF20" s="352"/>
      <c r="FQG20" s="352"/>
      <c r="FQH20" s="352"/>
      <c r="FQI20" s="352"/>
      <c r="FQJ20" s="352"/>
      <c r="FQK20" s="352"/>
      <c r="FQL20" s="352"/>
      <c r="FQM20" s="352"/>
      <c r="FQN20" s="352"/>
      <c r="FQO20" s="352"/>
      <c r="FQP20" s="352"/>
      <c r="FQQ20" s="352"/>
      <c r="FQR20" s="352"/>
      <c r="FQS20" s="352"/>
      <c r="FQT20" s="352"/>
      <c r="FQU20" s="352"/>
      <c r="FQV20" s="352"/>
      <c r="FQW20" s="352"/>
      <c r="FQX20" s="352"/>
      <c r="FQY20" s="352"/>
      <c r="FQZ20" s="352"/>
      <c r="FRA20" s="352"/>
      <c r="FRB20" s="352"/>
      <c r="FRC20" s="352"/>
      <c r="FRD20" s="352"/>
      <c r="FRE20" s="352"/>
      <c r="FRF20" s="352"/>
      <c r="FRG20" s="352"/>
      <c r="FRH20" s="352"/>
      <c r="FRI20" s="352"/>
      <c r="FRJ20" s="352"/>
      <c r="FRK20" s="352"/>
      <c r="FRL20" s="352"/>
      <c r="FRM20" s="352"/>
      <c r="FRN20" s="352"/>
      <c r="FRO20" s="352"/>
      <c r="FRP20" s="352"/>
      <c r="FRQ20" s="352"/>
      <c r="FRR20" s="352"/>
      <c r="FRS20" s="352"/>
      <c r="FRT20" s="352"/>
      <c r="FRU20" s="352"/>
      <c r="FRV20" s="352"/>
      <c r="FRW20" s="352"/>
      <c r="FRX20" s="352"/>
      <c r="FRY20" s="352"/>
      <c r="FRZ20" s="352"/>
      <c r="FSA20" s="352"/>
      <c r="FSB20" s="352"/>
      <c r="FSC20" s="352"/>
      <c r="FSD20" s="352"/>
      <c r="FSE20" s="352"/>
      <c r="FSF20" s="352"/>
      <c r="FSG20" s="352"/>
      <c r="FSH20" s="352"/>
      <c r="FSI20" s="352"/>
      <c r="FSJ20" s="352"/>
      <c r="FSK20" s="352"/>
      <c r="FSL20" s="352"/>
      <c r="FSM20" s="352"/>
      <c r="FSN20" s="352"/>
      <c r="FSO20" s="352"/>
      <c r="FSP20" s="352"/>
      <c r="FSQ20" s="352"/>
      <c r="FSR20" s="352"/>
      <c r="FSS20" s="352"/>
      <c r="FST20" s="352"/>
      <c r="FSU20" s="352"/>
      <c r="FSV20" s="352"/>
      <c r="FSW20" s="352"/>
      <c r="FSX20" s="352"/>
      <c r="FSY20" s="352"/>
      <c r="FSZ20" s="352"/>
      <c r="FTA20" s="352"/>
      <c r="FTB20" s="352"/>
      <c r="FTC20" s="352"/>
      <c r="FTD20" s="352"/>
      <c r="FTE20" s="352"/>
      <c r="FTF20" s="352"/>
      <c r="FTG20" s="352"/>
      <c r="FTH20" s="352"/>
      <c r="FTI20" s="352"/>
      <c r="FTJ20" s="352"/>
      <c r="FTK20" s="352"/>
      <c r="FTL20" s="352"/>
      <c r="FTM20" s="352"/>
      <c r="FTN20" s="352"/>
      <c r="FTO20" s="352"/>
      <c r="FTP20" s="352"/>
      <c r="FTQ20" s="352"/>
      <c r="FTR20" s="352"/>
      <c r="FTS20" s="352"/>
      <c r="FTT20" s="352"/>
      <c r="FTU20" s="352"/>
      <c r="FTV20" s="352"/>
      <c r="FTW20" s="352"/>
      <c r="FTX20" s="352"/>
      <c r="FTY20" s="352"/>
      <c r="FTZ20" s="352"/>
      <c r="FUA20" s="352"/>
      <c r="FUB20" s="352"/>
      <c r="FUC20" s="352"/>
      <c r="FUD20" s="352"/>
      <c r="FUE20" s="352"/>
      <c r="FUF20" s="352"/>
      <c r="FUG20" s="352"/>
      <c r="FUH20" s="352"/>
      <c r="FUI20" s="352"/>
      <c r="FUJ20" s="352"/>
      <c r="FUK20" s="352"/>
      <c r="FUL20" s="352"/>
      <c r="FUM20" s="352"/>
      <c r="FUN20" s="352"/>
      <c r="FUO20" s="352"/>
      <c r="FUP20" s="352"/>
      <c r="FUQ20" s="352"/>
      <c r="FUR20" s="352"/>
      <c r="FUS20" s="352"/>
      <c r="FUT20" s="352"/>
      <c r="FUU20" s="352"/>
      <c r="FUV20" s="352"/>
      <c r="FUW20" s="352"/>
      <c r="FUX20" s="352"/>
      <c r="FUY20" s="352"/>
      <c r="FUZ20" s="352"/>
      <c r="FVA20" s="352"/>
      <c r="FVB20" s="352"/>
      <c r="FVC20" s="352"/>
      <c r="FVD20" s="352"/>
      <c r="FVE20" s="352"/>
      <c r="FVF20" s="352"/>
      <c r="FVG20" s="352"/>
      <c r="FVH20" s="352"/>
      <c r="FVI20" s="352"/>
      <c r="FVJ20" s="352"/>
      <c r="FVK20" s="352"/>
      <c r="FVL20" s="352"/>
      <c r="FVM20" s="352"/>
      <c r="FVN20" s="352"/>
      <c r="FVO20" s="352"/>
      <c r="FVP20" s="352"/>
      <c r="FVQ20" s="352"/>
      <c r="FVR20" s="352"/>
      <c r="FVS20" s="352"/>
      <c r="FVT20" s="352"/>
      <c r="FVU20" s="352"/>
      <c r="FVV20" s="352"/>
      <c r="FVW20" s="352"/>
      <c r="FVX20" s="352"/>
      <c r="FVY20" s="352"/>
      <c r="FVZ20" s="352"/>
      <c r="FWA20" s="352"/>
      <c r="FWB20" s="352"/>
      <c r="FWC20" s="352"/>
      <c r="FWD20" s="352"/>
      <c r="FWE20" s="352"/>
      <c r="FWF20" s="352"/>
      <c r="FWG20" s="352"/>
      <c r="FWH20" s="352"/>
      <c r="FWI20" s="352"/>
      <c r="FWJ20" s="352"/>
      <c r="FWK20" s="352"/>
      <c r="FWL20" s="352"/>
      <c r="FWM20" s="352"/>
      <c r="FWN20" s="352"/>
      <c r="FWO20" s="352"/>
      <c r="FWP20" s="352"/>
      <c r="FWQ20" s="352"/>
      <c r="FWR20" s="352"/>
      <c r="FWS20" s="352"/>
      <c r="FWT20" s="352"/>
      <c r="FWU20" s="352"/>
      <c r="FWV20" s="352"/>
      <c r="FWW20" s="352"/>
      <c r="FWX20" s="352"/>
      <c r="FWY20" s="352"/>
      <c r="FWZ20" s="352"/>
      <c r="FXA20" s="352"/>
      <c r="FXB20" s="352"/>
      <c r="FXC20" s="352"/>
      <c r="FXD20" s="352"/>
      <c r="FXE20" s="352"/>
      <c r="FXF20" s="352"/>
      <c r="FXG20" s="352"/>
      <c r="FXH20" s="352"/>
      <c r="FXI20" s="352"/>
      <c r="FXJ20" s="352"/>
      <c r="FXK20" s="352"/>
      <c r="FXL20" s="352"/>
      <c r="FXM20" s="352"/>
      <c r="FXN20" s="352"/>
      <c r="FXO20" s="352"/>
      <c r="FXP20" s="352"/>
      <c r="FXQ20" s="352"/>
      <c r="FXR20" s="352"/>
      <c r="FXS20" s="352"/>
      <c r="FXT20" s="352"/>
      <c r="FXU20" s="352"/>
      <c r="FXV20" s="352"/>
      <c r="FXW20" s="352"/>
      <c r="FXX20" s="352"/>
      <c r="FXY20" s="352"/>
      <c r="FXZ20" s="352"/>
      <c r="FYA20" s="352"/>
      <c r="FYB20" s="352"/>
      <c r="FYC20" s="352"/>
      <c r="FYD20" s="352"/>
      <c r="FYE20" s="352"/>
      <c r="FYF20" s="352"/>
      <c r="FYG20" s="352"/>
      <c r="FYH20" s="352"/>
      <c r="FYI20" s="352"/>
      <c r="FYJ20" s="352"/>
      <c r="FYK20" s="352"/>
      <c r="FYL20" s="352"/>
      <c r="FYM20" s="352"/>
      <c r="FYN20" s="352"/>
      <c r="FYO20" s="352"/>
      <c r="FYP20" s="352"/>
      <c r="FYQ20" s="352"/>
      <c r="FYR20" s="352"/>
      <c r="FYS20" s="352"/>
      <c r="FYT20" s="352"/>
      <c r="FYU20" s="352"/>
      <c r="FYV20" s="352"/>
      <c r="FYW20" s="352"/>
      <c r="FYX20" s="352"/>
      <c r="FYY20" s="352"/>
      <c r="FYZ20" s="352"/>
      <c r="FZA20" s="352"/>
      <c r="FZB20" s="352"/>
      <c r="FZC20" s="352"/>
      <c r="FZD20" s="352"/>
      <c r="FZE20" s="352"/>
      <c r="FZF20" s="352"/>
      <c r="FZG20" s="352"/>
      <c r="FZH20" s="352"/>
      <c r="FZI20" s="352"/>
      <c r="FZJ20" s="352"/>
      <c r="FZK20" s="352"/>
      <c r="FZL20" s="352"/>
      <c r="FZM20" s="352"/>
      <c r="FZN20" s="352"/>
      <c r="FZO20" s="352"/>
      <c r="FZP20" s="352"/>
      <c r="FZQ20" s="352"/>
      <c r="FZR20" s="352"/>
      <c r="FZS20" s="352"/>
      <c r="FZT20" s="352"/>
      <c r="FZU20" s="352"/>
      <c r="FZV20" s="352"/>
      <c r="FZW20" s="352"/>
      <c r="FZX20" s="352"/>
      <c r="FZY20" s="352"/>
      <c r="FZZ20" s="352"/>
      <c r="GAA20" s="352"/>
      <c r="GAB20" s="352"/>
      <c r="GAC20" s="352"/>
      <c r="GAD20" s="352"/>
      <c r="GAE20" s="352"/>
      <c r="GAF20" s="352"/>
      <c r="GAG20" s="352"/>
      <c r="GAH20" s="352"/>
      <c r="GAI20" s="352"/>
      <c r="GAJ20" s="352"/>
      <c r="GAK20" s="352"/>
      <c r="GAL20" s="352"/>
      <c r="GAM20" s="352"/>
      <c r="GAN20" s="352"/>
      <c r="GAO20" s="352"/>
      <c r="GAP20" s="352"/>
      <c r="GAQ20" s="352"/>
      <c r="GAR20" s="352"/>
      <c r="GAS20" s="352"/>
      <c r="GAT20" s="352"/>
      <c r="GAU20" s="352"/>
      <c r="GAV20" s="352"/>
      <c r="GAW20" s="352"/>
      <c r="GAX20" s="352"/>
      <c r="GAY20" s="352"/>
      <c r="GAZ20" s="352"/>
      <c r="GBA20" s="352"/>
      <c r="GBB20" s="352"/>
      <c r="GBC20" s="352"/>
      <c r="GBD20" s="352"/>
      <c r="GBE20" s="352"/>
      <c r="GBF20" s="352"/>
      <c r="GBG20" s="352"/>
      <c r="GBH20" s="352"/>
      <c r="GBI20" s="352"/>
      <c r="GBJ20" s="352"/>
      <c r="GBK20" s="352"/>
      <c r="GBL20" s="352"/>
      <c r="GBM20" s="352"/>
      <c r="GBN20" s="352"/>
      <c r="GBO20" s="352"/>
      <c r="GBP20" s="352"/>
      <c r="GBQ20" s="352"/>
      <c r="GBR20" s="352"/>
      <c r="GBS20" s="352"/>
      <c r="GBT20" s="352"/>
      <c r="GBU20" s="352"/>
      <c r="GBV20" s="352"/>
      <c r="GBW20" s="352"/>
      <c r="GBX20" s="352"/>
      <c r="GBY20" s="352"/>
      <c r="GBZ20" s="352"/>
      <c r="GCA20" s="352"/>
      <c r="GCB20" s="352"/>
      <c r="GCC20" s="352"/>
      <c r="GCD20" s="352"/>
      <c r="GCE20" s="352"/>
      <c r="GCF20" s="352"/>
      <c r="GCG20" s="352"/>
      <c r="GCH20" s="352"/>
      <c r="GCI20" s="352"/>
      <c r="GCJ20" s="352"/>
      <c r="GCK20" s="352"/>
      <c r="GCL20" s="352"/>
      <c r="GCM20" s="352"/>
      <c r="GCN20" s="352"/>
      <c r="GCO20" s="352"/>
      <c r="GCP20" s="352"/>
      <c r="GCQ20" s="352"/>
      <c r="GCR20" s="352"/>
      <c r="GCS20" s="352"/>
      <c r="GCT20" s="352"/>
      <c r="GCU20" s="352"/>
      <c r="GCV20" s="352"/>
      <c r="GCW20" s="352"/>
      <c r="GCX20" s="352"/>
      <c r="GCY20" s="352"/>
      <c r="GCZ20" s="352"/>
      <c r="GDA20" s="352"/>
      <c r="GDB20" s="352"/>
      <c r="GDC20" s="352"/>
      <c r="GDD20" s="352"/>
      <c r="GDE20" s="352"/>
      <c r="GDF20" s="352"/>
      <c r="GDG20" s="352"/>
      <c r="GDH20" s="352"/>
      <c r="GDI20" s="352"/>
      <c r="GDJ20" s="352"/>
      <c r="GDK20" s="352"/>
      <c r="GDL20" s="352"/>
      <c r="GDM20" s="352"/>
      <c r="GDN20" s="352"/>
      <c r="GDO20" s="352"/>
      <c r="GDP20" s="352"/>
      <c r="GDQ20" s="352"/>
      <c r="GDR20" s="352"/>
      <c r="GDS20" s="352"/>
      <c r="GDT20" s="352"/>
      <c r="GDU20" s="352"/>
      <c r="GDV20" s="352"/>
      <c r="GDW20" s="352"/>
      <c r="GDX20" s="352"/>
      <c r="GDY20" s="352"/>
      <c r="GDZ20" s="352"/>
      <c r="GEA20" s="352"/>
      <c r="GEB20" s="352"/>
      <c r="GEC20" s="352"/>
      <c r="GED20" s="352"/>
      <c r="GEE20" s="352"/>
      <c r="GEF20" s="352"/>
      <c r="GEG20" s="352"/>
      <c r="GEH20" s="352"/>
      <c r="GEI20" s="352"/>
      <c r="GEJ20" s="352"/>
      <c r="GEK20" s="352"/>
      <c r="GEL20" s="352"/>
      <c r="GEM20" s="352"/>
      <c r="GEN20" s="352"/>
      <c r="GEO20" s="352"/>
      <c r="GEP20" s="352"/>
      <c r="GEQ20" s="352"/>
      <c r="GER20" s="352"/>
      <c r="GES20" s="352"/>
      <c r="GET20" s="352"/>
      <c r="GEU20" s="352"/>
      <c r="GEV20" s="352"/>
      <c r="GEW20" s="352"/>
      <c r="GEX20" s="352"/>
      <c r="GEY20" s="352"/>
      <c r="GEZ20" s="352"/>
      <c r="GFA20" s="352"/>
      <c r="GFB20" s="352"/>
      <c r="GFC20" s="352"/>
      <c r="GFD20" s="352"/>
      <c r="GFE20" s="352"/>
      <c r="GFF20" s="352"/>
      <c r="GFG20" s="352"/>
      <c r="GFH20" s="352"/>
      <c r="GFI20" s="352"/>
      <c r="GFJ20" s="352"/>
      <c r="GFK20" s="352"/>
      <c r="GFL20" s="352"/>
      <c r="GFM20" s="352"/>
      <c r="GFN20" s="352"/>
      <c r="GFO20" s="352"/>
      <c r="GFP20" s="352"/>
      <c r="GFQ20" s="352"/>
      <c r="GFR20" s="352"/>
      <c r="GFS20" s="352"/>
      <c r="GFT20" s="352"/>
      <c r="GFU20" s="352"/>
      <c r="GFV20" s="352"/>
      <c r="GFW20" s="352"/>
      <c r="GFX20" s="352"/>
      <c r="GFY20" s="352"/>
      <c r="GFZ20" s="352"/>
      <c r="GGA20" s="352"/>
      <c r="GGB20" s="352"/>
      <c r="GGC20" s="352"/>
      <c r="GGD20" s="352"/>
      <c r="GGE20" s="352"/>
      <c r="GGF20" s="352"/>
      <c r="GGG20" s="352"/>
      <c r="GGH20" s="352"/>
      <c r="GGI20" s="352"/>
      <c r="GGJ20" s="352"/>
      <c r="GGK20" s="352"/>
      <c r="GGL20" s="352"/>
      <c r="GGM20" s="352"/>
      <c r="GGN20" s="352"/>
      <c r="GGO20" s="352"/>
      <c r="GGP20" s="352"/>
      <c r="GGQ20" s="352"/>
      <c r="GGR20" s="352"/>
      <c r="GGS20" s="352"/>
      <c r="GGT20" s="352"/>
      <c r="GGU20" s="352"/>
      <c r="GGV20" s="352"/>
      <c r="GGW20" s="352"/>
      <c r="GGX20" s="352"/>
      <c r="GGY20" s="352"/>
      <c r="GGZ20" s="352"/>
      <c r="GHA20" s="352"/>
      <c r="GHB20" s="352"/>
      <c r="GHC20" s="352"/>
      <c r="GHD20" s="352"/>
      <c r="GHE20" s="352"/>
      <c r="GHF20" s="352"/>
      <c r="GHG20" s="352"/>
      <c r="GHH20" s="352"/>
      <c r="GHI20" s="352"/>
      <c r="GHJ20" s="352"/>
      <c r="GHK20" s="352"/>
      <c r="GHL20" s="352"/>
      <c r="GHM20" s="352"/>
      <c r="GHN20" s="352"/>
      <c r="GHO20" s="352"/>
      <c r="GHP20" s="352"/>
      <c r="GHQ20" s="352"/>
      <c r="GHR20" s="352"/>
      <c r="GHS20" s="352"/>
      <c r="GHT20" s="352"/>
      <c r="GHU20" s="352"/>
      <c r="GHV20" s="352"/>
      <c r="GHW20" s="352"/>
      <c r="GHX20" s="352"/>
      <c r="GHY20" s="352"/>
      <c r="GHZ20" s="352"/>
      <c r="GIA20" s="352"/>
      <c r="GIB20" s="352"/>
      <c r="GIC20" s="352"/>
      <c r="GID20" s="352"/>
      <c r="GIE20" s="352"/>
      <c r="GIF20" s="352"/>
      <c r="GIG20" s="352"/>
      <c r="GIH20" s="352"/>
      <c r="GII20" s="352"/>
      <c r="GIJ20" s="352"/>
      <c r="GIK20" s="352"/>
      <c r="GIL20" s="352"/>
      <c r="GIM20" s="352"/>
      <c r="GIN20" s="352"/>
      <c r="GIO20" s="352"/>
      <c r="GIP20" s="352"/>
      <c r="GIQ20" s="352"/>
      <c r="GIR20" s="352"/>
      <c r="GIS20" s="352"/>
      <c r="GIT20" s="352"/>
      <c r="GIU20" s="352"/>
      <c r="GIV20" s="352"/>
      <c r="GIW20" s="352"/>
      <c r="GIX20" s="352"/>
      <c r="GIY20" s="352"/>
      <c r="GIZ20" s="352"/>
      <c r="GJA20" s="352"/>
      <c r="GJB20" s="352"/>
      <c r="GJC20" s="352"/>
      <c r="GJD20" s="352"/>
      <c r="GJE20" s="352"/>
      <c r="GJF20" s="352"/>
      <c r="GJG20" s="352"/>
      <c r="GJH20" s="352"/>
      <c r="GJI20" s="352"/>
      <c r="GJJ20" s="352"/>
      <c r="GJK20" s="352"/>
      <c r="GJL20" s="352"/>
      <c r="GJM20" s="352"/>
      <c r="GJN20" s="352"/>
      <c r="GJO20" s="352"/>
      <c r="GJP20" s="352"/>
      <c r="GJQ20" s="352"/>
      <c r="GJR20" s="352"/>
      <c r="GJS20" s="352"/>
      <c r="GJT20" s="352"/>
      <c r="GJU20" s="352"/>
      <c r="GJV20" s="352"/>
      <c r="GJW20" s="352"/>
      <c r="GJX20" s="352"/>
      <c r="GJY20" s="352"/>
      <c r="GJZ20" s="352"/>
      <c r="GKA20" s="352"/>
      <c r="GKB20" s="352"/>
      <c r="GKC20" s="352"/>
      <c r="GKD20" s="352"/>
      <c r="GKE20" s="352"/>
      <c r="GKF20" s="352"/>
      <c r="GKG20" s="352"/>
      <c r="GKH20" s="352"/>
      <c r="GKI20" s="352"/>
      <c r="GKJ20" s="352"/>
      <c r="GKK20" s="352"/>
      <c r="GKL20" s="352"/>
      <c r="GKM20" s="352"/>
      <c r="GKN20" s="352"/>
      <c r="GKO20" s="352"/>
      <c r="GKP20" s="352"/>
      <c r="GKQ20" s="352"/>
      <c r="GKR20" s="352"/>
      <c r="GKS20" s="352"/>
      <c r="GKT20" s="352"/>
      <c r="GKU20" s="352"/>
      <c r="GKV20" s="352"/>
      <c r="GKW20" s="352"/>
      <c r="GKX20" s="352"/>
      <c r="GKY20" s="352"/>
      <c r="GKZ20" s="352"/>
      <c r="GLA20" s="352"/>
      <c r="GLB20" s="352"/>
      <c r="GLC20" s="352"/>
      <c r="GLD20" s="352"/>
      <c r="GLE20" s="352"/>
      <c r="GLF20" s="352"/>
      <c r="GLG20" s="352"/>
      <c r="GLH20" s="352"/>
      <c r="GLI20" s="352"/>
      <c r="GLJ20" s="352"/>
      <c r="GLK20" s="352"/>
      <c r="GLL20" s="352"/>
      <c r="GLM20" s="352"/>
      <c r="GLN20" s="352"/>
      <c r="GLO20" s="352"/>
      <c r="GLP20" s="352"/>
      <c r="GLQ20" s="352"/>
      <c r="GLR20" s="352"/>
      <c r="GLS20" s="352"/>
      <c r="GLT20" s="352"/>
      <c r="GLU20" s="352"/>
      <c r="GLV20" s="352"/>
      <c r="GLW20" s="352"/>
      <c r="GLX20" s="352"/>
      <c r="GLY20" s="352"/>
      <c r="GLZ20" s="352"/>
      <c r="GMA20" s="352"/>
      <c r="GMB20" s="352"/>
      <c r="GMC20" s="352"/>
      <c r="GMD20" s="352"/>
      <c r="GME20" s="352"/>
      <c r="GMF20" s="352"/>
      <c r="GMG20" s="352"/>
      <c r="GMH20" s="352"/>
      <c r="GMI20" s="352"/>
      <c r="GMJ20" s="352"/>
      <c r="GMK20" s="352"/>
      <c r="GML20" s="352"/>
      <c r="GMM20" s="352"/>
      <c r="GMN20" s="352"/>
      <c r="GMO20" s="352"/>
      <c r="GMP20" s="352"/>
      <c r="GMQ20" s="352"/>
      <c r="GMR20" s="352"/>
      <c r="GMS20" s="352"/>
      <c r="GMT20" s="352"/>
      <c r="GMU20" s="352"/>
      <c r="GMV20" s="352"/>
      <c r="GMW20" s="352"/>
      <c r="GMX20" s="352"/>
      <c r="GMY20" s="352"/>
      <c r="GMZ20" s="352"/>
      <c r="GNA20" s="352"/>
      <c r="GNB20" s="352"/>
      <c r="GNC20" s="352"/>
      <c r="GND20" s="352"/>
      <c r="GNE20" s="352"/>
      <c r="GNF20" s="352"/>
      <c r="GNG20" s="352"/>
      <c r="GNH20" s="352"/>
      <c r="GNI20" s="352"/>
      <c r="GNJ20" s="352"/>
      <c r="GNK20" s="352"/>
      <c r="GNL20" s="352"/>
      <c r="GNM20" s="352"/>
      <c r="GNN20" s="352"/>
      <c r="GNO20" s="352"/>
      <c r="GNP20" s="352"/>
      <c r="GNQ20" s="352"/>
      <c r="GNR20" s="352"/>
      <c r="GNS20" s="352"/>
      <c r="GNT20" s="352"/>
      <c r="GNU20" s="352"/>
      <c r="GNV20" s="352"/>
      <c r="GNW20" s="352"/>
      <c r="GNX20" s="352"/>
      <c r="GNY20" s="352"/>
      <c r="GNZ20" s="352"/>
      <c r="GOA20" s="352"/>
      <c r="GOB20" s="352"/>
      <c r="GOC20" s="352"/>
      <c r="GOD20" s="352"/>
      <c r="GOE20" s="352"/>
      <c r="GOF20" s="352"/>
      <c r="GOG20" s="352"/>
      <c r="GOH20" s="352"/>
      <c r="GOI20" s="352"/>
      <c r="GOJ20" s="352"/>
      <c r="GOK20" s="352"/>
      <c r="GOL20" s="352"/>
      <c r="GOM20" s="352"/>
      <c r="GON20" s="352"/>
      <c r="GOO20" s="352"/>
      <c r="GOP20" s="352"/>
      <c r="GOQ20" s="352"/>
      <c r="GOR20" s="352"/>
      <c r="GOS20" s="352"/>
      <c r="GOT20" s="352"/>
      <c r="GOU20" s="352"/>
      <c r="GOV20" s="352"/>
      <c r="GOW20" s="352"/>
      <c r="GOX20" s="352"/>
      <c r="GOY20" s="352"/>
      <c r="GOZ20" s="352"/>
      <c r="GPA20" s="352"/>
      <c r="GPB20" s="352"/>
      <c r="GPC20" s="352"/>
      <c r="GPD20" s="352"/>
      <c r="GPE20" s="352"/>
      <c r="GPF20" s="352"/>
      <c r="GPG20" s="352"/>
      <c r="GPH20" s="352"/>
      <c r="GPI20" s="352"/>
      <c r="GPJ20" s="352"/>
      <c r="GPK20" s="352"/>
      <c r="GPL20" s="352"/>
      <c r="GPM20" s="352"/>
      <c r="GPN20" s="352"/>
      <c r="GPO20" s="352"/>
      <c r="GPP20" s="352"/>
      <c r="GPQ20" s="352"/>
      <c r="GPR20" s="352"/>
      <c r="GPS20" s="352"/>
      <c r="GPT20" s="352"/>
      <c r="GPU20" s="352"/>
      <c r="GPV20" s="352"/>
      <c r="GPW20" s="352"/>
      <c r="GPX20" s="352"/>
      <c r="GPY20" s="352"/>
      <c r="GPZ20" s="352"/>
      <c r="GQA20" s="352"/>
      <c r="GQB20" s="352"/>
      <c r="GQC20" s="352"/>
      <c r="GQD20" s="352"/>
      <c r="GQE20" s="352"/>
      <c r="GQF20" s="352"/>
      <c r="GQG20" s="352"/>
      <c r="GQH20" s="352"/>
      <c r="GQI20" s="352"/>
      <c r="GQJ20" s="352"/>
      <c r="GQK20" s="352"/>
      <c r="GQL20" s="352"/>
      <c r="GQM20" s="352"/>
      <c r="GQN20" s="352"/>
      <c r="GQO20" s="352"/>
      <c r="GQP20" s="352"/>
      <c r="GQQ20" s="352"/>
      <c r="GQR20" s="352"/>
      <c r="GQS20" s="352"/>
      <c r="GQT20" s="352"/>
      <c r="GQU20" s="352"/>
      <c r="GQV20" s="352"/>
      <c r="GQW20" s="352"/>
      <c r="GQX20" s="352"/>
      <c r="GQY20" s="352"/>
      <c r="GQZ20" s="352"/>
      <c r="GRA20" s="352"/>
      <c r="GRB20" s="352"/>
      <c r="GRC20" s="352"/>
      <c r="GRD20" s="352"/>
      <c r="GRE20" s="352"/>
      <c r="GRF20" s="352"/>
      <c r="GRG20" s="352"/>
      <c r="GRH20" s="352"/>
      <c r="GRI20" s="352"/>
      <c r="GRJ20" s="352"/>
      <c r="GRK20" s="352"/>
      <c r="GRL20" s="352"/>
      <c r="GRM20" s="352"/>
      <c r="GRN20" s="352"/>
      <c r="GRO20" s="352"/>
      <c r="GRP20" s="352"/>
      <c r="GRQ20" s="352"/>
      <c r="GRR20" s="352"/>
      <c r="GRS20" s="352"/>
      <c r="GRT20" s="352"/>
      <c r="GRU20" s="352"/>
      <c r="GRV20" s="352"/>
      <c r="GRW20" s="352"/>
      <c r="GRX20" s="352"/>
      <c r="GRY20" s="352"/>
      <c r="GRZ20" s="352"/>
      <c r="GSA20" s="352"/>
      <c r="GSB20" s="352"/>
      <c r="GSC20" s="352"/>
      <c r="GSD20" s="352"/>
      <c r="GSE20" s="352"/>
      <c r="GSF20" s="352"/>
      <c r="GSG20" s="352"/>
      <c r="GSH20" s="352"/>
      <c r="GSI20" s="352"/>
      <c r="GSJ20" s="352"/>
      <c r="GSK20" s="352"/>
      <c r="GSL20" s="352"/>
      <c r="GSM20" s="352"/>
      <c r="GSN20" s="352"/>
      <c r="GSO20" s="352"/>
      <c r="GSP20" s="352"/>
      <c r="GSQ20" s="352"/>
      <c r="GSR20" s="352"/>
      <c r="GSS20" s="352"/>
      <c r="GST20" s="352"/>
      <c r="GSU20" s="352"/>
      <c r="GSV20" s="352"/>
      <c r="GSW20" s="352"/>
      <c r="GSX20" s="352"/>
      <c r="GSY20" s="352"/>
      <c r="GSZ20" s="352"/>
      <c r="GTA20" s="352"/>
      <c r="GTB20" s="352"/>
      <c r="GTC20" s="352"/>
      <c r="GTD20" s="352"/>
      <c r="GTE20" s="352"/>
      <c r="GTF20" s="352"/>
      <c r="GTG20" s="352"/>
      <c r="GTH20" s="352"/>
      <c r="GTI20" s="352"/>
      <c r="GTJ20" s="352"/>
      <c r="GTK20" s="352"/>
      <c r="GTL20" s="352"/>
      <c r="GTM20" s="352"/>
      <c r="GTN20" s="352"/>
      <c r="GTO20" s="352"/>
      <c r="GTP20" s="352"/>
      <c r="GTQ20" s="352"/>
      <c r="GTR20" s="352"/>
      <c r="GTS20" s="352"/>
      <c r="GTT20" s="352"/>
      <c r="GTU20" s="352"/>
      <c r="GTV20" s="352"/>
      <c r="GTW20" s="352"/>
      <c r="GTX20" s="352"/>
      <c r="GTY20" s="352"/>
      <c r="GTZ20" s="352"/>
      <c r="GUA20" s="352"/>
      <c r="GUB20" s="352"/>
      <c r="GUC20" s="352"/>
      <c r="GUD20" s="352"/>
      <c r="GUE20" s="352"/>
      <c r="GUF20" s="352"/>
      <c r="GUG20" s="352"/>
      <c r="GUH20" s="352"/>
      <c r="GUI20" s="352"/>
      <c r="GUJ20" s="352"/>
      <c r="GUK20" s="352"/>
      <c r="GUL20" s="352"/>
      <c r="GUM20" s="352"/>
      <c r="GUN20" s="352"/>
      <c r="GUO20" s="352"/>
      <c r="GUP20" s="352"/>
      <c r="GUQ20" s="352"/>
      <c r="GUR20" s="352"/>
      <c r="GUS20" s="352"/>
      <c r="GUT20" s="352"/>
      <c r="GUU20" s="352"/>
      <c r="GUV20" s="352"/>
      <c r="GUW20" s="352"/>
      <c r="GUX20" s="352"/>
      <c r="GUY20" s="352"/>
      <c r="GUZ20" s="352"/>
      <c r="GVA20" s="352"/>
      <c r="GVB20" s="352"/>
      <c r="GVC20" s="352"/>
      <c r="GVD20" s="352"/>
      <c r="GVE20" s="352"/>
      <c r="GVF20" s="352"/>
      <c r="GVG20" s="352"/>
      <c r="GVH20" s="352"/>
      <c r="GVI20" s="352"/>
      <c r="GVJ20" s="352"/>
      <c r="GVK20" s="352"/>
      <c r="GVL20" s="352"/>
      <c r="GVM20" s="352"/>
      <c r="GVN20" s="352"/>
      <c r="GVO20" s="352"/>
      <c r="GVP20" s="352"/>
      <c r="GVQ20" s="352"/>
      <c r="GVR20" s="352"/>
      <c r="GVS20" s="352"/>
      <c r="GVT20" s="352"/>
      <c r="GVU20" s="352"/>
      <c r="GVV20" s="352"/>
      <c r="GVW20" s="352"/>
      <c r="GVX20" s="352"/>
      <c r="GVY20" s="352"/>
      <c r="GVZ20" s="352"/>
      <c r="GWA20" s="352"/>
      <c r="GWB20" s="352"/>
      <c r="GWC20" s="352"/>
      <c r="GWD20" s="352"/>
      <c r="GWE20" s="352"/>
      <c r="GWF20" s="352"/>
      <c r="GWG20" s="352"/>
      <c r="GWH20" s="352"/>
      <c r="GWI20" s="352"/>
      <c r="GWJ20" s="352"/>
      <c r="GWK20" s="352"/>
      <c r="GWL20" s="352"/>
      <c r="GWM20" s="352"/>
      <c r="GWN20" s="352"/>
      <c r="GWO20" s="352"/>
      <c r="GWP20" s="352"/>
      <c r="GWQ20" s="352"/>
      <c r="GWR20" s="352"/>
      <c r="GWS20" s="352"/>
      <c r="GWT20" s="352"/>
      <c r="GWU20" s="352"/>
      <c r="GWV20" s="352"/>
      <c r="GWW20" s="352"/>
      <c r="GWX20" s="352"/>
      <c r="GWY20" s="352"/>
      <c r="GWZ20" s="352"/>
      <c r="GXA20" s="352"/>
      <c r="GXB20" s="352"/>
      <c r="GXC20" s="352"/>
      <c r="GXD20" s="352"/>
      <c r="GXE20" s="352"/>
      <c r="GXF20" s="352"/>
      <c r="GXG20" s="352"/>
      <c r="GXH20" s="352"/>
      <c r="GXI20" s="352"/>
      <c r="GXJ20" s="352"/>
      <c r="GXK20" s="352"/>
      <c r="GXL20" s="352"/>
      <c r="GXM20" s="352"/>
      <c r="GXN20" s="352"/>
      <c r="GXO20" s="352"/>
      <c r="GXP20" s="352"/>
      <c r="GXQ20" s="352"/>
      <c r="GXR20" s="352"/>
      <c r="GXS20" s="352"/>
      <c r="GXT20" s="352"/>
      <c r="GXU20" s="352"/>
      <c r="GXV20" s="352"/>
      <c r="GXW20" s="352"/>
      <c r="GXX20" s="352"/>
      <c r="GXY20" s="352"/>
      <c r="GXZ20" s="352"/>
      <c r="GYA20" s="352"/>
      <c r="GYB20" s="352"/>
      <c r="GYC20" s="352"/>
      <c r="GYD20" s="352"/>
      <c r="GYE20" s="352"/>
      <c r="GYF20" s="352"/>
      <c r="GYG20" s="352"/>
      <c r="GYH20" s="352"/>
      <c r="GYI20" s="352"/>
      <c r="GYJ20" s="352"/>
      <c r="GYK20" s="352"/>
      <c r="GYL20" s="352"/>
      <c r="GYM20" s="352"/>
      <c r="GYN20" s="352"/>
      <c r="GYO20" s="352"/>
      <c r="GYP20" s="352"/>
      <c r="GYQ20" s="352"/>
      <c r="GYR20" s="352"/>
      <c r="GYS20" s="352"/>
      <c r="GYT20" s="352"/>
      <c r="GYU20" s="352"/>
      <c r="GYV20" s="352"/>
      <c r="GYW20" s="352"/>
      <c r="GYX20" s="352"/>
      <c r="GYY20" s="352"/>
      <c r="GYZ20" s="352"/>
      <c r="GZA20" s="352"/>
      <c r="GZB20" s="352"/>
      <c r="GZC20" s="352"/>
      <c r="GZD20" s="352"/>
      <c r="GZE20" s="352"/>
      <c r="GZF20" s="352"/>
      <c r="GZG20" s="352"/>
      <c r="GZH20" s="352"/>
      <c r="GZI20" s="352"/>
      <c r="GZJ20" s="352"/>
      <c r="GZK20" s="352"/>
      <c r="GZL20" s="352"/>
      <c r="GZM20" s="352"/>
      <c r="GZN20" s="352"/>
      <c r="GZO20" s="352"/>
      <c r="GZP20" s="352"/>
      <c r="GZQ20" s="352"/>
      <c r="GZR20" s="352"/>
      <c r="GZS20" s="352"/>
      <c r="GZT20" s="352"/>
      <c r="GZU20" s="352"/>
      <c r="GZV20" s="352"/>
      <c r="GZW20" s="352"/>
      <c r="GZX20" s="352"/>
      <c r="GZY20" s="352"/>
      <c r="GZZ20" s="352"/>
      <c r="HAA20" s="352"/>
      <c r="HAB20" s="352"/>
      <c r="HAC20" s="352"/>
      <c r="HAD20" s="352"/>
      <c r="HAE20" s="352"/>
      <c r="HAF20" s="352"/>
      <c r="HAG20" s="352"/>
      <c r="HAH20" s="352"/>
      <c r="HAI20" s="352"/>
      <c r="HAJ20" s="352"/>
      <c r="HAK20" s="352"/>
      <c r="HAL20" s="352"/>
      <c r="HAM20" s="352"/>
      <c r="HAN20" s="352"/>
      <c r="HAO20" s="352"/>
      <c r="HAP20" s="352"/>
      <c r="HAQ20" s="352"/>
      <c r="HAR20" s="352"/>
      <c r="HAS20" s="352"/>
      <c r="HAT20" s="352"/>
      <c r="HAU20" s="352"/>
      <c r="HAV20" s="352"/>
      <c r="HAW20" s="352"/>
      <c r="HAX20" s="352"/>
      <c r="HAY20" s="352"/>
      <c r="HAZ20" s="352"/>
      <c r="HBA20" s="352"/>
      <c r="HBB20" s="352"/>
      <c r="HBC20" s="352"/>
      <c r="HBD20" s="352"/>
      <c r="HBE20" s="352"/>
      <c r="HBF20" s="352"/>
      <c r="HBG20" s="352"/>
      <c r="HBH20" s="352"/>
      <c r="HBI20" s="352"/>
      <c r="HBJ20" s="352"/>
      <c r="HBK20" s="352"/>
      <c r="HBL20" s="352"/>
      <c r="HBM20" s="352"/>
      <c r="HBN20" s="352"/>
      <c r="HBO20" s="352"/>
      <c r="HBP20" s="352"/>
      <c r="HBQ20" s="352"/>
      <c r="HBR20" s="352"/>
      <c r="HBS20" s="352"/>
      <c r="HBT20" s="352"/>
      <c r="HBU20" s="352"/>
      <c r="HBV20" s="352"/>
      <c r="HBW20" s="352"/>
      <c r="HBX20" s="352"/>
      <c r="HBY20" s="352"/>
      <c r="HBZ20" s="352"/>
      <c r="HCA20" s="352"/>
      <c r="HCB20" s="352"/>
      <c r="HCC20" s="352"/>
      <c r="HCD20" s="352"/>
      <c r="HCE20" s="352"/>
      <c r="HCF20" s="352"/>
      <c r="HCG20" s="352"/>
      <c r="HCH20" s="352"/>
      <c r="HCI20" s="352"/>
      <c r="HCJ20" s="352"/>
      <c r="HCK20" s="352"/>
      <c r="HCL20" s="352"/>
      <c r="HCM20" s="352"/>
      <c r="HCN20" s="352"/>
      <c r="HCO20" s="352"/>
      <c r="HCP20" s="352"/>
      <c r="HCQ20" s="352"/>
      <c r="HCR20" s="352"/>
      <c r="HCS20" s="352"/>
      <c r="HCT20" s="352"/>
      <c r="HCU20" s="352"/>
      <c r="HCV20" s="352"/>
      <c r="HCW20" s="352"/>
      <c r="HCX20" s="352"/>
      <c r="HCY20" s="352"/>
      <c r="HCZ20" s="352"/>
      <c r="HDA20" s="352"/>
      <c r="HDB20" s="352"/>
      <c r="HDC20" s="352"/>
      <c r="HDD20" s="352"/>
      <c r="HDE20" s="352"/>
      <c r="HDF20" s="352"/>
      <c r="HDG20" s="352"/>
      <c r="HDH20" s="352"/>
      <c r="HDI20" s="352"/>
      <c r="HDJ20" s="352"/>
      <c r="HDK20" s="352"/>
      <c r="HDL20" s="352"/>
      <c r="HDM20" s="352"/>
      <c r="HDN20" s="352"/>
      <c r="HDO20" s="352"/>
      <c r="HDP20" s="352"/>
      <c r="HDQ20" s="352"/>
      <c r="HDR20" s="352"/>
      <c r="HDS20" s="352"/>
      <c r="HDT20" s="352"/>
      <c r="HDU20" s="352"/>
      <c r="HDV20" s="352"/>
      <c r="HDW20" s="352"/>
      <c r="HDX20" s="352"/>
      <c r="HDY20" s="352"/>
      <c r="HDZ20" s="352"/>
      <c r="HEA20" s="352"/>
      <c r="HEB20" s="352"/>
      <c r="HEC20" s="352"/>
      <c r="HED20" s="352"/>
      <c r="HEE20" s="352"/>
      <c r="HEF20" s="352"/>
      <c r="HEG20" s="352"/>
      <c r="HEH20" s="352"/>
      <c r="HEI20" s="352"/>
      <c r="HEJ20" s="352"/>
      <c r="HEK20" s="352"/>
      <c r="HEL20" s="352"/>
      <c r="HEM20" s="352"/>
      <c r="HEN20" s="352"/>
      <c r="HEO20" s="352"/>
      <c r="HEP20" s="352"/>
      <c r="HEQ20" s="352"/>
      <c r="HER20" s="352"/>
      <c r="HES20" s="352"/>
      <c r="HET20" s="352"/>
      <c r="HEU20" s="352"/>
      <c r="HEV20" s="352"/>
      <c r="HEW20" s="352"/>
      <c r="HEX20" s="352"/>
      <c r="HEY20" s="352"/>
      <c r="HEZ20" s="352"/>
      <c r="HFA20" s="352"/>
      <c r="HFB20" s="352"/>
      <c r="HFC20" s="352"/>
      <c r="HFD20" s="352"/>
      <c r="HFE20" s="352"/>
      <c r="HFF20" s="352"/>
      <c r="HFG20" s="352"/>
      <c r="HFH20" s="352"/>
      <c r="HFI20" s="352"/>
      <c r="HFJ20" s="352"/>
      <c r="HFK20" s="352"/>
      <c r="HFL20" s="352"/>
      <c r="HFM20" s="352"/>
      <c r="HFN20" s="352"/>
      <c r="HFO20" s="352"/>
      <c r="HFP20" s="352"/>
      <c r="HFQ20" s="352"/>
      <c r="HFR20" s="352"/>
      <c r="HFS20" s="352"/>
      <c r="HFT20" s="352"/>
      <c r="HFU20" s="352"/>
      <c r="HFV20" s="352"/>
      <c r="HFW20" s="352"/>
      <c r="HFX20" s="352"/>
      <c r="HFY20" s="352"/>
      <c r="HFZ20" s="352"/>
      <c r="HGA20" s="352"/>
      <c r="HGB20" s="352"/>
      <c r="HGC20" s="352"/>
      <c r="HGD20" s="352"/>
      <c r="HGE20" s="352"/>
      <c r="HGF20" s="352"/>
      <c r="HGG20" s="352"/>
      <c r="HGH20" s="352"/>
      <c r="HGI20" s="352"/>
      <c r="HGJ20" s="352"/>
      <c r="HGK20" s="352"/>
      <c r="HGL20" s="352"/>
      <c r="HGM20" s="352"/>
      <c r="HGN20" s="352"/>
      <c r="HGO20" s="352"/>
      <c r="HGP20" s="352"/>
      <c r="HGQ20" s="352"/>
      <c r="HGR20" s="352"/>
      <c r="HGS20" s="352"/>
      <c r="HGT20" s="352"/>
      <c r="HGU20" s="352"/>
      <c r="HGV20" s="352"/>
      <c r="HGW20" s="352"/>
      <c r="HGX20" s="352"/>
      <c r="HGY20" s="352"/>
      <c r="HGZ20" s="352"/>
      <c r="HHA20" s="352"/>
      <c r="HHB20" s="352"/>
      <c r="HHC20" s="352"/>
      <c r="HHD20" s="352"/>
      <c r="HHE20" s="352"/>
      <c r="HHF20" s="352"/>
      <c r="HHG20" s="352"/>
      <c r="HHH20" s="352"/>
      <c r="HHI20" s="352"/>
      <c r="HHJ20" s="352"/>
      <c r="HHK20" s="352"/>
      <c r="HHL20" s="352"/>
      <c r="HHM20" s="352"/>
      <c r="HHN20" s="352"/>
      <c r="HHO20" s="352"/>
      <c r="HHP20" s="352"/>
      <c r="HHQ20" s="352"/>
      <c r="HHR20" s="352"/>
      <c r="HHS20" s="352"/>
      <c r="HHT20" s="352"/>
      <c r="HHU20" s="352"/>
      <c r="HHV20" s="352"/>
      <c r="HHW20" s="352"/>
      <c r="HHX20" s="352"/>
      <c r="HHY20" s="352"/>
      <c r="HHZ20" s="352"/>
      <c r="HIA20" s="352"/>
      <c r="HIB20" s="352"/>
      <c r="HIC20" s="352"/>
      <c r="HID20" s="352"/>
      <c r="HIE20" s="352"/>
      <c r="HIF20" s="352"/>
      <c r="HIG20" s="352"/>
      <c r="HIH20" s="352"/>
      <c r="HII20" s="352"/>
      <c r="HIJ20" s="352"/>
      <c r="HIK20" s="352"/>
      <c r="HIL20" s="352"/>
      <c r="HIM20" s="352"/>
      <c r="HIN20" s="352"/>
      <c r="HIO20" s="352"/>
      <c r="HIP20" s="352"/>
      <c r="HIQ20" s="352"/>
      <c r="HIR20" s="352"/>
      <c r="HIS20" s="352"/>
      <c r="HIT20" s="352"/>
      <c r="HIU20" s="352"/>
      <c r="HIV20" s="352"/>
      <c r="HIW20" s="352"/>
      <c r="HIX20" s="352"/>
      <c r="HIY20" s="352"/>
      <c r="HIZ20" s="352"/>
      <c r="HJA20" s="352"/>
      <c r="HJB20" s="352"/>
      <c r="HJC20" s="352"/>
      <c r="HJD20" s="352"/>
      <c r="HJE20" s="352"/>
      <c r="HJF20" s="352"/>
      <c r="HJG20" s="352"/>
      <c r="HJH20" s="352"/>
      <c r="HJI20" s="352"/>
      <c r="HJJ20" s="352"/>
      <c r="HJK20" s="352"/>
      <c r="HJL20" s="352"/>
      <c r="HJM20" s="352"/>
      <c r="HJN20" s="352"/>
      <c r="HJO20" s="352"/>
      <c r="HJP20" s="352"/>
      <c r="HJQ20" s="352"/>
      <c r="HJR20" s="352"/>
      <c r="HJS20" s="352"/>
      <c r="HJT20" s="352"/>
      <c r="HJU20" s="352"/>
      <c r="HJV20" s="352"/>
      <c r="HJW20" s="352"/>
      <c r="HJX20" s="352"/>
      <c r="HJY20" s="352"/>
      <c r="HJZ20" s="352"/>
      <c r="HKA20" s="352"/>
      <c r="HKB20" s="352"/>
      <c r="HKC20" s="352"/>
      <c r="HKD20" s="352"/>
      <c r="HKE20" s="352"/>
      <c r="HKF20" s="352"/>
      <c r="HKG20" s="352"/>
      <c r="HKH20" s="352"/>
      <c r="HKI20" s="352"/>
      <c r="HKJ20" s="352"/>
      <c r="HKK20" s="352"/>
      <c r="HKL20" s="352"/>
      <c r="HKM20" s="352"/>
      <c r="HKN20" s="352"/>
      <c r="HKO20" s="352"/>
      <c r="HKP20" s="352"/>
      <c r="HKQ20" s="352"/>
      <c r="HKR20" s="352"/>
      <c r="HKS20" s="352"/>
      <c r="HKT20" s="352"/>
      <c r="HKU20" s="352"/>
      <c r="HKV20" s="352"/>
      <c r="HKW20" s="352"/>
      <c r="HKX20" s="352"/>
      <c r="HKY20" s="352"/>
      <c r="HKZ20" s="352"/>
      <c r="HLA20" s="352"/>
      <c r="HLB20" s="352"/>
      <c r="HLC20" s="352"/>
      <c r="HLD20" s="352"/>
      <c r="HLE20" s="352"/>
      <c r="HLF20" s="352"/>
      <c r="HLG20" s="352"/>
      <c r="HLH20" s="352"/>
      <c r="HLI20" s="352"/>
      <c r="HLJ20" s="352"/>
      <c r="HLK20" s="352"/>
      <c r="HLL20" s="352"/>
      <c r="HLM20" s="352"/>
      <c r="HLN20" s="352"/>
      <c r="HLO20" s="352"/>
      <c r="HLP20" s="352"/>
      <c r="HLQ20" s="352"/>
      <c r="HLR20" s="352"/>
      <c r="HLS20" s="352"/>
      <c r="HLT20" s="352"/>
      <c r="HLU20" s="352"/>
      <c r="HLV20" s="352"/>
      <c r="HLW20" s="352"/>
      <c r="HLX20" s="352"/>
      <c r="HLY20" s="352"/>
      <c r="HLZ20" s="352"/>
      <c r="HMA20" s="352"/>
      <c r="HMB20" s="352"/>
      <c r="HMC20" s="352"/>
      <c r="HMD20" s="352"/>
      <c r="HME20" s="352"/>
      <c r="HMF20" s="352"/>
      <c r="HMG20" s="352"/>
      <c r="HMH20" s="352"/>
      <c r="HMI20" s="352"/>
      <c r="HMJ20" s="352"/>
      <c r="HMK20" s="352"/>
      <c r="HML20" s="352"/>
      <c r="HMM20" s="352"/>
      <c r="HMN20" s="352"/>
      <c r="HMO20" s="352"/>
      <c r="HMP20" s="352"/>
      <c r="HMQ20" s="352"/>
      <c r="HMR20" s="352"/>
      <c r="HMS20" s="352"/>
      <c r="HMT20" s="352"/>
      <c r="HMU20" s="352"/>
      <c r="HMV20" s="352"/>
      <c r="HMW20" s="352"/>
      <c r="HMX20" s="352"/>
      <c r="HMY20" s="352"/>
      <c r="HMZ20" s="352"/>
      <c r="HNA20" s="352"/>
      <c r="HNB20" s="352"/>
      <c r="HNC20" s="352"/>
      <c r="HND20" s="352"/>
      <c r="HNE20" s="352"/>
      <c r="HNF20" s="352"/>
      <c r="HNG20" s="352"/>
      <c r="HNH20" s="352"/>
      <c r="HNI20" s="352"/>
      <c r="HNJ20" s="352"/>
      <c r="HNK20" s="352"/>
      <c r="HNL20" s="352"/>
      <c r="HNM20" s="352"/>
      <c r="HNN20" s="352"/>
      <c r="HNO20" s="352"/>
      <c r="HNP20" s="352"/>
      <c r="HNQ20" s="352"/>
      <c r="HNR20" s="352"/>
      <c r="HNS20" s="352"/>
      <c r="HNT20" s="352"/>
      <c r="HNU20" s="352"/>
      <c r="HNV20" s="352"/>
      <c r="HNW20" s="352"/>
      <c r="HNX20" s="352"/>
      <c r="HNY20" s="352"/>
      <c r="HNZ20" s="352"/>
      <c r="HOA20" s="352"/>
      <c r="HOB20" s="352"/>
      <c r="HOC20" s="352"/>
      <c r="HOD20" s="352"/>
      <c r="HOE20" s="352"/>
      <c r="HOF20" s="352"/>
      <c r="HOG20" s="352"/>
      <c r="HOH20" s="352"/>
      <c r="HOI20" s="352"/>
      <c r="HOJ20" s="352"/>
      <c r="HOK20" s="352"/>
      <c r="HOL20" s="352"/>
      <c r="HOM20" s="352"/>
      <c r="HON20" s="352"/>
      <c r="HOO20" s="352"/>
      <c r="HOP20" s="352"/>
      <c r="HOQ20" s="352"/>
      <c r="HOR20" s="352"/>
      <c r="HOS20" s="352"/>
      <c r="HOT20" s="352"/>
      <c r="HOU20" s="352"/>
      <c r="HOV20" s="352"/>
      <c r="HOW20" s="352"/>
      <c r="HOX20" s="352"/>
      <c r="HOY20" s="352"/>
      <c r="HOZ20" s="352"/>
      <c r="HPA20" s="352"/>
      <c r="HPB20" s="352"/>
      <c r="HPC20" s="352"/>
      <c r="HPD20" s="352"/>
      <c r="HPE20" s="352"/>
      <c r="HPF20" s="352"/>
      <c r="HPG20" s="352"/>
      <c r="HPH20" s="352"/>
      <c r="HPI20" s="352"/>
      <c r="HPJ20" s="352"/>
      <c r="HPK20" s="352"/>
      <c r="HPL20" s="352"/>
      <c r="HPM20" s="352"/>
      <c r="HPN20" s="352"/>
      <c r="HPO20" s="352"/>
      <c r="HPP20" s="352"/>
      <c r="HPQ20" s="352"/>
      <c r="HPR20" s="352"/>
      <c r="HPS20" s="352"/>
      <c r="HPT20" s="352"/>
      <c r="HPU20" s="352"/>
      <c r="HPV20" s="352"/>
      <c r="HPW20" s="352"/>
      <c r="HPX20" s="352"/>
      <c r="HPY20" s="352"/>
      <c r="HPZ20" s="352"/>
      <c r="HQA20" s="352"/>
      <c r="HQB20" s="352"/>
      <c r="HQC20" s="352"/>
      <c r="HQD20" s="352"/>
      <c r="HQE20" s="352"/>
      <c r="HQF20" s="352"/>
      <c r="HQG20" s="352"/>
      <c r="HQH20" s="352"/>
      <c r="HQI20" s="352"/>
      <c r="HQJ20" s="352"/>
      <c r="HQK20" s="352"/>
      <c r="HQL20" s="352"/>
      <c r="HQM20" s="352"/>
      <c r="HQN20" s="352"/>
      <c r="HQO20" s="352"/>
      <c r="HQP20" s="352"/>
      <c r="HQQ20" s="352"/>
      <c r="HQR20" s="352"/>
      <c r="HQS20" s="352"/>
      <c r="HQT20" s="352"/>
      <c r="HQU20" s="352"/>
      <c r="HQV20" s="352"/>
      <c r="HQW20" s="352"/>
      <c r="HQX20" s="352"/>
      <c r="HQY20" s="352"/>
      <c r="HQZ20" s="352"/>
      <c r="HRA20" s="352"/>
      <c r="HRB20" s="352"/>
      <c r="HRC20" s="352"/>
      <c r="HRD20" s="352"/>
      <c r="HRE20" s="352"/>
      <c r="HRF20" s="352"/>
      <c r="HRG20" s="352"/>
      <c r="HRH20" s="352"/>
      <c r="HRI20" s="352"/>
      <c r="HRJ20" s="352"/>
      <c r="HRK20" s="352"/>
      <c r="HRL20" s="352"/>
      <c r="HRM20" s="352"/>
      <c r="HRN20" s="352"/>
      <c r="HRO20" s="352"/>
      <c r="HRP20" s="352"/>
      <c r="HRQ20" s="352"/>
      <c r="HRR20" s="352"/>
      <c r="HRS20" s="352"/>
      <c r="HRT20" s="352"/>
      <c r="HRU20" s="352"/>
      <c r="HRV20" s="352"/>
      <c r="HRW20" s="352"/>
      <c r="HRX20" s="352"/>
      <c r="HRY20" s="352"/>
      <c r="HRZ20" s="352"/>
      <c r="HSA20" s="352"/>
      <c r="HSB20" s="352"/>
      <c r="HSC20" s="352"/>
      <c r="HSD20" s="352"/>
      <c r="HSE20" s="352"/>
      <c r="HSF20" s="352"/>
      <c r="HSG20" s="352"/>
      <c r="HSH20" s="352"/>
      <c r="HSI20" s="352"/>
      <c r="HSJ20" s="352"/>
      <c r="HSK20" s="352"/>
      <c r="HSL20" s="352"/>
      <c r="HSM20" s="352"/>
      <c r="HSN20" s="352"/>
      <c r="HSO20" s="352"/>
      <c r="HSP20" s="352"/>
      <c r="HSQ20" s="352"/>
      <c r="HSR20" s="352"/>
      <c r="HSS20" s="352"/>
      <c r="HST20" s="352"/>
      <c r="HSU20" s="352"/>
      <c r="HSV20" s="352"/>
      <c r="HSW20" s="352"/>
      <c r="HSX20" s="352"/>
      <c r="HSY20" s="352"/>
      <c r="HSZ20" s="352"/>
      <c r="HTA20" s="352"/>
      <c r="HTB20" s="352"/>
      <c r="HTC20" s="352"/>
      <c r="HTD20" s="352"/>
      <c r="HTE20" s="352"/>
      <c r="HTF20" s="352"/>
      <c r="HTG20" s="352"/>
      <c r="HTH20" s="352"/>
      <c r="HTI20" s="352"/>
      <c r="HTJ20" s="352"/>
      <c r="HTK20" s="352"/>
      <c r="HTL20" s="352"/>
      <c r="HTM20" s="352"/>
      <c r="HTN20" s="352"/>
      <c r="HTO20" s="352"/>
      <c r="HTP20" s="352"/>
      <c r="HTQ20" s="352"/>
      <c r="HTR20" s="352"/>
      <c r="HTS20" s="352"/>
      <c r="HTT20" s="352"/>
      <c r="HTU20" s="352"/>
      <c r="HTV20" s="352"/>
      <c r="HTW20" s="352"/>
      <c r="HTX20" s="352"/>
      <c r="HTY20" s="352"/>
      <c r="HTZ20" s="352"/>
      <c r="HUA20" s="352"/>
      <c r="HUB20" s="352"/>
      <c r="HUC20" s="352"/>
      <c r="HUD20" s="352"/>
      <c r="HUE20" s="352"/>
      <c r="HUF20" s="352"/>
      <c r="HUG20" s="352"/>
      <c r="HUH20" s="352"/>
      <c r="HUI20" s="352"/>
      <c r="HUJ20" s="352"/>
      <c r="HUK20" s="352"/>
      <c r="HUL20" s="352"/>
      <c r="HUM20" s="352"/>
      <c r="HUN20" s="352"/>
      <c r="HUO20" s="352"/>
      <c r="HUP20" s="352"/>
      <c r="HUQ20" s="352"/>
      <c r="HUR20" s="352"/>
      <c r="HUS20" s="352"/>
      <c r="HUT20" s="352"/>
      <c r="HUU20" s="352"/>
      <c r="HUV20" s="352"/>
      <c r="HUW20" s="352"/>
      <c r="HUX20" s="352"/>
      <c r="HUY20" s="352"/>
      <c r="HUZ20" s="352"/>
      <c r="HVA20" s="352"/>
      <c r="HVB20" s="352"/>
      <c r="HVC20" s="352"/>
      <c r="HVD20" s="352"/>
      <c r="HVE20" s="352"/>
      <c r="HVF20" s="352"/>
      <c r="HVG20" s="352"/>
      <c r="HVH20" s="352"/>
      <c r="HVI20" s="352"/>
      <c r="HVJ20" s="352"/>
      <c r="HVK20" s="352"/>
      <c r="HVL20" s="352"/>
      <c r="HVM20" s="352"/>
      <c r="HVN20" s="352"/>
      <c r="HVO20" s="352"/>
      <c r="HVP20" s="352"/>
      <c r="HVQ20" s="352"/>
      <c r="HVR20" s="352"/>
      <c r="HVS20" s="352"/>
      <c r="HVT20" s="352"/>
      <c r="HVU20" s="352"/>
      <c r="HVV20" s="352"/>
      <c r="HVW20" s="352"/>
      <c r="HVX20" s="352"/>
      <c r="HVY20" s="352"/>
      <c r="HVZ20" s="352"/>
      <c r="HWA20" s="352"/>
      <c r="HWB20" s="352"/>
      <c r="HWC20" s="352"/>
      <c r="HWD20" s="352"/>
      <c r="HWE20" s="352"/>
      <c r="HWF20" s="352"/>
      <c r="HWG20" s="352"/>
      <c r="HWH20" s="352"/>
      <c r="HWI20" s="352"/>
      <c r="HWJ20" s="352"/>
      <c r="HWK20" s="352"/>
      <c r="HWL20" s="352"/>
      <c r="HWM20" s="352"/>
      <c r="HWN20" s="352"/>
      <c r="HWO20" s="352"/>
      <c r="HWP20" s="352"/>
      <c r="HWQ20" s="352"/>
      <c r="HWR20" s="352"/>
      <c r="HWS20" s="352"/>
      <c r="HWT20" s="352"/>
      <c r="HWU20" s="352"/>
      <c r="HWV20" s="352"/>
      <c r="HWW20" s="352"/>
      <c r="HWX20" s="352"/>
      <c r="HWY20" s="352"/>
      <c r="HWZ20" s="352"/>
      <c r="HXA20" s="352"/>
      <c r="HXB20" s="352"/>
      <c r="HXC20" s="352"/>
      <c r="HXD20" s="352"/>
      <c r="HXE20" s="352"/>
      <c r="HXF20" s="352"/>
      <c r="HXG20" s="352"/>
      <c r="HXH20" s="352"/>
      <c r="HXI20" s="352"/>
      <c r="HXJ20" s="352"/>
      <c r="HXK20" s="352"/>
      <c r="HXL20" s="352"/>
      <c r="HXM20" s="352"/>
      <c r="HXN20" s="352"/>
      <c r="HXO20" s="352"/>
      <c r="HXP20" s="352"/>
      <c r="HXQ20" s="352"/>
      <c r="HXR20" s="352"/>
      <c r="HXS20" s="352"/>
      <c r="HXT20" s="352"/>
      <c r="HXU20" s="352"/>
      <c r="HXV20" s="352"/>
      <c r="HXW20" s="352"/>
      <c r="HXX20" s="352"/>
      <c r="HXY20" s="352"/>
      <c r="HXZ20" s="352"/>
      <c r="HYA20" s="352"/>
      <c r="HYB20" s="352"/>
      <c r="HYC20" s="352"/>
      <c r="HYD20" s="352"/>
      <c r="HYE20" s="352"/>
      <c r="HYF20" s="352"/>
      <c r="HYG20" s="352"/>
      <c r="HYH20" s="352"/>
      <c r="HYI20" s="352"/>
      <c r="HYJ20" s="352"/>
      <c r="HYK20" s="352"/>
      <c r="HYL20" s="352"/>
      <c r="HYM20" s="352"/>
      <c r="HYN20" s="352"/>
      <c r="HYO20" s="352"/>
      <c r="HYP20" s="352"/>
      <c r="HYQ20" s="352"/>
      <c r="HYR20" s="352"/>
      <c r="HYS20" s="352"/>
      <c r="HYT20" s="352"/>
      <c r="HYU20" s="352"/>
      <c r="HYV20" s="352"/>
      <c r="HYW20" s="352"/>
      <c r="HYX20" s="352"/>
      <c r="HYY20" s="352"/>
      <c r="HYZ20" s="352"/>
      <c r="HZA20" s="352"/>
      <c r="HZB20" s="352"/>
      <c r="HZC20" s="352"/>
      <c r="HZD20" s="352"/>
      <c r="HZE20" s="352"/>
      <c r="HZF20" s="352"/>
      <c r="HZG20" s="352"/>
      <c r="HZH20" s="352"/>
      <c r="HZI20" s="352"/>
      <c r="HZJ20" s="352"/>
      <c r="HZK20" s="352"/>
      <c r="HZL20" s="352"/>
      <c r="HZM20" s="352"/>
      <c r="HZN20" s="352"/>
      <c r="HZO20" s="352"/>
      <c r="HZP20" s="352"/>
      <c r="HZQ20" s="352"/>
      <c r="HZR20" s="352"/>
      <c r="HZS20" s="352"/>
      <c r="HZT20" s="352"/>
      <c r="HZU20" s="352"/>
      <c r="HZV20" s="352"/>
      <c r="HZW20" s="352"/>
      <c r="HZX20" s="352"/>
      <c r="HZY20" s="352"/>
      <c r="HZZ20" s="352"/>
      <c r="IAA20" s="352"/>
      <c r="IAB20" s="352"/>
      <c r="IAC20" s="352"/>
      <c r="IAD20" s="352"/>
      <c r="IAE20" s="352"/>
      <c r="IAF20" s="352"/>
      <c r="IAG20" s="352"/>
      <c r="IAH20" s="352"/>
      <c r="IAI20" s="352"/>
      <c r="IAJ20" s="352"/>
      <c r="IAK20" s="352"/>
      <c r="IAL20" s="352"/>
      <c r="IAM20" s="352"/>
      <c r="IAN20" s="352"/>
      <c r="IAO20" s="352"/>
      <c r="IAP20" s="352"/>
      <c r="IAQ20" s="352"/>
      <c r="IAR20" s="352"/>
      <c r="IAS20" s="352"/>
      <c r="IAT20" s="352"/>
      <c r="IAU20" s="352"/>
      <c r="IAV20" s="352"/>
      <c r="IAW20" s="352"/>
      <c r="IAX20" s="352"/>
      <c r="IAY20" s="352"/>
      <c r="IAZ20" s="352"/>
      <c r="IBA20" s="352"/>
      <c r="IBB20" s="352"/>
      <c r="IBC20" s="352"/>
      <c r="IBD20" s="352"/>
      <c r="IBE20" s="352"/>
      <c r="IBF20" s="352"/>
      <c r="IBG20" s="352"/>
      <c r="IBH20" s="352"/>
      <c r="IBI20" s="352"/>
      <c r="IBJ20" s="352"/>
      <c r="IBK20" s="352"/>
      <c r="IBL20" s="352"/>
      <c r="IBM20" s="352"/>
      <c r="IBN20" s="352"/>
      <c r="IBO20" s="352"/>
      <c r="IBP20" s="352"/>
      <c r="IBQ20" s="352"/>
      <c r="IBR20" s="352"/>
      <c r="IBS20" s="352"/>
      <c r="IBT20" s="352"/>
      <c r="IBU20" s="352"/>
      <c r="IBV20" s="352"/>
      <c r="IBW20" s="352"/>
      <c r="IBX20" s="352"/>
      <c r="IBY20" s="352"/>
      <c r="IBZ20" s="352"/>
      <c r="ICA20" s="352"/>
      <c r="ICB20" s="352"/>
      <c r="ICC20" s="352"/>
      <c r="ICD20" s="352"/>
      <c r="ICE20" s="352"/>
      <c r="ICF20" s="352"/>
      <c r="ICG20" s="352"/>
      <c r="ICH20" s="352"/>
      <c r="ICI20" s="352"/>
      <c r="ICJ20" s="352"/>
      <c r="ICK20" s="352"/>
      <c r="ICL20" s="352"/>
      <c r="ICM20" s="352"/>
      <c r="ICN20" s="352"/>
      <c r="ICO20" s="352"/>
      <c r="ICP20" s="352"/>
      <c r="ICQ20" s="352"/>
      <c r="ICR20" s="352"/>
      <c r="ICS20" s="352"/>
      <c r="ICT20" s="352"/>
      <c r="ICU20" s="352"/>
      <c r="ICV20" s="352"/>
      <c r="ICW20" s="352"/>
      <c r="ICX20" s="352"/>
      <c r="ICY20" s="352"/>
      <c r="ICZ20" s="352"/>
      <c r="IDA20" s="352"/>
      <c r="IDB20" s="352"/>
      <c r="IDC20" s="352"/>
      <c r="IDD20" s="352"/>
      <c r="IDE20" s="352"/>
      <c r="IDF20" s="352"/>
      <c r="IDG20" s="352"/>
      <c r="IDH20" s="352"/>
      <c r="IDI20" s="352"/>
      <c r="IDJ20" s="352"/>
      <c r="IDK20" s="352"/>
      <c r="IDL20" s="352"/>
      <c r="IDM20" s="352"/>
      <c r="IDN20" s="352"/>
      <c r="IDO20" s="352"/>
      <c r="IDP20" s="352"/>
      <c r="IDQ20" s="352"/>
      <c r="IDR20" s="352"/>
      <c r="IDS20" s="352"/>
      <c r="IDT20" s="352"/>
      <c r="IDU20" s="352"/>
      <c r="IDV20" s="352"/>
      <c r="IDW20" s="352"/>
      <c r="IDX20" s="352"/>
      <c r="IDY20" s="352"/>
      <c r="IDZ20" s="352"/>
      <c r="IEA20" s="352"/>
      <c r="IEB20" s="352"/>
      <c r="IEC20" s="352"/>
      <c r="IED20" s="352"/>
      <c r="IEE20" s="352"/>
      <c r="IEF20" s="352"/>
      <c r="IEG20" s="352"/>
      <c r="IEH20" s="352"/>
      <c r="IEI20" s="352"/>
      <c r="IEJ20" s="352"/>
      <c r="IEK20" s="352"/>
      <c r="IEL20" s="352"/>
      <c r="IEM20" s="352"/>
      <c r="IEN20" s="352"/>
      <c r="IEO20" s="352"/>
      <c r="IEP20" s="352"/>
      <c r="IEQ20" s="352"/>
      <c r="IER20" s="352"/>
      <c r="IES20" s="352"/>
      <c r="IET20" s="352"/>
      <c r="IEU20" s="352"/>
      <c r="IEV20" s="352"/>
      <c r="IEW20" s="352"/>
      <c r="IEX20" s="352"/>
      <c r="IEY20" s="352"/>
      <c r="IEZ20" s="352"/>
      <c r="IFA20" s="352"/>
      <c r="IFB20" s="352"/>
      <c r="IFC20" s="352"/>
      <c r="IFD20" s="352"/>
      <c r="IFE20" s="352"/>
      <c r="IFF20" s="352"/>
      <c r="IFG20" s="352"/>
      <c r="IFH20" s="352"/>
      <c r="IFI20" s="352"/>
      <c r="IFJ20" s="352"/>
      <c r="IFK20" s="352"/>
      <c r="IFL20" s="352"/>
      <c r="IFM20" s="352"/>
      <c r="IFN20" s="352"/>
      <c r="IFO20" s="352"/>
      <c r="IFP20" s="352"/>
      <c r="IFQ20" s="352"/>
      <c r="IFR20" s="352"/>
      <c r="IFS20" s="352"/>
      <c r="IFT20" s="352"/>
      <c r="IFU20" s="352"/>
      <c r="IFV20" s="352"/>
      <c r="IFW20" s="352"/>
      <c r="IFX20" s="352"/>
      <c r="IFY20" s="352"/>
      <c r="IFZ20" s="352"/>
      <c r="IGA20" s="352"/>
      <c r="IGB20" s="352"/>
      <c r="IGC20" s="352"/>
      <c r="IGD20" s="352"/>
      <c r="IGE20" s="352"/>
      <c r="IGF20" s="352"/>
      <c r="IGG20" s="352"/>
      <c r="IGH20" s="352"/>
      <c r="IGI20" s="352"/>
      <c r="IGJ20" s="352"/>
      <c r="IGK20" s="352"/>
      <c r="IGL20" s="352"/>
      <c r="IGM20" s="352"/>
      <c r="IGN20" s="352"/>
      <c r="IGO20" s="352"/>
      <c r="IGP20" s="352"/>
      <c r="IGQ20" s="352"/>
      <c r="IGR20" s="352"/>
      <c r="IGS20" s="352"/>
      <c r="IGT20" s="352"/>
      <c r="IGU20" s="352"/>
      <c r="IGV20" s="352"/>
      <c r="IGW20" s="352"/>
      <c r="IGX20" s="352"/>
      <c r="IGY20" s="352"/>
      <c r="IGZ20" s="352"/>
      <c r="IHA20" s="352"/>
      <c r="IHB20" s="352"/>
      <c r="IHC20" s="352"/>
      <c r="IHD20" s="352"/>
      <c r="IHE20" s="352"/>
      <c r="IHF20" s="352"/>
      <c r="IHG20" s="352"/>
      <c r="IHH20" s="352"/>
      <c r="IHI20" s="352"/>
      <c r="IHJ20" s="352"/>
      <c r="IHK20" s="352"/>
      <c r="IHL20" s="352"/>
      <c r="IHM20" s="352"/>
      <c r="IHN20" s="352"/>
      <c r="IHO20" s="352"/>
      <c r="IHP20" s="352"/>
      <c r="IHQ20" s="352"/>
      <c r="IHR20" s="352"/>
      <c r="IHS20" s="352"/>
      <c r="IHT20" s="352"/>
      <c r="IHU20" s="352"/>
      <c r="IHV20" s="352"/>
      <c r="IHW20" s="352"/>
      <c r="IHX20" s="352"/>
      <c r="IHY20" s="352"/>
      <c r="IHZ20" s="352"/>
      <c r="IIA20" s="352"/>
      <c r="IIB20" s="352"/>
      <c r="IIC20" s="352"/>
      <c r="IID20" s="352"/>
      <c r="IIE20" s="352"/>
      <c r="IIF20" s="352"/>
      <c r="IIG20" s="352"/>
      <c r="IIH20" s="352"/>
      <c r="III20" s="352"/>
      <c r="IIJ20" s="352"/>
      <c r="IIK20" s="352"/>
      <c r="IIL20" s="352"/>
      <c r="IIM20" s="352"/>
      <c r="IIN20" s="352"/>
      <c r="IIO20" s="352"/>
      <c r="IIP20" s="352"/>
      <c r="IIQ20" s="352"/>
      <c r="IIR20" s="352"/>
      <c r="IIS20" s="352"/>
      <c r="IIT20" s="352"/>
      <c r="IIU20" s="352"/>
      <c r="IIV20" s="352"/>
      <c r="IIW20" s="352"/>
      <c r="IIX20" s="352"/>
      <c r="IIY20" s="352"/>
      <c r="IIZ20" s="352"/>
      <c r="IJA20" s="352"/>
      <c r="IJB20" s="352"/>
      <c r="IJC20" s="352"/>
      <c r="IJD20" s="352"/>
      <c r="IJE20" s="352"/>
      <c r="IJF20" s="352"/>
      <c r="IJG20" s="352"/>
      <c r="IJH20" s="352"/>
      <c r="IJI20" s="352"/>
      <c r="IJJ20" s="352"/>
      <c r="IJK20" s="352"/>
      <c r="IJL20" s="352"/>
      <c r="IJM20" s="352"/>
      <c r="IJN20" s="352"/>
      <c r="IJO20" s="352"/>
      <c r="IJP20" s="352"/>
      <c r="IJQ20" s="352"/>
      <c r="IJR20" s="352"/>
      <c r="IJS20" s="352"/>
      <c r="IJT20" s="352"/>
      <c r="IJU20" s="352"/>
      <c r="IJV20" s="352"/>
      <c r="IJW20" s="352"/>
      <c r="IJX20" s="352"/>
      <c r="IJY20" s="352"/>
      <c r="IJZ20" s="352"/>
      <c r="IKA20" s="352"/>
      <c r="IKB20" s="352"/>
      <c r="IKC20" s="352"/>
      <c r="IKD20" s="352"/>
      <c r="IKE20" s="352"/>
      <c r="IKF20" s="352"/>
      <c r="IKG20" s="352"/>
      <c r="IKH20" s="352"/>
      <c r="IKI20" s="352"/>
      <c r="IKJ20" s="352"/>
      <c r="IKK20" s="352"/>
      <c r="IKL20" s="352"/>
      <c r="IKM20" s="352"/>
      <c r="IKN20" s="352"/>
      <c r="IKO20" s="352"/>
      <c r="IKP20" s="352"/>
      <c r="IKQ20" s="352"/>
      <c r="IKR20" s="352"/>
      <c r="IKS20" s="352"/>
      <c r="IKT20" s="352"/>
      <c r="IKU20" s="352"/>
      <c r="IKV20" s="352"/>
      <c r="IKW20" s="352"/>
      <c r="IKX20" s="352"/>
      <c r="IKY20" s="352"/>
      <c r="IKZ20" s="352"/>
      <c r="ILA20" s="352"/>
      <c r="ILB20" s="352"/>
      <c r="ILC20" s="352"/>
      <c r="ILD20" s="352"/>
      <c r="ILE20" s="352"/>
      <c r="ILF20" s="352"/>
      <c r="ILG20" s="352"/>
      <c r="ILH20" s="352"/>
      <c r="ILI20" s="352"/>
      <c r="ILJ20" s="352"/>
      <c r="ILK20" s="352"/>
      <c r="ILL20" s="352"/>
      <c r="ILM20" s="352"/>
      <c r="ILN20" s="352"/>
      <c r="ILO20" s="352"/>
      <c r="ILP20" s="352"/>
      <c r="ILQ20" s="352"/>
      <c r="ILR20" s="352"/>
      <c r="ILS20" s="352"/>
      <c r="ILT20" s="352"/>
      <c r="ILU20" s="352"/>
      <c r="ILV20" s="352"/>
      <c r="ILW20" s="352"/>
      <c r="ILX20" s="352"/>
      <c r="ILY20" s="352"/>
      <c r="ILZ20" s="352"/>
      <c r="IMA20" s="352"/>
      <c r="IMB20" s="352"/>
      <c r="IMC20" s="352"/>
      <c r="IMD20" s="352"/>
      <c r="IME20" s="352"/>
      <c r="IMF20" s="352"/>
      <c r="IMG20" s="352"/>
      <c r="IMH20" s="352"/>
      <c r="IMI20" s="352"/>
      <c r="IMJ20" s="352"/>
      <c r="IMK20" s="352"/>
      <c r="IML20" s="352"/>
      <c r="IMM20" s="352"/>
      <c r="IMN20" s="352"/>
      <c r="IMO20" s="352"/>
      <c r="IMP20" s="352"/>
      <c r="IMQ20" s="352"/>
      <c r="IMR20" s="352"/>
      <c r="IMS20" s="352"/>
      <c r="IMT20" s="352"/>
      <c r="IMU20" s="352"/>
      <c r="IMV20" s="352"/>
      <c r="IMW20" s="352"/>
      <c r="IMX20" s="352"/>
      <c r="IMY20" s="352"/>
      <c r="IMZ20" s="352"/>
      <c r="INA20" s="352"/>
      <c r="INB20" s="352"/>
      <c r="INC20" s="352"/>
      <c r="IND20" s="352"/>
      <c r="INE20" s="352"/>
      <c r="INF20" s="352"/>
      <c r="ING20" s="352"/>
      <c r="INH20" s="352"/>
      <c r="INI20" s="352"/>
      <c r="INJ20" s="352"/>
      <c r="INK20" s="352"/>
      <c r="INL20" s="352"/>
      <c r="INM20" s="352"/>
      <c r="INN20" s="352"/>
      <c r="INO20" s="352"/>
      <c r="INP20" s="352"/>
      <c r="INQ20" s="352"/>
      <c r="INR20" s="352"/>
      <c r="INS20" s="352"/>
      <c r="INT20" s="352"/>
      <c r="INU20" s="352"/>
      <c r="INV20" s="352"/>
      <c r="INW20" s="352"/>
      <c r="INX20" s="352"/>
      <c r="INY20" s="352"/>
      <c r="INZ20" s="352"/>
      <c r="IOA20" s="352"/>
      <c r="IOB20" s="352"/>
      <c r="IOC20" s="352"/>
      <c r="IOD20" s="352"/>
      <c r="IOE20" s="352"/>
      <c r="IOF20" s="352"/>
      <c r="IOG20" s="352"/>
      <c r="IOH20" s="352"/>
      <c r="IOI20" s="352"/>
      <c r="IOJ20" s="352"/>
      <c r="IOK20" s="352"/>
      <c r="IOL20" s="352"/>
      <c r="IOM20" s="352"/>
      <c r="ION20" s="352"/>
      <c r="IOO20" s="352"/>
      <c r="IOP20" s="352"/>
      <c r="IOQ20" s="352"/>
      <c r="IOR20" s="352"/>
      <c r="IOS20" s="352"/>
      <c r="IOT20" s="352"/>
      <c r="IOU20" s="352"/>
      <c r="IOV20" s="352"/>
      <c r="IOW20" s="352"/>
      <c r="IOX20" s="352"/>
      <c r="IOY20" s="352"/>
      <c r="IOZ20" s="352"/>
      <c r="IPA20" s="352"/>
      <c r="IPB20" s="352"/>
      <c r="IPC20" s="352"/>
      <c r="IPD20" s="352"/>
      <c r="IPE20" s="352"/>
      <c r="IPF20" s="352"/>
      <c r="IPG20" s="352"/>
      <c r="IPH20" s="352"/>
      <c r="IPI20" s="352"/>
      <c r="IPJ20" s="352"/>
      <c r="IPK20" s="352"/>
      <c r="IPL20" s="352"/>
      <c r="IPM20" s="352"/>
      <c r="IPN20" s="352"/>
      <c r="IPO20" s="352"/>
      <c r="IPP20" s="352"/>
      <c r="IPQ20" s="352"/>
      <c r="IPR20" s="352"/>
      <c r="IPS20" s="352"/>
      <c r="IPT20" s="352"/>
      <c r="IPU20" s="352"/>
      <c r="IPV20" s="352"/>
      <c r="IPW20" s="352"/>
      <c r="IPX20" s="352"/>
      <c r="IPY20" s="352"/>
      <c r="IPZ20" s="352"/>
      <c r="IQA20" s="352"/>
      <c r="IQB20" s="352"/>
      <c r="IQC20" s="352"/>
      <c r="IQD20" s="352"/>
      <c r="IQE20" s="352"/>
      <c r="IQF20" s="352"/>
      <c r="IQG20" s="352"/>
      <c r="IQH20" s="352"/>
      <c r="IQI20" s="352"/>
      <c r="IQJ20" s="352"/>
      <c r="IQK20" s="352"/>
      <c r="IQL20" s="352"/>
      <c r="IQM20" s="352"/>
      <c r="IQN20" s="352"/>
      <c r="IQO20" s="352"/>
      <c r="IQP20" s="352"/>
      <c r="IQQ20" s="352"/>
      <c r="IQR20" s="352"/>
      <c r="IQS20" s="352"/>
      <c r="IQT20" s="352"/>
      <c r="IQU20" s="352"/>
      <c r="IQV20" s="352"/>
      <c r="IQW20" s="352"/>
      <c r="IQX20" s="352"/>
      <c r="IQY20" s="352"/>
      <c r="IQZ20" s="352"/>
      <c r="IRA20" s="352"/>
      <c r="IRB20" s="352"/>
      <c r="IRC20" s="352"/>
      <c r="IRD20" s="352"/>
      <c r="IRE20" s="352"/>
      <c r="IRF20" s="352"/>
      <c r="IRG20" s="352"/>
      <c r="IRH20" s="352"/>
      <c r="IRI20" s="352"/>
      <c r="IRJ20" s="352"/>
      <c r="IRK20" s="352"/>
      <c r="IRL20" s="352"/>
      <c r="IRM20" s="352"/>
      <c r="IRN20" s="352"/>
      <c r="IRO20" s="352"/>
      <c r="IRP20" s="352"/>
      <c r="IRQ20" s="352"/>
      <c r="IRR20" s="352"/>
      <c r="IRS20" s="352"/>
      <c r="IRT20" s="352"/>
      <c r="IRU20" s="352"/>
      <c r="IRV20" s="352"/>
      <c r="IRW20" s="352"/>
      <c r="IRX20" s="352"/>
      <c r="IRY20" s="352"/>
      <c r="IRZ20" s="352"/>
      <c r="ISA20" s="352"/>
      <c r="ISB20" s="352"/>
      <c r="ISC20" s="352"/>
      <c r="ISD20" s="352"/>
      <c r="ISE20" s="352"/>
      <c r="ISF20" s="352"/>
      <c r="ISG20" s="352"/>
      <c r="ISH20" s="352"/>
      <c r="ISI20" s="352"/>
      <c r="ISJ20" s="352"/>
      <c r="ISK20" s="352"/>
      <c r="ISL20" s="352"/>
      <c r="ISM20" s="352"/>
      <c r="ISN20" s="352"/>
      <c r="ISO20" s="352"/>
      <c r="ISP20" s="352"/>
      <c r="ISQ20" s="352"/>
      <c r="ISR20" s="352"/>
      <c r="ISS20" s="352"/>
      <c r="IST20" s="352"/>
      <c r="ISU20" s="352"/>
      <c r="ISV20" s="352"/>
      <c r="ISW20" s="352"/>
      <c r="ISX20" s="352"/>
      <c r="ISY20" s="352"/>
      <c r="ISZ20" s="352"/>
      <c r="ITA20" s="352"/>
      <c r="ITB20" s="352"/>
      <c r="ITC20" s="352"/>
      <c r="ITD20" s="352"/>
      <c r="ITE20" s="352"/>
      <c r="ITF20" s="352"/>
      <c r="ITG20" s="352"/>
      <c r="ITH20" s="352"/>
      <c r="ITI20" s="352"/>
      <c r="ITJ20" s="352"/>
      <c r="ITK20" s="352"/>
      <c r="ITL20" s="352"/>
      <c r="ITM20" s="352"/>
      <c r="ITN20" s="352"/>
      <c r="ITO20" s="352"/>
      <c r="ITP20" s="352"/>
      <c r="ITQ20" s="352"/>
      <c r="ITR20" s="352"/>
      <c r="ITS20" s="352"/>
      <c r="ITT20" s="352"/>
      <c r="ITU20" s="352"/>
      <c r="ITV20" s="352"/>
      <c r="ITW20" s="352"/>
      <c r="ITX20" s="352"/>
      <c r="ITY20" s="352"/>
      <c r="ITZ20" s="352"/>
      <c r="IUA20" s="352"/>
      <c r="IUB20" s="352"/>
      <c r="IUC20" s="352"/>
      <c r="IUD20" s="352"/>
      <c r="IUE20" s="352"/>
      <c r="IUF20" s="352"/>
      <c r="IUG20" s="352"/>
      <c r="IUH20" s="352"/>
      <c r="IUI20" s="352"/>
      <c r="IUJ20" s="352"/>
      <c r="IUK20" s="352"/>
      <c r="IUL20" s="352"/>
      <c r="IUM20" s="352"/>
      <c r="IUN20" s="352"/>
      <c r="IUO20" s="352"/>
      <c r="IUP20" s="352"/>
      <c r="IUQ20" s="352"/>
      <c r="IUR20" s="352"/>
      <c r="IUS20" s="352"/>
      <c r="IUT20" s="352"/>
      <c r="IUU20" s="352"/>
      <c r="IUV20" s="352"/>
      <c r="IUW20" s="352"/>
      <c r="IUX20" s="352"/>
      <c r="IUY20" s="352"/>
      <c r="IUZ20" s="352"/>
      <c r="IVA20" s="352"/>
      <c r="IVB20" s="352"/>
      <c r="IVC20" s="352"/>
      <c r="IVD20" s="352"/>
      <c r="IVE20" s="352"/>
      <c r="IVF20" s="352"/>
      <c r="IVG20" s="352"/>
      <c r="IVH20" s="352"/>
      <c r="IVI20" s="352"/>
      <c r="IVJ20" s="352"/>
      <c r="IVK20" s="352"/>
      <c r="IVL20" s="352"/>
      <c r="IVM20" s="352"/>
      <c r="IVN20" s="352"/>
      <c r="IVO20" s="352"/>
      <c r="IVP20" s="352"/>
      <c r="IVQ20" s="352"/>
      <c r="IVR20" s="352"/>
      <c r="IVS20" s="352"/>
      <c r="IVT20" s="352"/>
      <c r="IVU20" s="352"/>
      <c r="IVV20" s="352"/>
      <c r="IVW20" s="352"/>
      <c r="IVX20" s="352"/>
      <c r="IVY20" s="352"/>
      <c r="IVZ20" s="352"/>
      <c r="IWA20" s="352"/>
      <c r="IWB20" s="352"/>
      <c r="IWC20" s="352"/>
      <c r="IWD20" s="352"/>
      <c r="IWE20" s="352"/>
      <c r="IWF20" s="352"/>
      <c r="IWG20" s="352"/>
      <c r="IWH20" s="352"/>
      <c r="IWI20" s="352"/>
      <c r="IWJ20" s="352"/>
      <c r="IWK20" s="352"/>
      <c r="IWL20" s="352"/>
      <c r="IWM20" s="352"/>
      <c r="IWN20" s="352"/>
      <c r="IWO20" s="352"/>
      <c r="IWP20" s="352"/>
      <c r="IWQ20" s="352"/>
      <c r="IWR20" s="352"/>
      <c r="IWS20" s="352"/>
      <c r="IWT20" s="352"/>
      <c r="IWU20" s="352"/>
      <c r="IWV20" s="352"/>
      <c r="IWW20" s="352"/>
      <c r="IWX20" s="352"/>
      <c r="IWY20" s="352"/>
      <c r="IWZ20" s="352"/>
      <c r="IXA20" s="352"/>
      <c r="IXB20" s="352"/>
      <c r="IXC20" s="352"/>
      <c r="IXD20" s="352"/>
      <c r="IXE20" s="352"/>
      <c r="IXF20" s="352"/>
      <c r="IXG20" s="352"/>
      <c r="IXH20" s="352"/>
      <c r="IXI20" s="352"/>
      <c r="IXJ20" s="352"/>
      <c r="IXK20" s="352"/>
      <c r="IXL20" s="352"/>
      <c r="IXM20" s="352"/>
      <c r="IXN20" s="352"/>
      <c r="IXO20" s="352"/>
      <c r="IXP20" s="352"/>
      <c r="IXQ20" s="352"/>
      <c r="IXR20" s="352"/>
      <c r="IXS20" s="352"/>
      <c r="IXT20" s="352"/>
      <c r="IXU20" s="352"/>
      <c r="IXV20" s="352"/>
      <c r="IXW20" s="352"/>
      <c r="IXX20" s="352"/>
      <c r="IXY20" s="352"/>
      <c r="IXZ20" s="352"/>
      <c r="IYA20" s="352"/>
      <c r="IYB20" s="352"/>
      <c r="IYC20" s="352"/>
      <c r="IYD20" s="352"/>
      <c r="IYE20" s="352"/>
      <c r="IYF20" s="352"/>
      <c r="IYG20" s="352"/>
      <c r="IYH20" s="352"/>
      <c r="IYI20" s="352"/>
      <c r="IYJ20" s="352"/>
      <c r="IYK20" s="352"/>
      <c r="IYL20" s="352"/>
      <c r="IYM20" s="352"/>
      <c r="IYN20" s="352"/>
      <c r="IYO20" s="352"/>
      <c r="IYP20" s="352"/>
      <c r="IYQ20" s="352"/>
      <c r="IYR20" s="352"/>
      <c r="IYS20" s="352"/>
      <c r="IYT20" s="352"/>
      <c r="IYU20" s="352"/>
      <c r="IYV20" s="352"/>
      <c r="IYW20" s="352"/>
      <c r="IYX20" s="352"/>
      <c r="IYY20" s="352"/>
      <c r="IYZ20" s="352"/>
      <c r="IZA20" s="352"/>
      <c r="IZB20" s="352"/>
      <c r="IZC20" s="352"/>
      <c r="IZD20" s="352"/>
      <c r="IZE20" s="352"/>
      <c r="IZF20" s="352"/>
      <c r="IZG20" s="352"/>
      <c r="IZH20" s="352"/>
      <c r="IZI20" s="352"/>
      <c r="IZJ20" s="352"/>
      <c r="IZK20" s="352"/>
      <c r="IZL20" s="352"/>
      <c r="IZM20" s="352"/>
      <c r="IZN20" s="352"/>
      <c r="IZO20" s="352"/>
      <c r="IZP20" s="352"/>
      <c r="IZQ20" s="352"/>
      <c r="IZR20" s="352"/>
      <c r="IZS20" s="352"/>
      <c r="IZT20" s="352"/>
      <c r="IZU20" s="352"/>
      <c r="IZV20" s="352"/>
      <c r="IZW20" s="352"/>
      <c r="IZX20" s="352"/>
      <c r="IZY20" s="352"/>
      <c r="IZZ20" s="352"/>
      <c r="JAA20" s="352"/>
      <c r="JAB20" s="352"/>
      <c r="JAC20" s="352"/>
      <c r="JAD20" s="352"/>
      <c r="JAE20" s="352"/>
      <c r="JAF20" s="352"/>
      <c r="JAG20" s="352"/>
      <c r="JAH20" s="352"/>
      <c r="JAI20" s="352"/>
      <c r="JAJ20" s="352"/>
      <c r="JAK20" s="352"/>
      <c r="JAL20" s="352"/>
      <c r="JAM20" s="352"/>
      <c r="JAN20" s="352"/>
      <c r="JAO20" s="352"/>
      <c r="JAP20" s="352"/>
      <c r="JAQ20" s="352"/>
      <c r="JAR20" s="352"/>
      <c r="JAS20" s="352"/>
      <c r="JAT20" s="352"/>
      <c r="JAU20" s="352"/>
      <c r="JAV20" s="352"/>
      <c r="JAW20" s="352"/>
      <c r="JAX20" s="352"/>
      <c r="JAY20" s="352"/>
      <c r="JAZ20" s="352"/>
      <c r="JBA20" s="352"/>
      <c r="JBB20" s="352"/>
      <c r="JBC20" s="352"/>
      <c r="JBD20" s="352"/>
      <c r="JBE20" s="352"/>
      <c r="JBF20" s="352"/>
      <c r="JBG20" s="352"/>
      <c r="JBH20" s="352"/>
      <c r="JBI20" s="352"/>
      <c r="JBJ20" s="352"/>
      <c r="JBK20" s="352"/>
      <c r="JBL20" s="352"/>
      <c r="JBM20" s="352"/>
      <c r="JBN20" s="352"/>
      <c r="JBO20" s="352"/>
      <c r="JBP20" s="352"/>
      <c r="JBQ20" s="352"/>
      <c r="JBR20" s="352"/>
      <c r="JBS20" s="352"/>
      <c r="JBT20" s="352"/>
      <c r="JBU20" s="352"/>
      <c r="JBV20" s="352"/>
      <c r="JBW20" s="352"/>
      <c r="JBX20" s="352"/>
      <c r="JBY20" s="352"/>
      <c r="JBZ20" s="352"/>
      <c r="JCA20" s="352"/>
      <c r="JCB20" s="352"/>
      <c r="JCC20" s="352"/>
      <c r="JCD20" s="352"/>
      <c r="JCE20" s="352"/>
      <c r="JCF20" s="352"/>
      <c r="JCG20" s="352"/>
      <c r="JCH20" s="352"/>
      <c r="JCI20" s="352"/>
      <c r="JCJ20" s="352"/>
      <c r="JCK20" s="352"/>
      <c r="JCL20" s="352"/>
      <c r="JCM20" s="352"/>
      <c r="JCN20" s="352"/>
      <c r="JCO20" s="352"/>
      <c r="JCP20" s="352"/>
      <c r="JCQ20" s="352"/>
      <c r="JCR20" s="352"/>
      <c r="JCS20" s="352"/>
      <c r="JCT20" s="352"/>
      <c r="JCU20" s="352"/>
      <c r="JCV20" s="352"/>
      <c r="JCW20" s="352"/>
      <c r="JCX20" s="352"/>
      <c r="JCY20" s="352"/>
      <c r="JCZ20" s="352"/>
      <c r="JDA20" s="352"/>
      <c r="JDB20" s="352"/>
      <c r="JDC20" s="352"/>
      <c r="JDD20" s="352"/>
      <c r="JDE20" s="352"/>
      <c r="JDF20" s="352"/>
      <c r="JDG20" s="352"/>
      <c r="JDH20" s="352"/>
      <c r="JDI20" s="352"/>
      <c r="JDJ20" s="352"/>
      <c r="JDK20" s="352"/>
      <c r="JDL20" s="352"/>
      <c r="JDM20" s="352"/>
      <c r="JDN20" s="352"/>
      <c r="JDO20" s="352"/>
      <c r="JDP20" s="352"/>
      <c r="JDQ20" s="352"/>
      <c r="JDR20" s="352"/>
      <c r="JDS20" s="352"/>
      <c r="JDT20" s="352"/>
      <c r="JDU20" s="352"/>
      <c r="JDV20" s="352"/>
      <c r="JDW20" s="352"/>
      <c r="JDX20" s="352"/>
      <c r="JDY20" s="352"/>
      <c r="JDZ20" s="352"/>
      <c r="JEA20" s="352"/>
      <c r="JEB20" s="352"/>
      <c r="JEC20" s="352"/>
      <c r="JED20" s="352"/>
      <c r="JEE20" s="352"/>
      <c r="JEF20" s="352"/>
      <c r="JEG20" s="352"/>
      <c r="JEH20" s="352"/>
      <c r="JEI20" s="352"/>
      <c r="JEJ20" s="352"/>
      <c r="JEK20" s="352"/>
      <c r="JEL20" s="352"/>
      <c r="JEM20" s="352"/>
      <c r="JEN20" s="352"/>
      <c r="JEO20" s="352"/>
      <c r="JEP20" s="352"/>
      <c r="JEQ20" s="352"/>
      <c r="JER20" s="352"/>
      <c r="JES20" s="352"/>
      <c r="JET20" s="352"/>
      <c r="JEU20" s="352"/>
      <c r="JEV20" s="352"/>
      <c r="JEW20" s="352"/>
      <c r="JEX20" s="352"/>
      <c r="JEY20" s="352"/>
      <c r="JEZ20" s="352"/>
      <c r="JFA20" s="352"/>
      <c r="JFB20" s="352"/>
      <c r="JFC20" s="352"/>
      <c r="JFD20" s="352"/>
      <c r="JFE20" s="352"/>
      <c r="JFF20" s="352"/>
      <c r="JFG20" s="352"/>
      <c r="JFH20" s="352"/>
      <c r="JFI20" s="352"/>
      <c r="JFJ20" s="352"/>
      <c r="JFK20" s="352"/>
      <c r="JFL20" s="352"/>
      <c r="JFM20" s="352"/>
      <c r="JFN20" s="352"/>
      <c r="JFO20" s="352"/>
      <c r="JFP20" s="352"/>
      <c r="JFQ20" s="352"/>
      <c r="JFR20" s="352"/>
      <c r="JFS20" s="352"/>
      <c r="JFT20" s="352"/>
      <c r="JFU20" s="352"/>
      <c r="JFV20" s="352"/>
      <c r="JFW20" s="352"/>
      <c r="JFX20" s="352"/>
      <c r="JFY20" s="352"/>
      <c r="JFZ20" s="352"/>
      <c r="JGA20" s="352"/>
      <c r="JGB20" s="352"/>
      <c r="JGC20" s="352"/>
      <c r="JGD20" s="352"/>
      <c r="JGE20" s="352"/>
      <c r="JGF20" s="352"/>
      <c r="JGG20" s="352"/>
      <c r="JGH20" s="352"/>
      <c r="JGI20" s="352"/>
      <c r="JGJ20" s="352"/>
      <c r="JGK20" s="352"/>
      <c r="JGL20" s="352"/>
      <c r="JGM20" s="352"/>
      <c r="JGN20" s="352"/>
      <c r="JGO20" s="352"/>
      <c r="JGP20" s="352"/>
      <c r="JGQ20" s="352"/>
      <c r="JGR20" s="352"/>
      <c r="JGS20" s="352"/>
      <c r="JGT20" s="352"/>
      <c r="JGU20" s="352"/>
      <c r="JGV20" s="352"/>
      <c r="JGW20" s="352"/>
      <c r="JGX20" s="352"/>
      <c r="JGY20" s="352"/>
      <c r="JGZ20" s="352"/>
      <c r="JHA20" s="352"/>
      <c r="JHB20" s="352"/>
      <c r="JHC20" s="352"/>
      <c r="JHD20" s="352"/>
      <c r="JHE20" s="352"/>
      <c r="JHF20" s="352"/>
      <c r="JHG20" s="352"/>
      <c r="JHH20" s="352"/>
      <c r="JHI20" s="352"/>
      <c r="JHJ20" s="352"/>
      <c r="JHK20" s="352"/>
      <c r="JHL20" s="352"/>
      <c r="JHM20" s="352"/>
      <c r="JHN20" s="352"/>
      <c r="JHO20" s="352"/>
      <c r="JHP20" s="352"/>
      <c r="JHQ20" s="352"/>
      <c r="JHR20" s="352"/>
      <c r="JHS20" s="352"/>
      <c r="JHT20" s="352"/>
      <c r="JHU20" s="352"/>
      <c r="JHV20" s="352"/>
      <c r="JHW20" s="352"/>
      <c r="JHX20" s="352"/>
      <c r="JHY20" s="352"/>
      <c r="JHZ20" s="352"/>
      <c r="JIA20" s="352"/>
      <c r="JIB20" s="352"/>
      <c r="JIC20" s="352"/>
      <c r="JID20" s="352"/>
      <c r="JIE20" s="352"/>
      <c r="JIF20" s="352"/>
      <c r="JIG20" s="352"/>
      <c r="JIH20" s="352"/>
      <c r="JII20" s="352"/>
      <c r="JIJ20" s="352"/>
      <c r="JIK20" s="352"/>
      <c r="JIL20" s="352"/>
      <c r="JIM20" s="352"/>
      <c r="JIN20" s="352"/>
      <c r="JIO20" s="352"/>
      <c r="JIP20" s="352"/>
      <c r="JIQ20" s="352"/>
      <c r="JIR20" s="352"/>
      <c r="JIS20" s="352"/>
      <c r="JIT20" s="352"/>
      <c r="JIU20" s="352"/>
      <c r="JIV20" s="352"/>
      <c r="JIW20" s="352"/>
      <c r="JIX20" s="352"/>
      <c r="JIY20" s="352"/>
      <c r="JIZ20" s="352"/>
      <c r="JJA20" s="352"/>
      <c r="JJB20" s="352"/>
      <c r="JJC20" s="352"/>
      <c r="JJD20" s="352"/>
      <c r="JJE20" s="352"/>
      <c r="JJF20" s="352"/>
      <c r="JJG20" s="352"/>
      <c r="JJH20" s="352"/>
      <c r="JJI20" s="352"/>
      <c r="JJJ20" s="352"/>
      <c r="JJK20" s="352"/>
      <c r="JJL20" s="352"/>
      <c r="JJM20" s="352"/>
      <c r="JJN20" s="352"/>
      <c r="JJO20" s="352"/>
      <c r="JJP20" s="352"/>
      <c r="JJQ20" s="352"/>
      <c r="JJR20" s="352"/>
      <c r="JJS20" s="352"/>
      <c r="JJT20" s="352"/>
      <c r="JJU20" s="352"/>
      <c r="JJV20" s="352"/>
      <c r="JJW20" s="352"/>
      <c r="JJX20" s="352"/>
      <c r="JJY20" s="352"/>
      <c r="JJZ20" s="352"/>
      <c r="JKA20" s="352"/>
      <c r="JKB20" s="352"/>
      <c r="JKC20" s="352"/>
      <c r="JKD20" s="352"/>
      <c r="JKE20" s="352"/>
      <c r="JKF20" s="352"/>
      <c r="JKG20" s="352"/>
      <c r="JKH20" s="352"/>
      <c r="JKI20" s="352"/>
      <c r="JKJ20" s="352"/>
      <c r="JKK20" s="352"/>
      <c r="JKL20" s="352"/>
      <c r="JKM20" s="352"/>
      <c r="JKN20" s="352"/>
      <c r="JKO20" s="352"/>
      <c r="JKP20" s="352"/>
      <c r="JKQ20" s="352"/>
      <c r="JKR20" s="352"/>
      <c r="JKS20" s="352"/>
      <c r="JKT20" s="352"/>
      <c r="JKU20" s="352"/>
      <c r="JKV20" s="352"/>
      <c r="JKW20" s="352"/>
      <c r="JKX20" s="352"/>
      <c r="JKY20" s="352"/>
      <c r="JKZ20" s="352"/>
      <c r="JLA20" s="352"/>
      <c r="JLB20" s="352"/>
      <c r="JLC20" s="352"/>
      <c r="JLD20" s="352"/>
      <c r="JLE20" s="352"/>
      <c r="JLF20" s="352"/>
      <c r="JLG20" s="352"/>
      <c r="JLH20" s="352"/>
      <c r="JLI20" s="352"/>
      <c r="JLJ20" s="352"/>
      <c r="JLK20" s="352"/>
      <c r="JLL20" s="352"/>
      <c r="JLM20" s="352"/>
      <c r="JLN20" s="352"/>
      <c r="JLO20" s="352"/>
      <c r="JLP20" s="352"/>
      <c r="JLQ20" s="352"/>
      <c r="JLR20" s="352"/>
      <c r="JLS20" s="352"/>
      <c r="JLT20" s="352"/>
      <c r="JLU20" s="352"/>
      <c r="JLV20" s="352"/>
      <c r="JLW20" s="352"/>
      <c r="JLX20" s="352"/>
      <c r="JLY20" s="352"/>
      <c r="JLZ20" s="352"/>
      <c r="JMA20" s="352"/>
      <c r="JMB20" s="352"/>
      <c r="JMC20" s="352"/>
      <c r="JMD20" s="352"/>
      <c r="JME20" s="352"/>
      <c r="JMF20" s="352"/>
      <c r="JMG20" s="352"/>
      <c r="JMH20" s="352"/>
      <c r="JMI20" s="352"/>
      <c r="JMJ20" s="352"/>
      <c r="JMK20" s="352"/>
      <c r="JML20" s="352"/>
      <c r="JMM20" s="352"/>
      <c r="JMN20" s="352"/>
      <c r="JMO20" s="352"/>
      <c r="JMP20" s="352"/>
      <c r="JMQ20" s="352"/>
      <c r="JMR20" s="352"/>
      <c r="JMS20" s="352"/>
      <c r="JMT20" s="352"/>
      <c r="JMU20" s="352"/>
      <c r="JMV20" s="352"/>
      <c r="JMW20" s="352"/>
      <c r="JMX20" s="352"/>
      <c r="JMY20" s="352"/>
      <c r="JMZ20" s="352"/>
      <c r="JNA20" s="352"/>
      <c r="JNB20" s="352"/>
      <c r="JNC20" s="352"/>
      <c r="JND20" s="352"/>
      <c r="JNE20" s="352"/>
      <c r="JNF20" s="352"/>
      <c r="JNG20" s="352"/>
      <c r="JNH20" s="352"/>
      <c r="JNI20" s="352"/>
      <c r="JNJ20" s="352"/>
      <c r="JNK20" s="352"/>
      <c r="JNL20" s="352"/>
      <c r="JNM20" s="352"/>
      <c r="JNN20" s="352"/>
      <c r="JNO20" s="352"/>
      <c r="JNP20" s="352"/>
      <c r="JNQ20" s="352"/>
      <c r="JNR20" s="352"/>
      <c r="JNS20" s="352"/>
      <c r="JNT20" s="352"/>
      <c r="JNU20" s="352"/>
      <c r="JNV20" s="352"/>
      <c r="JNW20" s="352"/>
      <c r="JNX20" s="352"/>
      <c r="JNY20" s="352"/>
      <c r="JNZ20" s="352"/>
      <c r="JOA20" s="352"/>
      <c r="JOB20" s="352"/>
      <c r="JOC20" s="352"/>
      <c r="JOD20" s="352"/>
      <c r="JOE20" s="352"/>
      <c r="JOF20" s="352"/>
      <c r="JOG20" s="352"/>
      <c r="JOH20" s="352"/>
      <c r="JOI20" s="352"/>
      <c r="JOJ20" s="352"/>
      <c r="JOK20" s="352"/>
      <c r="JOL20" s="352"/>
      <c r="JOM20" s="352"/>
      <c r="JON20" s="352"/>
      <c r="JOO20" s="352"/>
      <c r="JOP20" s="352"/>
      <c r="JOQ20" s="352"/>
      <c r="JOR20" s="352"/>
      <c r="JOS20" s="352"/>
      <c r="JOT20" s="352"/>
      <c r="JOU20" s="352"/>
      <c r="JOV20" s="352"/>
      <c r="JOW20" s="352"/>
      <c r="JOX20" s="352"/>
      <c r="JOY20" s="352"/>
      <c r="JOZ20" s="352"/>
      <c r="JPA20" s="352"/>
      <c r="JPB20" s="352"/>
      <c r="JPC20" s="352"/>
      <c r="JPD20" s="352"/>
      <c r="JPE20" s="352"/>
      <c r="JPF20" s="352"/>
      <c r="JPG20" s="352"/>
      <c r="JPH20" s="352"/>
      <c r="JPI20" s="352"/>
      <c r="JPJ20" s="352"/>
      <c r="JPK20" s="352"/>
      <c r="JPL20" s="352"/>
      <c r="JPM20" s="352"/>
      <c r="JPN20" s="352"/>
      <c r="JPO20" s="352"/>
      <c r="JPP20" s="352"/>
      <c r="JPQ20" s="352"/>
      <c r="JPR20" s="352"/>
      <c r="JPS20" s="352"/>
      <c r="JPT20" s="352"/>
      <c r="JPU20" s="352"/>
      <c r="JPV20" s="352"/>
      <c r="JPW20" s="352"/>
      <c r="JPX20" s="352"/>
      <c r="JPY20" s="352"/>
      <c r="JPZ20" s="352"/>
      <c r="JQA20" s="352"/>
      <c r="JQB20" s="352"/>
      <c r="JQC20" s="352"/>
      <c r="JQD20" s="352"/>
      <c r="JQE20" s="352"/>
      <c r="JQF20" s="352"/>
      <c r="JQG20" s="352"/>
      <c r="JQH20" s="352"/>
      <c r="JQI20" s="352"/>
      <c r="JQJ20" s="352"/>
      <c r="JQK20" s="352"/>
      <c r="JQL20" s="352"/>
      <c r="JQM20" s="352"/>
      <c r="JQN20" s="352"/>
      <c r="JQO20" s="352"/>
      <c r="JQP20" s="352"/>
      <c r="JQQ20" s="352"/>
      <c r="JQR20" s="352"/>
      <c r="JQS20" s="352"/>
      <c r="JQT20" s="352"/>
      <c r="JQU20" s="352"/>
      <c r="JQV20" s="352"/>
      <c r="JQW20" s="352"/>
      <c r="JQX20" s="352"/>
      <c r="JQY20" s="352"/>
      <c r="JQZ20" s="352"/>
      <c r="JRA20" s="352"/>
      <c r="JRB20" s="352"/>
      <c r="JRC20" s="352"/>
      <c r="JRD20" s="352"/>
      <c r="JRE20" s="352"/>
      <c r="JRF20" s="352"/>
      <c r="JRG20" s="352"/>
      <c r="JRH20" s="352"/>
      <c r="JRI20" s="352"/>
      <c r="JRJ20" s="352"/>
      <c r="JRK20" s="352"/>
      <c r="JRL20" s="352"/>
      <c r="JRM20" s="352"/>
      <c r="JRN20" s="352"/>
      <c r="JRO20" s="352"/>
      <c r="JRP20" s="352"/>
      <c r="JRQ20" s="352"/>
      <c r="JRR20" s="352"/>
      <c r="JRS20" s="352"/>
      <c r="JRT20" s="352"/>
      <c r="JRU20" s="352"/>
      <c r="JRV20" s="352"/>
      <c r="JRW20" s="352"/>
      <c r="JRX20" s="352"/>
      <c r="JRY20" s="352"/>
      <c r="JRZ20" s="352"/>
      <c r="JSA20" s="352"/>
      <c r="JSB20" s="352"/>
      <c r="JSC20" s="352"/>
      <c r="JSD20" s="352"/>
      <c r="JSE20" s="352"/>
      <c r="JSF20" s="352"/>
      <c r="JSG20" s="352"/>
      <c r="JSH20" s="352"/>
      <c r="JSI20" s="352"/>
      <c r="JSJ20" s="352"/>
      <c r="JSK20" s="352"/>
      <c r="JSL20" s="352"/>
      <c r="JSM20" s="352"/>
      <c r="JSN20" s="352"/>
      <c r="JSO20" s="352"/>
      <c r="JSP20" s="352"/>
      <c r="JSQ20" s="352"/>
      <c r="JSR20" s="352"/>
      <c r="JSS20" s="352"/>
      <c r="JST20" s="352"/>
      <c r="JSU20" s="352"/>
      <c r="JSV20" s="352"/>
      <c r="JSW20" s="352"/>
      <c r="JSX20" s="352"/>
      <c r="JSY20" s="352"/>
      <c r="JSZ20" s="352"/>
      <c r="JTA20" s="352"/>
      <c r="JTB20" s="352"/>
      <c r="JTC20" s="352"/>
      <c r="JTD20" s="352"/>
      <c r="JTE20" s="352"/>
      <c r="JTF20" s="352"/>
      <c r="JTG20" s="352"/>
      <c r="JTH20" s="352"/>
      <c r="JTI20" s="352"/>
      <c r="JTJ20" s="352"/>
      <c r="JTK20" s="352"/>
      <c r="JTL20" s="352"/>
      <c r="JTM20" s="352"/>
      <c r="JTN20" s="352"/>
      <c r="JTO20" s="352"/>
      <c r="JTP20" s="352"/>
      <c r="JTQ20" s="352"/>
      <c r="JTR20" s="352"/>
      <c r="JTS20" s="352"/>
      <c r="JTT20" s="352"/>
      <c r="JTU20" s="352"/>
      <c r="JTV20" s="352"/>
      <c r="JTW20" s="352"/>
      <c r="JTX20" s="352"/>
      <c r="JTY20" s="352"/>
      <c r="JTZ20" s="352"/>
      <c r="JUA20" s="352"/>
      <c r="JUB20" s="352"/>
      <c r="JUC20" s="352"/>
      <c r="JUD20" s="352"/>
      <c r="JUE20" s="352"/>
      <c r="JUF20" s="352"/>
      <c r="JUG20" s="352"/>
      <c r="JUH20" s="352"/>
      <c r="JUI20" s="352"/>
      <c r="JUJ20" s="352"/>
      <c r="JUK20" s="352"/>
      <c r="JUL20" s="352"/>
      <c r="JUM20" s="352"/>
      <c r="JUN20" s="352"/>
      <c r="JUO20" s="352"/>
      <c r="JUP20" s="352"/>
      <c r="JUQ20" s="352"/>
      <c r="JUR20" s="352"/>
      <c r="JUS20" s="352"/>
      <c r="JUT20" s="352"/>
      <c r="JUU20" s="352"/>
      <c r="JUV20" s="352"/>
      <c r="JUW20" s="352"/>
      <c r="JUX20" s="352"/>
      <c r="JUY20" s="352"/>
      <c r="JUZ20" s="352"/>
      <c r="JVA20" s="352"/>
      <c r="JVB20" s="352"/>
      <c r="JVC20" s="352"/>
      <c r="JVD20" s="352"/>
      <c r="JVE20" s="352"/>
      <c r="JVF20" s="352"/>
      <c r="JVG20" s="352"/>
      <c r="JVH20" s="352"/>
      <c r="JVI20" s="352"/>
      <c r="JVJ20" s="352"/>
      <c r="JVK20" s="352"/>
      <c r="JVL20" s="352"/>
      <c r="JVM20" s="352"/>
      <c r="JVN20" s="352"/>
      <c r="JVO20" s="352"/>
      <c r="JVP20" s="352"/>
      <c r="JVQ20" s="352"/>
      <c r="JVR20" s="352"/>
      <c r="JVS20" s="352"/>
      <c r="JVT20" s="352"/>
      <c r="JVU20" s="352"/>
      <c r="JVV20" s="352"/>
      <c r="JVW20" s="352"/>
      <c r="JVX20" s="352"/>
      <c r="JVY20" s="352"/>
      <c r="JVZ20" s="352"/>
      <c r="JWA20" s="352"/>
      <c r="JWB20" s="352"/>
      <c r="JWC20" s="352"/>
      <c r="JWD20" s="352"/>
      <c r="JWE20" s="352"/>
      <c r="JWF20" s="352"/>
      <c r="JWG20" s="352"/>
      <c r="JWH20" s="352"/>
      <c r="JWI20" s="352"/>
      <c r="JWJ20" s="352"/>
      <c r="JWK20" s="352"/>
      <c r="JWL20" s="352"/>
      <c r="JWM20" s="352"/>
      <c r="JWN20" s="352"/>
      <c r="JWO20" s="352"/>
      <c r="JWP20" s="352"/>
      <c r="JWQ20" s="352"/>
      <c r="JWR20" s="352"/>
      <c r="JWS20" s="352"/>
      <c r="JWT20" s="352"/>
      <c r="JWU20" s="352"/>
      <c r="JWV20" s="352"/>
      <c r="JWW20" s="352"/>
      <c r="JWX20" s="352"/>
      <c r="JWY20" s="352"/>
      <c r="JWZ20" s="352"/>
      <c r="JXA20" s="352"/>
      <c r="JXB20" s="352"/>
      <c r="JXC20" s="352"/>
      <c r="JXD20" s="352"/>
      <c r="JXE20" s="352"/>
      <c r="JXF20" s="352"/>
      <c r="JXG20" s="352"/>
      <c r="JXH20" s="352"/>
      <c r="JXI20" s="352"/>
      <c r="JXJ20" s="352"/>
      <c r="JXK20" s="352"/>
      <c r="JXL20" s="352"/>
      <c r="JXM20" s="352"/>
      <c r="JXN20" s="352"/>
      <c r="JXO20" s="352"/>
      <c r="JXP20" s="352"/>
      <c r="JXQ20" s="352"/>
      <c r="JXR20" s="352"/>
      <c r="JXS20" s="352"/>
      <c r="JXT20" s="352"/>
      <c r="JXU20" s="352"/>
      <c r="JXV20" s="352"/>
      <c r="JXW20" s="352"/>
      <c r="JXX20" s="352"/>
      <c r="JXY20" s="352"/>
      <c r="JXZ20" s="352"/>
      <c r="JYA20" s="352"/>
      <c r="JYB20" s="352"/>
      <c r="JYC20" s="352"/>
      <c r="JYD20" s="352"/>
      <c r="JYE20" s="352"/>
      <c r="JYF20" s="352"/>
      <c r="JYG20" s="352"/>
      <c r="JYH20" s="352"/>
      <c r="JYI20" s="352"/>
      <c r="JYJ20" s="352"/>
      <c r="JYK20" s="352"/>
      <c r="JYL20" s="352"/>
      <c r="JYM20" s="352"/>
      <c r="JYN20" s="352"/>
      <c r="JYO20" s="352"/>
      <c r="JYP20" s="352"/>
      <c r="JYQ20" s="352"/>
      <c r="JYR20" s="352"/>
      <c r="JYS20" s="352"/>
      <c r="JYT20" s="352"/>
      <c r="JYU20" s="352"/>
      <c r="JYV20" s="352"/>
      <c r="JYW20" s="352"/>
      <c r="JYX20" s="352"/>
      <c r="JYY20" s="352"/>
      <c r="JYZ20" s="352"/>
      <c r="JZA20" s="352"/>
      <c r="JZB20" s="352"/>
      <c r="JZC20" s="352"/>
      <c r="JZD20" s="352"/>
      <c r="JZE20" s="352"/>
      <c r="JZF20" s="352"/>
      <c r="JZG20" s="352"/>
      <c r="JZH20" s="352"/>
      <c r="JZI20" s="352"/>
      <c r="JZJ20" s="352"/>
      <c r="JZK20" s="352"/>
      <c r="JZL20" s="352"/>
      <c r="JZM20" s="352"/>
      <c r="JZN20" s="352"/>
      <c r="JZO20" s="352"/>
      <c r="JZP20" s="352"/>
      <c r="JZQ20" s="352"/>
      <c r="JZR20" s="352"/>
      <c r="JZS20" s="352"/>
      <c r="JZT20" s="352"/>
      <c r="JZU20" s="352"/>
      <c r="JZV20" s="352"/>
      <c r="JZW20" s="352"/>
      <c r="JZX20" s="352"/>
      <c r="JZY20" s="352"/>
      <c r="JZZ20" s="352"/>
      <c r="KAA20" s="352"/>
      <c r="KAB20" s="352"/>
      <c r="KAC20" s="352"/>
      <c r="KAD20" s="352"/>
      <c r="KAE20" s="352"/>
      <c r="KAF20" s="352"/>
      <c r="KAG20" s="352"/>
      <c r="KAH20" s="352"/>
      <c r="KAI20" s="352"/>
      <c r="KAJ20" s="352"/>
      <c r="KAK20" s="352"/>
      <c r="KAL20" s="352"/>
      <c r="KAM20" s="352"/>
      <c r="KAN20" s="352"/>
      <c r="KAO20" s="352"/>
      <c r="KAP20" s="352"/>
      <c r="KAQ20" s="352"/>
      <c r="KAR20" s="352"/>
      <c r="KAS20" s="352"/>
      <c r="KAT20" s="352"/>
      <c r="KAU20" s="352"/>
      <c r="KAV20" s="352"/>
      <c r="KAW20" s="352"/>
      <c r="KAX20" s="352"/>
      <c r="KAY20" s="352"/>
      <c r="KAZ20" s="352"/>
      <c r="KBA20" s="352"/>
      <c r="KBB20" s="352"/>
      <c r="KBC20" s="352"/>
      <c r="KBD20" s="352"/>
      <c r="KBE20" s="352"/>
      <c r="KBF20" s="352"/>
      <c r="KBG20" s="352"/>
      <c r="KBH20" s="352"/>
      <c r="KBI20" s="352"/>
      <c r="KBJ20" s="352"/>
      <c r="KBK20" s="352"/>
      <c r="KBL20" s="352"/>
      <c r="KBM20" s="352"/>
      <c r="KBN20" s="352"/>
      <c r="KBO20" s="352"/>
      <c r="KBP20" s="352"/>
      <c r="KBQ20" s="352"/>
      <c r="KBR20" s="352"/>
      <c r="KBS20" s="352"/>
      <c r="KBT20" s="352"/>
      <c r="KBU20" s="352"/>
      <c r="KBV20" s="352"/>
      <c r="KBW20" s="352"/>
      <c r="KBX20" s="352"/>
      <c r="KBY20" s="352"/>
      <c r="KBZ20" s="352"/>
      <c r="KCA20" s="352"/>
      <c r="KCB20" s="352"/>
      <c r="KCC20" s="352"/>
      <c r="KCD20" s="352"/>
      <c r="KCE20" s="352"/>
      <c r="KCF20" s="352"/>
      <c r="KCG20" s="352"/>
      <c r="KCH20" s="352"/>
      <c r="KCI20" s="352"/>
      <c r="KCJ20" s="352"/>
      <c r="KCK20" s="352"/>
      <c r="KCL20" s="352"/>
      <c r="KCM20" s="352"/>
      <c r="KCN20" s="352"/>
      <c r="KCO20" s="352"/>
      <c r="KCP20" s="352"/>
      <c r="KCQ20" s="352"/>
      <c r="KCR20" s="352"/>
      <c r="KCS20" s="352"/>
      <c r="KCT20" s="352"/>
      <c r="KCU20" s="352"/>
      <c r="KCV20" s="352"/>
      <c r="KCW20" s="352"/>
      <c r="KCX20" s="352"/>
      <c r="KCY20" s="352"/>
      <c r="KCZ20" s="352"/>
      <c r="KDA20" s="352"/>
      <c r="KDB20" s="352"/>
      <c r="KDC20" s="352"/>
      <c r="KDD20" s="352"/>
      <c r="KDE20" s="352"/>
      <c r="KDF20" s="352"/>
      <c r="KDG20" s="352"/>
      <c r="KDH20" s="352"/>
      <c r="KDI20" s="352"/>
      <c r="KDJ20" s="352"/>
      <c r="KDK20" s="352"/>
      <c r="KDL20" s="352"/>
      <c r="KDM20" s="352"/>
      <c r="KDN20" s="352"/>
      <c r="KDO20" s="352"/>
      <c r="KDP20" s="352"/>
      <c r="KDQ20" s="352"/>
      <c r="KDR20" s="352"/>
      <c r="KDS20" s="352"/>
      <c r="KDT20" s="352"/>
      <c r="KDU20" s="352"/>
      <c r="KDV20" s="352"/>
      <c r="KDW20" s="352"/>
      <c r="KDX20" s="352"/>
      <c r="KDY20" s="352"/>
      <c r="KDZ20" s="352"/>
      <c r="KEA20" s="352"/>
      <c r="KEB20" s="352"/>
      <c r="KEC20" s="352"/>
      <c r="KED20" s="352"/>
      <c r="KEE20" s="352"/>
      <c r="KEF20" s="352"/>
      <c r="KEG20" s="352"/>
      <c r="KEH20" s="352"/>
      <c r="KEI20" s="352"/>
      <c r="KEJ20" s="352"/>
      <c r="KEK20" s="352"/>
      <c r="KEL20" s="352"/>
      <c r="KEM20" s="352"/>
      <c r="KEN20" s="352"/>
      <c r="KEO20" s="352"/>
      <c r="KEP20" s="352"/>
      <c r="KEQ20" s="352"/>
      <c r="KER20" s="352"/>
      <c r="KES20" s="352"/>
      <c r="KET20" s="352"/>
      <c r="KEU20" s="352"/>
      <c r="KEV20" s="352"/>
      <c r="KEW20" s="352"/>
      <c r="KEX20" s="352"/>
      <c r="KEY20" s="352"/>
      <c r="KEZ20" s="352"/>
      <c r="KFA20" s="352"/>
      <c r="KFB20" s="352"/>
      <c r="KFC20" s="352"/>
      <c r="KFD20" s="352"/>
      <c r="KFE20" s="352"/>
      <c r="KFF20" s="352"/>
      <c r="KFG20" s="352"/>
      <c r="KFH20" s="352"/>
      <c r="KFI20" s="352"/>
      <c r="KFJ20" s="352"/>
      <c r="KFK20" s="352"/>
      <c r="KFL20" s="352"/>
      <c r="KFM20" s="352"/>
      <c r="KFN20" s="352"/>
      <c r="KFO20" s="352"/>
      <c r="KFP20" s="352"/>
      <c r="KFQ20" s="352"/>
      <c r="KFR20" s="352"/>
      <c r="KFS20" s="352"/>
      <c r="KFT20" s="352"/>
      <c r="KFU20" s="352"/>
      <c r="KFV20" s="352"/>
      <c r="KFW20" s="352"/>
      <c r="KFX20" s="352"/>
      <c r="KFY20" s="352"/>
      <c r="KFZ20" s="352"/>
      <c r="KGA20" s="352"/>
      <c r="KGB20" s="352"/>
      <c r="KGC20" s="352"/>
      <c r="KGD20" s="352"/>
      <c r="KGE20" s="352"/>
      <c r="KGF20" s="352"/>
      <c r="KGG20" s="352"/>
      <c r="KGH20" s="352"/>
      <c r="KGI20" s="352"/>
      <c r="KGJ20" s="352"/>
      <c r="KGK20" s="352"/>
      <c r="KGL20" s="352"/>
      <c r="KGM20" s="352"/>
      <c r="KGN20" s="352"/>
      <c r="KGO20" s="352"/>
      <c r="KGP20" s="352"/>
      <c r="KGQ20" s="352"/>
      <c r="KGR20" s="352"/>
      <c r="KGS20" s="352"/>
      <c r="KGT20" s="352"/>
      <c r="KGU20" s="352"/>
      <c r="KGV20" s="352"/>
      <c r="KGW20" s="352"/>
      <c r="KGX20" s="352"/>
      <c r="KGY20" s="352"/>
      <c r="KGZ20" s="352"/>
      <c r="KHA20" s="352"/>
      <c r="KHB20" s="352"/>
      <c r="KHC20" s="352"/>
      <c r="KHD20" s="352"/>
      <c r="KHE20" s="352"/>
      <c r="KHF20" s="352"/>
      <c r="KHG20" s="352"/>
      <c r="KHH20" s="352"/>
      <c r="KHI20" s="352"/>
      <c r="KHJ20" s="352"/>
      <c r="KHK20" s="352"/>
      <c r="KHL20" s="352"/>
      <c r="KHM20" s="352"/>
      <c r="KHN20" s="352"/>
      <c r="KHO20" s="352"/>
      <c r="KHP20" s="352"/>
      <c r="KHQ20" s="352"/>
      <c r="KHR20" s="352"/>
      <c r="KHS20" s="352"/>
      <c r="KHT20" s="352"/>
      <c r="KHU20" s="352"/>
      <c r="KHV20" s="352"/>
      <c r="KHW20" s="352"/>
      <c r="KHX20" s="352"/>
      <c r="KHY20" s="352"/>
      <c r="KHZ20" s="352"/>
      <c r="KIA20" s="352"/>
      <c r="KIB20" s="352"/>
      <c r="KIC20" s="352"/>
      <c r="KID20" s="352"/>
      <c r="KIE20" s="352"/>
      <c r="KIF20" s="352"/>
      <c r="KIG20" s="352"/>
      <c r="KIH20" s="352"/>
      <c r="KII20" s="352"/>
      <c r="KIJ20" s="352"/>
      <c r="KIK20" s="352"/>
      <c r="KIL20" s="352"/>
      <c r="KIM20" s="352"/>
      <c r="KIN20" s="352"/>
      <c r="KIO20" s="352"/>
      <c r="KIP20" s="352"/>
      <c r="KIQ20" s="352"/>
      <c r="KIR20" s="352"/>
      <c r="KIS20" s="352"/>
      <c r="KIT20" s="352"/>
      <c r="KIU20" s="352"/>
      <c r="KIV20" s="352"/>
      <c r="KIW20" s="352"/>
      <c r="KIX20" s="352"/>
      <c r="KIY20" s="352"/>
      <c r="KIZ20" s="352"/>
      <c r="KJA20" s="352"/>
      <c r="KJB20" s="352"/>
      <c r="KJC20" s="352"/>
      <c r="KJD20" s="352"/>
      <c r="KJE20" s="352"/>
      <c r="KJF20" s="352"/>
      <c r="KJG20" s="352"/>
      <c r="KJH20" s="352"/>
      <c r="KJI20" s="352"/>
      <c r="KJJ20" s="352"/>
      <c r="KJK20" s="352"/>
      <c r="KJL20" s="352"/>
      <c r="KJM20" s="352"/>
      <c r="KJN20" s="352"/>
      <c r="KJO20" s="352"/>
      <c r="KJP20" s="352"/>
      <c r="KJQ20" s="352"/>
      <c r="KJR20" s="352"/>
      <c r="KJS20" s="352"/>
      <c r="KJT20" s="352"/>
      <c r="KJU20" s="352"/>
      <c r="KJV20" s="352"/>
      <c r="KJW20" s="352"/>
      <c r="KJX20" s="352"/>
      <c r="KJY20" s="352"/>
      <c r="KJZ20" s="352"/>
      <c r="KKA20" s="352"/>
      <c r="KKB20" s="352"/>
      <c r="KKC20" s="352"/>
      <c r="KKD20" s="352"/>
      <c r="KKE20" s="352"/>
      <c r="KKF20" s="352"/>
      <c r="KKG20" s="352"/>
      <c r="KKH20" s="352"/>
      <c r="KKI20" s="352"/>
      <c r="KKJ20" s="352"/>
      <c r="KKK20" s="352"/>
      <c r="KKL20" s="352"/>
      <c r="KKM20" s="352"/>
      <c r="KKN20" s="352"/>
      <c r="KKO20" s="352"/>
      <c r="KKP20" s="352"/>
      <c r="KKQ20" s="352"/>
      <c r="KKR20" s="352"/>
      <c r="KKS20" s="352"/>
      <c r="KKT20" s="352"/>
      <c r="KKU20" s="352"/>
      <c r="KKV20" s="352"/>
      <c r="KKW20" s="352"/>
      <c r="KKX20" s="352"/>
      <c r="KKY20" s="352"/>
      <c r="KKZ20" s="352"/>
      <c r="KLA20" s="352"/>
      <c r="KLB20" s="352"/>
      <c r="KLC20" s="352"/>
      <c r="KLD20" s="352"/>
      <c r="KLE20" s="352"/>
      <c r="KLF20" s="352"/>
      <c r="KLG20" s="352"/>
      <c r="KLH20" s="352"/>
      <c r="KLI20" s="352"/>
      <c r="KLJ20" s="352"/>
      <c r="KLK20" s="352"/>
      <c r="KLL20" s="352"/>
      <c r="KLM20" s="352"/>
      <c r="KLN20" s="352"/>
      <c r="KLO20" s="352"/>
      <c r="KLP20" s="352"/>
      <c r="KLQ20" s="352"/>
      <c r="KLR20" s="352"/>
      <c r="KLS20" s="352"/>
      <c r="KLT20" s="352"/>
      <c r="KLU20" s="352"/>
      <c r="KLV20" s="352"/>
      <c r="KLW20" s="352"/>
      <c r="KLX20" s="352"/>
      <c r="KLY20" s="352"/>
      <c r="KLZ20" s="352"/>
      <c r="KMA20" s="352"/>
      <c r="KMB20" s="352"/>
      <c r="KMC20" s="352"/>
      <c r="KMD20" s="352"/>
      <c r="KME20" s="352"/>
      <c r="KMF20" s="352"/>
      <c r="KMG20" s="352"/>
      <c r="KMH20" s="352"/>
      <c r="KMI20" s="352"/>
      <c r="KMJ20" s="352"/>
      <c r="KMK20" s="352"/>
      <c r="KML20" s="352"/>
      <c r="KMM20" s="352"/>
      <c r="KMN20" s="352"/>
      <c r="KMO20" s="352"/>
      <c r="KMP20" s="352"/>
      <c r="KMQ20" s="352"/>
      <c r="KMR20" s="352"/>
      <c r="KMS20" s="352"/>
      <c r="KMT20" s="352"/>
      <c r="KMU20" s="352"/>
      <c r="KMV20" s="352"/>
      <c r="KMW20" s="352"/>
      <c r="KMX20" s="352"/>
      <c r="KMY20" s="352"/>
      <c r="KMZ20" s="352"/>
      <c r="KNA20" s="352"/>
      <c r="KNB20" s="352"/>
      <c r="KNC20" s="352"/>
      <c r="KND20" s="352"/>
      <c r="KNE20" s="352"/>
      <c r="KNF20" s="352"/>
      <c r="KNG20" s="352"/>
      <c r="KNH20" s="352"/>
      <c r="KNI20" s="352"/>
      <c r="KNJ20" s="352"/>
      <c r="KNK20" s="352"/>
      <c r="KNL20" s="352"/>
      <c r="KNM20" s="352"/>
      <c r="KNN20" s="352"/>
      <c r="KNO20" s="352"/>
      <c r="KNP20" s="352"/>
      <c r="KNQ20" s="352"/>
      <c r="KNR20" s="352"/>
      <c r="KNS20" s="352"/>
      <c r="KNT20" s="352"/>
      <c r="KNU20" s="352"/>
      <c r="KNV20" s="352"/>
      <c r="KNW20" s="352"/>
      <c r="KNX20" s="352"/>
      <c r="KNY20" s="352"/>
      <c r="KNZ20" s="352"/>
      <c r="KOA20" s="352"/>
      <c r="KOB20" s="352"/>
      <c r="KOC20" s="352"/>
      <c r="KOD20" s="352"/>
      <c r="KOE20" s="352"/>
      <c r="KOF20" s="352"/>
      <c r="KOG20" s="352"/>
      <c r="KOH20" s="352"/>
      <c r="KOI20" s="352"/>
      <c r="KOJ20" s="352"/>
      <c r="KOK20" s="352"/>
      <c r="KOL20" s="352"/>
      <c r="KOM20" s="352"/>
      <c r="KON20" s="352"/>
      <c r="KOO20" s="352"/>
      <c r="KOP20" s="352"/>
      <c r="KOQ20" s="352"/>
      <c r="KOR20" s="352"/>
      <c r="KOS20" s="352"/>
      <c r="KOT20" s="352"/>
      <c r="KOU20" s="352"/>
      <c r="KOV20" s="352"/>
      <c r="KOW20" s="352"/>
      <c r="KOX20" s="352"/>
      <c r="KOY20" s="352"/>
      <c r="KOZ20" s="352"/>
      <c r="KPA20" s="352"/>
      <c r="KPB20" s="352"/>
      <c r="KPC20" s="352"/>
      <c r="KPD20" s="352"/>
      <c r="KPE20" s="352"/>
      <c r="KPF20" s="352"/>
      <c r="KPG20" s="352"/>
      <c r="KPH20" s="352"/>
      <c r="KPI20" s="352"/>
      <c r="KPJ20" s="352"/>
      <c r="KPK20" s="352"/>
      <c r="KPL20" s="352"/>
      <c r="KPM20" s="352"/>
      <c r="KPN20" s="352"/>
      <c r="KPO20" s="352"/>
      <c r="KPP20" s="352"/>
      <c r="KPQ20" s="352"/>
      <c r="KPR20" s="352"/>
      <c r="KPS20" s="352"/>
      <c r="KPT20" s="352"/>
      <c r="KPU20" s="352"/>
      <c r="KPV20" s="352"/>
      <c r="KPW20" s="352"/>
      <c r="KPX20" s="352"/>
      <c r="KPY20" s="352"/>
      <c r="KPZ20" s="352"/>
      <c r="KQA20" s="352"/>
      <c r="KQB20" s="352"/>
      <c r="KQC20" s="352"/>
      <c r="KQD20" s="352"/>
      <c r="KQE20" s="352"/>
      <c r="KQF20" s="352"/>
      <c r="KQG20" s="352"/>
      <c r="KQH20" s="352"/>
      <c r="KQI20" s="352"/>
      <c r="KQJ20" s="352"/>
      <c r="KQK20" s="352"/>
      <c r="KQL20" s="352"/>
      <c r="KQM20" s="352"/>
      <c r="KQN20" s="352"/>
      <c r="KQO20" s="352"/>
      <c r="KQP20" s="352"/>
      <c r="KQQ20" s="352"/>
      <c r="KQR20" s="352"/>
      <c r="KQS20" s="352"/>
      <c r="KQT20" s="352"/>
      <c r="KQU20" s="352"/>
      <c r="KQV20" s="352"/>
      <c r="KQW20" s="352"/>
      <c r="KQX20" s="352"/>
      <c r="KQY20" s="352"/>
      <c r="KQZ20" s="352"/>
      <c r="KRA20" s="352"/>
      <c r="KRB20" s="352"/>
      <c r="KRC20" s="352"/>
      <c r="KRD20" s="352"/>
      <c r="KRE20" s="352"/>
      <c r="KRF20" s="352"/>
      <c r="KRG20" s="352"/>
      <c r="KRH20" s="352"/>
      <c r="KRI20" s="352"/>
      <c r="KRJ20" s="352"/>
      <c r="KRK20" s="352"/>
      <c r="KRL20" s="352"/>
      <c r="KRM20" s="352"/>
      <c r="KRN20" s="352"/>
      <c r="KRO20" s="352"/>
      <c r="KRP20" s="352"/>
      <c r="KRQ20" s="352"/>
      <c r="KRR20" s="352"/>
      <c r="KRS20" s="352"/>
      <c r="KRT20" s="352"/>
      <c r="KRU20" s="352"/>
      <c r="KRV20" s="352"/>
      <c r="KRW20" s="352"/>
      <c r="KRX20" s="352"/>
      <c r="KRY20" s="352"/>
      <c r="KRZ20" s="352"/>
      <c r="KSA20" s="352"/>
      <c r="KSB20" s="352"/>
      <c r="KSC20" s="352"/>
      <c r="KSD20" s="352"/>
      <c r="KSE20" s="352"/>
      <c r="KSF20" s="352"/>
      <c r="KSG20" s="352"/>
      <c r="KSH20" s="352"/>
      <c r="KSI20" s="352"/>
      <c r="KSJ20" s="352"/>
      <c r="KSK20" s="352"/>
      <c r="KSL20" s="352"/>
      <c r="KSM20" s="352"/>
      <c r="KSN20" s="352"/>
      <c r="KSO20" s="352"/>
      <c r="KSP20" s="352"/>
      <c r="KSQ20" s="352"/>
      <c r="KSR20" s="352"/>
      <c r="KSS20" s="352"/>
      <c r="KST20" s="352"/>
      <c r="KSU20" s="352"/>
      <c r="KSV20" s="352"/>
      <c r="KSW20" s="352"/>
      <c r="KSX20" s="352"/>
      <c r="KSY20" s="352"/>
      <c r="KSZ20" s="352"/>
      <c r="KTA20" s="352"/>
      <c r="KTB20" s="352"/>
      <c r="KTC20" s="352"/>
      <c r="KTD20" s="352"/>
      <c r="KTE20" s="352"/>
      <c r="KTF20" s="352"/>
      <c r="KTG20" s="352"/>
      <c r="KTH20" s="352"/>
      <c r="KTI20" s="352"/>
      <c r="KTJ20" s="352"/>
      <c r="KTK20" s="352"/>
      <c r="KTL20" s="352"/>
      <c r="KTM20" s="352"/>
      <c r="KTN20" s="352"/>
      <c r="KTO20" s="352"/>
      <c r="KTP20" s="352"/>
      <c r="KTQ20" s="352"/>
      <c r="KTR20" s="352"/>
      <c r="KTS20" s="352"/>
      <c r="KTT20" s="352"/>
      <c r="KTU20" s="352"/>
      <c r="KTV20" s="352"/>
      <c r="KTW20" s="352"/>
      <c r="KTX20" s="352"/>
      <c r="KTY20" s="352"/>
      <c r="KTZ20" s="352"/>
      <c r="KUA20" s="352"/>
      <c r="KUB20" s="352"/>
      <c r="KUC20" s="352"/>
      <c r="KUD20" s="352"/>
      <c r="KUE20" s="352"/>
      <c r="KUF20" s="352"/>
      <c r="KUG20" s="352"/>
      <c r="KUH20" s="352"/>
      <c r="KUI20" s="352"/>
      <c r="KUJ20" s="352"/>
      <c r="KUK20" s="352"/>
      <c r="KUL20" s="352"/>
      <c r="KUM20" s="352"/>
      <c r="KUN20" s="352"/>
      <c r="KUO20" s="352"/>
      <c r="KUP20" s="352"/>
      <c r="KUQ20" s="352"/>
      <c r="KUR20" s="352"/>
      <c r="KUS20" s="352"/>
      <c r="KUT20" s="352"/>
      <c r="KUU20" s="352"/>
      <c r="KUV20" s="352"/>
      <c r="KUW20" s="352"/>
      <c r="KUX20" s="352"/>
      <c r="KUY20" s="352"/>
      <c r="KUZ20" s="352"/>
      <c r="KVA20" s="352"/>
      <c r="KVB20" s="352"/>
      <c r="KVC20" s="352"/>
      <c r="KVD20" s="352"/>
      <c r="KVE20" s="352"/>
      <c r="KVF20" s="352"/>
      <c r="KVG20" s="352"/>
      <c r="KVH20" s="352"/>
      <c r="KVI20" s="352"/>
      <c r="KVJ20" s="352"/>
      <c r="KVK20" s="352"/>
      <c r="KVL20" s="352"/>
      <c r="KVM20" s="352"/>
      <c r="KVN20" s="352"/>
      <c r="KVO20" s="352"/>
      <c r="KVP20" s="352"/>
      <c r="KVQ20" s="352"/>
      <c r="KVR20" s="352"/>
      <c r="KVS20" s="352"/>
      <c r="KVT20" s="352"/>
      <c r="KVU20" s="352"/>
      <c r="KVV20" s="352"/>
      <c r="KVW20" s="352"/>
      <c r="KVX20" s="352"/>
      <c r="KVY20" s="352"/>
      <c r="KVZ20" s="352"/>
      <c r="KWA20" s="352"/>
      <c r="KWB20" s="352"/>
      <c r="KWC20" s="352"/>
      <c r="KWD20" s="352"/>
      <c r="KWE20" s="352"/>
      <c r="KWF20" s="352"/>
      <c r="KWG20" s="352"/>
      <c r="KWH20" s="352"/>
      <c r="KWI20" s="352"/>
      <c r="KWJ20" s="352"/>
      <c r="KWK20" s="352"/>
      <c r="KWL20" s="352"/>
      <c r="KWM20" s="352"/>
      <c r="KWN20" s="352"/>
      <c r="KWO20" s="352"/>
      <c r="KWP20" s="352"/>
      <c r="KWQ20" s="352"/>
      <c r="KWR20" s="352"/>
      <c r="KWS20" s="352"/>
      <c r="KWT20" s="352"/>
      <c r="KWU20" s="352"/>
      <c r="KWV20" s="352"/>
      <c r="KWW20" s="352"/>
      <c r="KWX20" s="352"/>
      <c r="KWY20" s="352"/>
      <c r="KWZ20" s="352"/>
      <c r="KXA20" s="352"/>
      <c r="KXB20" s="352"/>
      <c r="KXC20" s="352"/>
      <c r="KXD20" s="352"/>
      <c r="KXE20" s="352"/>
      <c r="KXF20" s="352"/>
      <c r="KXG20" s="352"/>
      <c r="KXH20" s="352"/>
      <c r="KXI20" s="352"/>
      <c r="KXJ20" s="352"/>
      <c r="KXK20" s="352"/>
      <c r="KXL20" s="352"/>
      <c r="KXM20" s="352"/>
      <c r="KXN20" s="352"/>
      <c r="KXO20" s="352"/>
      <c r="KXP20" s="352"/>
      <c r="KXQ20" s="352"/>
      <c r="KXR20" s="352"/>
      <c r="KXS20" s="352"/>
      <c r="KXT20" s="352"/>
      <c r="KXU20" s="352"/>
      <c r="KXV20" s="352"/>
      <c r="KXW20" s="352"/>
      <c r="KXX20" s="352"/>
      <c r="KXY20" s="352"/>
      <c r="KXZ20" s="352"/>
      <c r="KYA20" s="352"/>
      <c r="KYB20" s="352"/>
      <c r="KYC20" s="352"/>
      <c r="KYD20" s="352"/>
      <c r="KYE20" s="352"/>
      <c r="KYF20" s="352"/>
      <c r="KYG20" s="352"/>
      <c r="KYH20" s="352"/>
      <c r="KYI20" s="352"/>
      <c r="KYJ20" s="352"/>
      <c r="KYK20" s="352"/>
      <c r="KYL20" s="352"/>
      <c r="KYM20" s="352"/>
      <c r="KYN20" s="352"/>
      <c r="KYO20" s="352"/>
      <c r="KYP20" s="352"/>
      <c r="KYQ20" s="352"/>
      <c r="KYR20" s="352"/>
      <c r="KYS20" s="352"/>
      <c r="KYT20" s="352"/>
      <c r="KYU20" s="352"/>
      <c r="KYV20" s="352"/>
      <c r="KYW20" s="352"/>
      <c r="KYX20" s="352"/>
      <c r="KYY20" s="352"/>
      <c r="KYZ20" s="352"/>
      <c r="KZA20" s="352"/>
      <c r="KZB20" s="352"/>
      <c r="KZC20" s="352"/>
      <c r="KZD20" s="352"/>
      <c r="KZE20" s="352"/>
      <c r="KZF20" s="352"/>
      <c r="KZG20" s="352"/>
      <c r="KZH20" s="352"/>
      <c r="KZI20" s="352"/>
      <c r="KZJ20" s="352"/>
      <c r="KZK20" s="352"/>
      <c r="KZL20" s="352"/>
      <c r="KZM20" s="352"/>
      <c r="KZN20" s="352"/>
      <c r="KZO20" s="352"/>
      <c r="KZP20" s="352"/>
      <c r="KZQ20" s="352"/>
      <c r="KZR20" s="352"/>
      <c r="KZS20" s="352"/>
      <c r="KZT20" s="352"/>
      <c r="KZU20" s="352"/>
      <c r="KZV20" s="352"/>
      <c r="KZW20" s="352"/>
      <c r="KZX20" s="352"/>
      <c r="KZY20" s="352"/>
      <c r="KZZ20" s="352"/>
      <c r="LAA20" s="352"/>
      <c r="LAB20" s="352"/>
      <c r="LAC20" s="352"/>
      <c r="LAD20" s="352"/>
      <c r="LAE20" s="352"/>
      <c r="LAF20" s="352"/>
      <c r="LAG20" s="352"/>
      <c r="LAH20" s="352"/>
      <c r="LAI20" s="352"/>
      <c r="LAJ20" s="352"/>
      <c r="LAK20" s="352"/>
      <c r="LAL20" s="352"/>
      <c r="LAM20" s="352"/>
      <c r="LAN20" s="352"/>
      <c r="LAO20" s="352"/>
      <c r="LAP20" s="352"/>
      <c r="LAQ20" s="352"/>
      <c r="LAR20" s="352"/>
      <c r="LAS20" s="352"/>
      <c r="LAT20" s="352"/>
      <c r="LAU20" s="352"/>
      <c r="LAV20" s="352"/>
      <c r="LAW20" s="352"/>
      <c r="LAX20" s="352"/>
      <c r="LAY20" s="352"/>
      <c r="LAZ20" s="352"/>
      <c r="LBA20" s="352"/>
      <c r="LBB20" s="352"/>
      <c r="LBC20" s="352"/>
      <c r="LBD20" s="352"/>
      <c r="LBE20" s="352"/>
      <c r="LBF20" s="352"/>
      <c r="LBG20" s="352"/>
      <c r="LBH20" s="352"/>
      <c r="LBI20" s="352"/>
      <c r="LBJ20" s="352"/>
      <c r="LBK20" s="352"/>
      <c r="LBL20" s="352"/>
      <c r="LBM20" s="352"/>
      <c r="LBN20" s="352"/>
      <c r="LBO20" s="352"/>
      <c r="LBP20" s="352"/>
      <c r="LBQ20" s="352"/>
      <c r="LBR20" s="352"/>
      <c r="LBS20" s="352"/>
      <c r="LBT20" s="352"/>
      <c r="LBU20" s="352"/>
      <c r="LBV20" s="352"/>
      <c r="LBW20" s="352"/>
      <c r="LBX20" s="352"/>
      <c r="LBY20" s="352"/>
      <c r="LBZ20" s="352"/>
      <c r="LCA20" s="352"/>
      <c r="LCB20" s="352"/>
      <c r="LCC20" s="352"/>
      <c r="LCD20" s="352"/>
      <c r="LCE20" s="352"/>
      <c r="LCF20" s="352"/>
      <c r="LCG20" s="352"/>
      <c r="LCH20" s="352"/>
      <c r="LCI20" s="352"/>
      <c r="LCJ20" s="352"/>
      <c r="LCK20" s="352"/>
      <c r="LCL20" s="352"/>
      <c r="LCM20" s="352"/>
      <c r="LCN20" s="352"/>
      <c r="LCO20" s="352"/>
      <c r="LCP20" s="352"/>
      <c r="LCQ20" s="352"/>
      <c r="LCR20" s="352"/>
      <c r="LCS20" s="352"/>
      <c r="LCT20" s="352"/>
      <c r="LCU20" s="352"/>
      <c r="LCV20" s="352"/>
      <c r="LCW20" s="352"/>
      <c r="LCX20" s="352"/>
      <c r="LCY20" s="352"/>
      <c r="LCZ20" s="352"/>
      <c r="LDA20" s="352"/>
      <c r="LDB20" s="352"/>
      <c r="LDC20" s="352"/>
      <c r="LDD20" s="352"/>
      <c r="LDE20" s="352"/>
      <c r="LDF20" s="352"/>
      <c r="LDG20" s="352"/>
      <c r="LDH20" s="352"/>
      <c r="LDI20" s="352"/>
      <c r="LDJ20" s="352"/>
      <c r="LDK20" s="352"/>
      <c r="LDL20" s="352"/>
      <c r="LDM20" s="352"/>
      <c r="LDN20" s="352"/>
      <c r="LDO20" s="352"/>
      <c r="LDP20" s="352"/>
      <c r="LDQ20" s="352"/>
      <c r="LDR20" s="352"/>
      <c r="LDS20" s="352"/>
      <c r="LDT20" s="352"/>
      <c r="LDU20" s="352"/>
      <c r="LDV20" s="352"/>
      <c r="LDW20" s="352"/>
      <c r="LDX20" s="352"/>
      <c r="LDY20" s="352"/>
      <c r="LDZ20" s="352"/>
      <c r="LEA20" s="352"/>
      <c r="LEB20" s="352"/>
      <c r="LEC20" s="352"/>
      <c r="LED20" s="352"/>
      <c r="LEE20" s="352"/>
      <c r="LEF20" s="352"/>
      <c r="LEG20" s="352"/>
      <c r="LEH20" s="352"/>
      <c r="LEI20" s="352"/>
      <c r="LEJ20" s="352"/>
      <c r="LEK20" s="352"/>
      <c r="LEL20" s="352"/>
      <c r="LEM20" s="352"/>
      <c r="LEN20" s="352"/>
      <c r="LEO20" s="352"/>
      <c r="LEP20" s="352"/>
      <c r="LEQ20" s="352"/>
      <c r="LER20" s="352"/>
      <c r="LES20" s="352"/>
      <c r="LET20" s="352"/>
      <c r="LEU20" s="352"/>
      <c r="LEV20" s="352"/>
      <c r="LEW20" s="352"/>
      <c r="LEX20" s="352"/>
      <c r="LEY20" s="352"/>
      <c r="LEZ20" s="352"/>
      <c r="LFA20" s="352"/>
      <c r="LFB20" s="352"/>
      <c r="LFC20" s="352"/>
      <c r="LFD20" s="352"/>
      <c r="LFE20" s="352"/>
      <c r="LFF20" s="352"/>
      <c r="LFG20" s="352"/>
      <c r="LFH20" s="352"/>
      <c r="LFI20" s="352"/>
      <c r="LFJ20" s="352"/>
      <c r="LFK20" s="352"/>
      <c r="LFL20" s="352"/>
      <c r="LFM20" s="352"/>
      <c r="LFN20" s="352"/>
      <c r="LFO20" s="352"/>
      <c r="LFP20" s="352"/>
      <c r="LFQ20" s="352"/>
      <c r="LFR20" s="352"/>
      <c r="LFS20" s="352"/>
      <c r="LFT20" s="352"/>
      <c r="LFU20" s="352"/>
      <c r="LFV20" s="352"/>
      <c r="LFW20" s="352"/>
      <c r="LFX20" s="352"/>
      <c r="LFY20" s="352"/>
      <c r="LFZ20" s="352"/>
      <c r="LGA20" s="352"/>
      <c r="LGB20" s="352"/>
      <c r="LGC20" s="352"/>
      <c r="LGD20" s="352"/>
      <c r="LGE20" s="352"/>
      <c r="LGF20" s="352"/>
      <c r="LGG20" s="352"/>
      <c r="LGH20" s="352"/>
      <c r="LGI20" s="352"/>
      <c r="LGJ20" s="352"/>
      <c r="LGK20" s="352"/>
      <c r="LGL20" s="352"/>
      <c r="LGM20" s="352"/>
      <c r="LGN20" s="352"/>
      <c r="LGO20" s="352"/>
      <c r="LGP20" s="352"/>
      <c r="LGQ20" s="352"/>
      <c r="LGR20" s="352"/>
      <c r="LGS20" s="352"/>
      <c r="LGT20" s="352"/>
      <c r="LGU20" s="352"/>
      <c r="LGV20" s="352"/>
      <c r="LGW20" s="352"/>
      <c r="LGX20" s="352"/>
      <c r="LGY20" s="352"/>
      <c r="LGZ20" s="352"/>
      <c r="LHA20" s="352"/>
      <c r="LHB20" s="352"/>
      <c r="LHC20" s="352"/>
      <c r="LHD20" s="352"/>
      <c r="LHE20" s="352"/>
      <c r="LHF20" s="352"/>
      <c r="LHG20" s="352"/>
      <c r="LHH20" s="352"/>
      <c r="LHI20" s="352"/>
      <c r="LHJ20" s="352"/>
      <c r="LHK20" s="352"/>
      <c r="LHL20" s="352"/>
      <c r="LHM20" s="352"/>
      <c r="LHN20" s="352"/>
      <c r="LHO20" s="352"/>
      <c r="LHP20" s="352"/>
      <c r="LHQ20" s="352"/>
      <c r="LHR20" s="352"/>
      <c r="LHS20" s="352"/>
      <c r="LHT20" s="352"/>
      <c r="LHU20" s="352"/>
      <c r="LHV20" s="352"/>
      <c r="LHW20" s="352"/>
      <c r="LHX20" s="352"/>
      <c r="LHY20" s="352"/>
      <c r="LHZ20" s="352"/>
      <c r="LIA20" s="352"/>
      <c r="LIB20" s="352"/>
      <c r="LIC20" s="352"/>
      <c r="LID20" s="352"/>
      <c r="LIE20" s="352"/>
      <c r="LIF20" s="352"/>
      <c r="LIG20" s="352"/>
      <c r="LIH20" s="352"/>
      <c r="LII20" s="352"/>
      <c r="LIJ20" s="352"/>
      <c r="LIK20" s="352"/>
      <c r="LIL20" s="352"/>
      <c r="LIM20" s="352"/>
      <c r="LIN20" s="352"/>
      <c r="LIO20" s="352"/>
      <c r="LIP20" s="352"/>
      <c r="LIQ20" s="352"/>
      <c r="LIR20" s="352"/>
      <c r="LIS20" s="352"/>
      <c r="LIT20" s="352"/>
      <c r="LIU20" s="352"/>
      <c r="LIV20" s="352"/>
      <c r="LIW20" s="352"/>
      <c r="LIX20" s="352"/>
      <c r="LIY20" s="352"/>
      <c r="LIZ20" s="352"/>
      <c r="LJA20" s="352"/>
      <c r="LJB20" s="352"/>
      <c r="LJC20" s="352"/>
      <c r="LJD20" s="352"/>
      <c r="LJE20" s="352"/>
      <c r="LJF20" s="352"/>
      <c r="LJG20" s="352"/>
      <c r="LJH20" s="352"/>
      <c r="LJI20" s="352"/>
      <c r="LJJ20" s="352"/>
      <c r="LJK20" s="352"/>
      <c r="LJL20" s="352"/>
      <c r="LJM20" s="352"/>
      <c r="LJN20" s="352"/>
      <c r="LJO20" s="352"/>
      <c r="LJP20" s="352"/>
      <c r="LJQ20" s="352"/>
      <c r="LJR20" s="352"/>
      <c r="LJS20" s="352"/>
      <c r="LJT20" s="352"/>
      <c r="LJU20" s="352"/>
      <c r="LJV20" s="352"/>
      <c r="LJW20" s="352"/>
      <c r="LJX20" s="352"/>
      <c r="LJY20" s="352"/>
      <c r="LJZ20" s="352"/>
      <c r="LKA20" s="352"/>
      <c r="LKB20" s="352"/>
      <c r="LKC20" s="352"/>
      <c r="LKD20" s="352"/>
      <c r="LKE20" s="352"/>
      <c r="LKF20" s="352"/>
      <c r="LKG20" s="352"/>
      <c r="LKH20" s="352"/>
      <c r="LKI20" s="352"/>
      <c r="LKJ20" s="352"/>
      <c r="LKK20" s="352"/>
      <c r="LKL20" s="352"/>
      <c r="LKM20" s="352"/>
      <c r="LKN20" s="352"/>
      <c r="LKO20" s="352"/>
      <c r="LKP20" s="352"/>
      <c r="LKQ20" s="352"/>
      <c r="LKR20" s="352"/>
      <c r="LKS20" s="352"/>
      <c r="LKT20" s="352"/>
      <c r="LKU20" s="352"/>
      <c r="LKV20" s="352"/>
      <c r="LKW20" s="352"/>
      <c r="LKX20" s="352"/>
      <c r="LKY20" s="352"/>
      <c r="LKZ20" s="352"/>
      <c r="LLA20" s="352"/>
      <c r="LLB20" s="352"/>
      <c r="LLC20" s="352"/>
      <c r="LLD20" s="352"/>
      <c r="LLE20" s="352"/>
      <c r="LLF20" s="352"/>
      <c r="LLG20" s="352"/>
      <c r="LLH20" s="352"/>
      <c r="LLI20" s="352"/>
      <c r="LLJ20" s="352"/>
      <c r="LLK20" s="352"/>
      <c r="LLL20" s="352"/>
      <c r="LLM20" s="352"/>
      <c r="LLN20" s="352"/>
      <c r="LLO20" s="352"/>
      <c r="LLP20" s="352"/>
      <c r="LLQ20" s="352"/>
      <c r="LLR20" s="352"/>
      <c r="LLS20" s="352"/>
      <c r="LLT20" s="352"/>
      <c r="LLU20" s="352"/>
      <c r="LLV20" s="352"/>
      <c r="LLW20" s="352"/>
      <c r="LLX20" s="352"/>
      <c r="LLY20" s="352"/>
      <c r="LLZ20" s="352"/>
      <c r="LMA20" s="352"/>
      <c r="LMB20" s="352"/>
      <c r="LMC20" s="352"/>
      <c r="LMD20" s="352"/>
      <c r="LME20" s="352"/>
      <c r="LMF20" s="352"/>
      <c r="LMG20" s="352"/>
      <c r="LMH20" s="352"/>
      <c r="LMI20" s="352"/>
      <c r="LMJ20" s="352"/>
      <c r="LMK20" s="352"/>
      <c r="LML20" s="352"/>
      <c r="LMM20" s="352"/>
      <c r="LMN20" s="352"/>
      <c r="LMO20" s="352"/>
      <c r="LMP20" s="352"/>
      <c r="LMQ20" s="352"/>
      <c r="LMR20" s="352"/>
      <c r="LMS20" s="352"/>
      <c r="LMT20" s="352"/>
      <c r="LMU20" s="352"/>
      <c r="LMV20" s="352"/>
      <c r="LMW20" s="352"/>
      <c r="LMX20" s="352"/>
      <c r="LMY20" s="352"/>
      <c r="LMZ20" s="352"/>
      <c r="LNA20" s="352"/>
      <c r="LNB20" s="352"/>
      <c r="LNC20" s="352"/>
      <c r="LND20" s="352"/>
      <c r="LNE20" s="352"/>
      <c r="LNF20" s="352"/>
      <c r="LNG20" s="352"/>
      <c r="LNH20" s="352"/>
      <c r="LNI20" s="352"/>
      <c r="LNJ20" s="352"/>
      <c r="LNK20" s="352"/>
      <c r="LNL20" s="352"/>
      <c r="LNM20" s="352"/>
      <c r="LNN20" s="352"/>
      <c r="LNO20" s="352"/>
      <c r="LNP20" s="352"/>
      <c r="LNQ20" s="352"/>
      <c r="LNR20" s="352"/>
      <c r="LNS20" s="352"/>
      <c r="LNT20" s="352"/>
      <c r="LNU20" s="352"/>
      <c r="LNV20" s="352"/>
      <c r="LNW20" s="352"/>
      <c r="LNX20" s="352"/>
      <c r="LNY20" s="352"/>
      <c r="LNZ20" s="352"/>
      <c r="LOA20" s="352"/>
      <c r="LOB20" s="352"/>
      <c r="LOC20" s="352"/>
      <c r="LOD20" s="352"/>
      <c r="LOE20" s="352"/>
      <c r="LOF20" s="352"/>
      <c r="LOG20" s="352"/>
      <c r="LOH20" s="352"/>
      <c r="LOI20" s="352"/>
      <c r="LOJ20" s="352"/>
      <c r="LOK20" s="352"/>
      <c r="LOL20" s="352"/>
      <c r="LOM20" s="352"/>
      <c r="LON20" s="352"/>
      <c r="LOO20" s="352"/>
      <c r="LOP20" s="352"/>
      <c r="LOQ20" s="352"/>
      <c r="LOR20" s="352"/>
      <c r="LOS20" s="352"/>
      <c r="LOT20" s="352"/>
      <c r="LOU20" s="352"/>
      <c r="LOV20" s="352"/>
      <c r="LOW20" s="352"/>
      <c r="LOX20" s="352"/>
      <c r="LOY20" s="352"/>
      <c r="LOZ20" s="352"/>
      <c r="LPA20" s="352"/>
      <c r="LPB20" s="352"/>
      <c r="LPC20" s="352"/>
      <c r="LPD20" s="352"/>
      <c r="LPE20" s="352"/>
      <c r="LPF20" s="352"/>
      <c r="LPG20" s="352"/>
      <c r="LPH20" s="352"/>
      <c r="LPI20" s="352"/>
      <c r="LPJ20" s="352"/>
      <c r="LPK20" s="352"/>
      <c r="LPL20" s="352"/>
      <c r="LPM20" s="352"/>
      <c r="LPN20" s="352"/>
      <c r="LPO20" s="352"/>
      <c r="LPP20" s="352"/>
      <c r="LPQ20" s="352"/>
      <c r="LPR20" s="352"/>
      <c r="LPS20" s="352"/>
      <c r="LPT20" s="352"/>
      <c r="LPU20" s="352"/>
      <c r="LPV20" s="352"/>
      <c r="LPW20" s="352"/>
      <c r="LPX20" s="352"/>
      <c r="LPY20" s="352"/>
      <c r="LPZ20" s="352"/>
      <c r="LQA20" s="352"/>
      <c r="LQB20" s="352"/>
      <c r="LQC20" s="352"/>
      <c r="LQD20" s="352"/>
      <c r="LQE20" s="352"/>
      <c r="LQF20" s="352"/>
      <c r="LQG20" s="352"/>
      <c r="LQH20" s="352"/>
      <c r="LQI20" s="352"/>
      <c r="LQJ20" s="352"/>
      <c r="LQK20" s="352"/>
      <c r="LQL20" s="352"/>
      <c r="LQM20" s="352"/>
      <c r="LQN20" s="352"/>
      <c r="LQO20" s="352"/>
      <c r="LQP20" s="352"/>
      <c r="LQQ20" s="352"/>
      <c r="LQR20" s="352"/>
      <c r="LQS20" s="352"/>
      <c r="LQT20" s="352"/>
      <c r="LQU20" s="352"/>
      <c r="LQV20" s="352"/>
      <c r="LQW20" s="352"/>
      <c r="LQX20" s="352"/>
      <c r="LQY20" s="352"/>
      <c r="LQZ20" s="352"/>
      <c r="LRA20" s="352"/>
      <c r="LRB20" s="352"/>
      <c r="LRC20" s="352"/>
      <c r="LRD20" s="352"/>
      <c r="LRE20" s="352"/>
      <c r="LRF20" s="352"/>
      <c r="LRG20" s="352"/>
      <c r="LRH20" s="352"/>
      <c r="LRI20" s="352"/>
      <c r="LRJ20" s="352"/>
      <c r="LRK20" s="352"/>
      <c r="LRL20" s="352"/>
      <c r="LRM20" s="352"/>
      <c r="LRN20" s="352"/>
      <c r="LRO20" s="352"/>
      <c r="LRP20" s="352"/>
      <c r="LRQ20" s="352"/>
      <c r="LRR20" s="352"/>
      <c r="LRS20" s="352"/>
      <c r="LRT20" s="352"/>
      <c r="LRU20" s="352"/>
      <c r="LRV20" s="352"/>
      <c r="LRW20" s="352"/>
      <c r="LRX20" s="352"/>
      <c r="LRY20" s="352"/>
      <c r="LRZ20" s="352"/>
      <c r="LSA20" s="352"/>
      <c r="LSB20" s="352"/>
      <c r="LSC20" s="352"/>
      <c r="LSD20" s="352"/>
      <c r="LSE20" s="352"/>
      <c r="LSF20" s="352"/>
      <c r="LSG20" s="352"/>
      <c r="LSH20" s="352"/>
      <c r="LSI20" s="352"/>
      <c r="LSJ20" s="352"/>
      <c r="LSK20" s="352"/>
      <c r="LSL20" s="352"/>
      <c r="LSM20" s="352"/>
      <c r="LSN20" s="352"/>
      <c r="LSO20" s="352"/>
      <c r="LSP20" s="352"/>
      <c r="LSQ20" s="352"/>
      <c r="LSR20" s="352"/>
      <c r="LSS20" s="352"/>
      <c r="LST20" s="352"/>
      <c r="LSU20" s="352"/>
      <c r="LSV20" s="352"/>
      <c r="LSW20" s="352"/>
      <c r="LSX20" s="352"/>
      <c r="LSY20" s="352"/>
      <c r="LSZ20" s="352"/>
      <c r="LTA20" s="352"/>
      <c r="LTB20" s="352"/>
      <c r="LTC20" s="352"/>
      <c r="LTD20" s="352"/>
      <c r="LTE20" s="352"/>
      <c r="LTF20" s="352"/>
      <c r="LTG20" s="352"/>
      <c r="LTH20" s="352"/>
      <c r="LTI20" s="352"/>
      <c r="LTJ20" s="352"/>
      <c r="LTK20" s="352"/>
      <c r="LTL20" s="352"/>
      <c r="LTM20" s="352"/>
      <c r="LTN20" s="352"/>
      <c r="LTO20" s="352"/>
      <c r="LTP20" s="352"/>
      <c r="LTQ20" s="352"/>
      <c r="LTR20" s="352"/>
      <c r="LTS20" s="352"/>
      <c r="LTT20" s="352"/>
      <c r="LTU20" s="352"/>
      <c r="LTV20" s="352"/>
      <c r="LTW20" s="352"/>
      <c r="LTX20" s="352"/>
      <c r="LTY20" s="352"/>
      <c r="LTZ20" s="352"/>
      <c r="LUA20" s="352"/>
      <c r="LUB20" s="352"/>
      <c r="LUC20" s="352"/>
      <c r="LUD20" s="352"/>
      <c r="LUE20" s="352"/>
      <c r="LUF20" s="352"/>
      <c r="LUG20" s="352"/>
      <c r="LUH20" s="352"/>
      <c r="LUI20" s="352"/>
      <c r="LUJ20" s="352"/>
      <c r="LUK20" s="352"/>
      <c r="LUL20" s="352"/>
      <c r="LUM20" s="352"/>
      <c r="LUN20" s="352"/>
      <c r="LUO20" s="352"/>
      <c r="LUP20" s="352"/>
      <c r="LUQ20" s="352"/>
      <c r="LUR20" s="352"/>
      <c r="LUS20" s="352"/>
      <c r="LUT20" s="352"/>
      <c r="LUU20" s="352"/>
      <c r="LUV20" s="352"/>
      <c r="LUW20" s="352"/>
      <c r="LUX20" s="352"/>
      <c r="LUY20" s="352"/>
      <c r="LUZ20" s="352"/>
      <c r="LVA20" s="352"/>
      <c r="LVB20" s="352"/>
      <c r="LVC20" s="352"/>
      <c r="LVD20" s="352"/>
      <c r="LVE20" s="352"/>
      <c r="LVF20" s="352"/>
      <c r="LVG20" s="352"/>
      <c r="LVH20" s="352"/>
      <c r="LVI20" s="352"/>
      <c r="LVJ20" s="352"/>
      <c r="LVK20" s="352"/>
      <c r="LVL20" s="352"/>
      <c r="LVM20" s="352"/>
      <c r="LVN20" s="352"/>
      <c r="LVO20" s="352"/>
      <c r="LVP20" s="352"/>
      <c r="LVQ20" s="352"/>
      <c r="LVR20" s="352"/>
      <c r="LVS20" s="352"/>
      <c r="LVT20" s="352"/>
      <c r="LVU20" s="352"/>
      <c r="LVV20" s="352"/>
      <c r="LVW20" s="352"/>
      <c r="LVX20" s="352"/>
      <c r="LVY20" s="352"/>
      <c r="LVZ20" s="352"/>
      <c r="LWA20" s="352"/>
      <c r="LWB20" s="352"/>
      <c r="LWC20" s="352"/>
      <c r="LWD20" s="352"/>
      <c r="LWE20" s="352"/>
      <c r="LWF20" s="352"/>
      <c r="LWG20" s="352"/>
      <c r="LWH20" s="352"/>
      <c r="LWI20" s="352"/>
      <c r="LWJ20" s="352"/>
      <c r="LWK20" s="352"/>
      <c r="LWL20" s="352"/>
      <c r="LWM20" s="352"/>
      <c r="LWN20" s="352"/>
      <c r="LWO20" s="352"/>
      <c r="LWP20" s="352"/>
      <c r="LWQ20" s="352"/>
      <c r="LWR20" s="352"/>
      <c r="LWS20" s="352"/>
      <c r="LWT20" s="352"/>
      <c r="LWU20" s="352"/>
      <c r="LWV20" s="352"/>
      <c r="LWW20" s="352"/>
      <c r="LWX20" s="352"/>
      <c r="LWY20" s="352"/>
      <c r="LWZ20" s="352"/>
      <c r="LXA20" s="352"/>
      <c r="LXB20" s="352"/>
      <c r="LXC20" s="352"/>
      <c r="LXD20" s="352"/>
      <c r="LXE20" s="352"/>
      <c r="LXF20" s="352"/>
      <c r="LXG20" s="352"/>
      <c r="LXH20" s="352"/>
      <c r="LXI20" s="352"/>
      <c r="LXJ20" s="352"/>
      <c r="LXK20" s="352"/>
      <c r="LXL20" s="352"/>
      <c r="LXM20" s="352"/>
      <c r="LXN20" s="352"/>
      <c r="LXO20" s="352"/>
      <c r="LXP20" s="352"/>
      <c r="LXQ20" s="352"/>
      <c r="LXR20" s="352"/>
      <c r="LXS20" s="352"/>
      <c r="LXT20" s="352"/>
      <c r="LXU20" s="352"/>
      <c r="LXV20" s="352"/>
      <c r="LXW20" s="352"/>
      <c r="LXX20" s="352"/>
      <c r="LXY20" s="352"/>
      <c r="LXZ20" s="352"/>
      <c r="LYA20" s="352"/>
      <c r="LYB20" s="352"/>
      <c r="LYC20" s="352"/>
      <c r="LYD20" s="352"/>
      <c r="LYE20" s="352"/>
      <c r="LYF20" s="352"/>
      <c r="LYG20" s="352"/>
      <c r="LYH20" s="352"/>
      <c r="LYI20" s="352"/>
      <c r="LYJ20" s="352"/>
      <c r="LYK20" s="352"/>
      <c r="LYL20" s="352"/>
      <c r="LYM20" s="352"/>
      <c r="LYN20" s="352"/>
      <c r="LYO20" s="352"/>
      <c r="LYP20" s="352"/>
      <c r="LYQ20" s="352"/>
      <c r="LYR20" s="352"/>
      <c r="LYS20" s="352"/>
      <c r="LYT20" s="352"/>
      <c r="LYU20" s="352"/>
      <c r="LYV20" s="352"/>
      <c r="LYW20" s="352"/>
      <c r="LYX20" s="352"/>
      <c r="LYY20" s="352"/>
      <c r="LYZ20" s="352"/>
      <c r="LZA20" s="352"/>
      <c r="LZB20" s="352"/>
      <c r="LZC20" s="352"/>
      <c r="LZD20" s="352"/>
      <c r="LZE20" s="352"/>
      <c r="LZF20" s="352"/>
      <c r="LZG20" s="352"/>
      <c r="LZH20" s="352"/>
      <c r="LZI20" s="352"/>
      <c r="LZJ20" s="352"/>
      <c r="LZK20" s="352"/>
      <c r="LZL20" s="352"/>
      <c r="LZM20" s="352"/>
      <c r="LZN20" s="352"/>
      <c r="LZO20" s="352"/>
      <c r="LZP20" s="352"/>
      <c r="LZQ20" s="352"/>
      <c r="LZR20" s="352"/>
      <c r="LZS20" s="352"/>
      <c r="LZT20" s="352"/>
      <c r="LZU20" s="352"/>
      <c r="LZV20" s="352"/>
      <c r="LZW20" s="352"/>
      <c r="LZX20" s="352"/>
      <c r="LZY20" s="352"/>
      <c r="LZZ20" s="352"/>
      <c r="MAA20" s="352"/>
      <c r="MAB20" s="352"/>
      <c r="MAC20" s="352"/>
      <c r="MAD20" s="352"/>
      <c r="MAE20" s="352"/>
      <c r="MAF20" s="352"/>
      <c r="MAG20" s="352"/>
      <c r="MAH20" s="352"/>
      <c r="MAI20" s="352"/>
      <c r="MAJ20" s="352"/>
      <c r="MAK20" s="352"/>
      <c r="MAL20" s="352"/>
      <c r="MAM20" s="352"/>
      <c r="MAN20" s="352"/>
      <c r="MAO20" s="352"/>
      <c r="MAP20" s="352"/>
      <c r="MAQ20" s="352"/>
      <c r="MAR20" s="352"/>
      <c r="MAS20" s="352"/>
      <c r="MAT20" s="352"/>
      <c r="MAU20" s="352"/>
      <c r="MAV20" s="352"/>
      <c r="MAW20" s="352"/>
      <c r="MAX20" s="352"/>
      <c r="MAY20" s="352"/>
      <c r="MAZ20" s="352"/>
      <c r="MBA20" s="352"/>
      <c r="MBB20" s="352"/>
      <c r="MBC20" s="352"/>
      <c r="MBD20" s="352"/>
      <c r="MBE20" s="352"/>
      <c r="MBF20" s="352"/>
      <c r="MBG20" s="352"/>
      <c r="MBH20" s="352"/>
      <c r="MBI20" s="352"/>
      <c r="MBJ20" s="352"/>
      <c r="MBK20" s="352"/>
      <c r="MBL20" s="352"/>
      <c r="MBM20" s="352"/>
      <c r="MBN20" s="352"/>
      <c r="MBO20" s="352"/>
      <c r="MBP20" s="352"/>
      <c r="MBQ20" s="352"/>
      <c r="MBR20" s="352"/>
      <c r="MBS20" s="352"/>
      <c r="MBT20" s="352"/>
      <c r="MBU20" s="352"/>
      <c r="MBV20" s="352"/>
      <c r="MBW20" s="352"/>
      <c r="MBX20" s="352"/>
      <c r="MBY20" s="352"/>
      <c r="MBZ20" s="352"/>
      <c r="MCA20" s="352"/>
      <c r="MCB20" s="352"/>
      <c r="MCC20" s="352"/>
      <c r="MCD20" s="352"/>
      <c r="MCE20" s="352"/>
      <c r="MCF20" s="352"/>
      <c r="MCG20" s="352"/>
      <c r="MCH20" s="352"/>
      <c r="MCI20" s="352"/>
      <c r="MCJ20" s="352"/>
      <c r="MCK20" s="352"/>
      <c r="MCL20" s="352"/>
      <c r="MCM20" s="352"/>
      <c r="MCN20" s="352"/>
      <c r="MCO20" s="352"/>
      <c r="MCP20" s="352"/>
      <c r="MCQ20" s="352"/>
      <c r="MCR20" s="352"/>
      <c r="MCS20" s="352"/>
      <c r="MCT20" s="352"/>
      <c r="MCU20" s="352"/>
      <c r="MCV20" s="352"/>
      <c r="MCW20" s="352"/>
      <c r="MCX20" s="352"/>
      <c r="MCY20" s="352"/>
      <c r="MCZ20" s="352"/>
      <c r="MDA20" s="352"/>
      <c r="MDB20" s="352"/>
      <c r="MDC20" s="352"/>
      <c r="MDD20" s="352"/>
      <c r="MDE20" s="352"/>
      <c r="MDF20" s="352"/>
      <c r="MDG20" s="352"/>
      <c r="MDH20" s="352"/>
      <c r="MDI20" s="352"/>
      <c r="MDJ20" s="352"/>
      <c r="MDK20" s="352"/>
      <c r="MDL20" s="352"/>
      <c r="MDM20" s="352"/>
      <c r="MDN20" s="352"/>
      <c r="MDO20" s="352"/>
      <c r="MDP20" s="352"/>
      <c r="MDQ20" s="352"/>
      <c r="MDR20" s="352"/>
      <c r="MDS20" s="352"/>
      <c r="MDT20" s="352"/>
      <c r="MDU20" s="352"/>
      <c r="MDV20" s="352"/>
      <c r="MDW20" s="352"/>
      <c r="MDX20" s="352"/>
      <c r="MDY20" s="352"/>
      <c r="MDZ20" s="352"/>
      <c r="MEA20" s="352"/>
      <c r="MEB20" s="352"/>
      <c r="MEC20" s="352"/>
      <c r="MED20" s="352"/>
      <c r="MEE20" s="352"/>
      <c r="MEF20" s="352"/>
      <c r="MEG20" s="352"/>
      <c r="MEH20" s="352"/>
      <c r="MEI20" s="352"/>
      <c r="MEJ20" s="352"/>
      <c r="MEK20" s="352"/>
      <c r="MEL20" s="352"/>
      <c r="MEM20" s="352"/>
      <c r="MEN20" s="352"/>
      <c r="MEO20" s="352"/>
      <c r="MEP20" s="352"/>
      <c r="MEQ20" s="352"/>
      <c r="MER20" s="352"/>
      <c r="MES20" s="352"/>
      <c r="MET20" s="352"/>
      <c r="MEU20" s="352"/>
      <c r="MEV20" s="352"/>
      <c r="MEW20" s="352"/>
      <c r="MEX20" s="352"/>
      <c r="MEY20" s="352"/>
      <c r="MEZ20" s="352"/>
      <c r="MFA20" s="352"/>
      <c r="MFB20" s="352"/>
      <c r="MFC20" s="352"/>
      <c r="MFD20" s="352"/>
      <c r="MFE20" s="352"/>
      <c r="MFF20" s="352"/>
      <c r="MFG20" s="352"/>
      <c r="MFH20" s="352"/>
      <c r="MFI20" s="352"/>
      <c r="MFJ20" s="352"/>
      <c r="MFK20" s="352"/>
      <c r="MFL20" s="352"/>
      <c r="MFM20" s="352"/>
      <c r="MFN20" s="352"/>
      <c r="MFO20" s="352"/>
      <c r="MFP20" s="352"/>
      <c r="MFQ20" s="352"/>
      <c r="MFR20" s="352"/>
      <c r="MFS20" s="352"/>
      <c r="MFT20" s="352"/>
      <c r="MFU20" s="352"/>
      <c r="MFV20" s="352"/>
      <c r="MFW20" s="352"/>
      <c r="MFX20" s="352"/>
      <c r="MFY20" s="352"/>
      <c r="MFZ20" s="352"/>
      <c r="MGA20" s="352"/>
      <c r="MGB20" s="352"/>
      <c r="MGC20" s="352"/>
      <c r="MGD20" s="352"/>
      <c r="MGE20" s="352"/>
      <c r="MGF20" s="352"/>
      <c r="MGG20" s="352"/>
      <c r="MGH20" s="352"/>
      <c r="MGI20" s="352"/>
      <c r="MGJ20" s="352"/>
      <c r="MGK20" s="352"/>
      <c r="MGL20" s="352"/>
      <c r="MGM20" s="352"/>
      <c r="MGN20" s="352"/>
      <c r="MGO20" s="352"/>
      <c r="MGP20" s="352"/>
      <c r="MGQ20" s="352"/>
      <c r="MGR20" s="352"/>
      <c r="MGS20" s="352"/>
      <c r="MGT20" s="352"/>
      <c r="MGU20" s="352"/>
      <c r="MGV20" s="352"/>
      <c r="MGW20" s="352"/>
      <c r="MGX20" s="352"/>
      <c r="MGY20" s="352"/>
      <c r="MGZ20" s="352"/>
      <c r="MHA20" s="352"/>
      <c r="MHB20" s="352"/>
      <c r="MHC20" s="352"/>
      <c r="MHD20" s="352"/>
      <c r="MHE20" s="352"/>
      <c r="MHF20" s="352"/>
      <c r="MHG20" s="352"/>
      <c r="MHH20" s="352"/>
      <c r="MHI20" s="352"/>
      <c r="MHJ20" s="352"/>
      <c r="MHK20" s="352"/>
      <c r="MHL20" s="352"/>
      <c r="MHM20" s="352"/>
      <c r="MHN20" s="352"/>
      <c r="MHO20" s="352"/>
      <c r="MHP20" s="352"/>
      <c r="MHQ20" s="352"/>
      <c r="MHR20" s="352"/>
      <c r="MHS20" s="352"/>
      <c r="MHT20" s="352"/>
      <c r="MHU20" s="352"/>
      <c r="MHV20" s="352"/>
      <c r="MHW20" s="352"/>
      <c r="MHX20" s="352"/>
      <c r="MHY20" s="352"/>
      <c r="MHZ20" s="352"/>
      <c r="MIA20" s="352"/>
      <c r="MIB20" s="352"/>
      <c r="MIC20" s="352"/>
      <c r="MID20" s="352"/>
      <c r="MIE20" s="352"/>
      <c r="MIF20" s="352"/>
      <c r="MIG20" s="352"/>
      <c r="MIH20" s="352"/>
      <c r="MII20" s="352"/>
      <c r="MIJ20" s="352"/>
      <c r="MIK20" s="352"/>
      <c r="MIL20" s="352"/>
      <c r="MIM20" s="352"/>
      <c r="MIN20" s="352"/>
      <c r="MIO20" s="352"/>
      <c r="MIP20" s="352"/>
      <c r="MIQ20" s="352"/>
      <c r="MIR20" s="352"/>
      <c r="MIS20" s="352"/>
      <c r="MIT20" s="352"/>
      <c r="MIU20" s="352"/>
      <c r="MIV20" s="352"/>
      <c r="MIW20" s="352"/>
      <c r="MIX20" s="352"/>
      <c r="MIY20" s="352"/>
      <c r="MIZ20" s="352"/>
      <c r="MJA20" s="352"/>
      <c r="MJB20" s="352"/>
      <c r="MJC20" s="352"/>
      <c r="MJD20" s="352"/>
      <c r="MJE20" s="352"/>
      <c r="MJF20" s="352"/>
      <c r="MJG20" s="352"/>
      <c r="MJH20" s="352"/>
      <c r="MJI20" s="352"/>
      <c r="MJJ20" s="352"/>
      <c r="MJK20" s="352"/>
      <c r="MJL20" s="352"/>
      <c r="MJM20" s="352"/>
      <c r="MJN20" s="352"/>
      <c r="MJO20" s="352"/>
      <c r="MJP20" s="352"/>
      <c r="MJQ20" s="352"/>
      <c r="MJR20" s="352"/>
      <c r="MJS20" s="352"/>
      <c r="MJT20" s="352"/>
      <c r="MJU20" s="352"/>
      <c r="MJV20" s="352"/>
      <c r="MJW20" s="352"/>
      <c r="MJX20" s="352"/>
      <c r="MJY20" s="352"/>
      <c r="MJZ20" s="352"/>
      <c r="MKA20" s="352"/>
      <c r="MKB20" s="352"/>
      <c r="MKC20" s="352"/>
      <c r="MKD20" s="352"/>
      <c r="MKE20" s="352"/>
      <c r="MKF20" s="352"/>
      <c r="MKG20" s="352"/>
      <c r="MKH20" s="352"/>
      <c r="MKI20" s="352"/>
      <c r="MKJ20" s="352"/>
      <c r="MKK20" s="352"/>
      <c r="MKL20" s="352"/>
      <c r="MKM20" s="352"/>
      <c r="MKN20" s="352"/>
      <c r="MKO20" s="352"/>
      <c r="MKP20" s="352"/>
      <c r="MKQ20" s="352"/>
      <c r="MKR20" s="352"/>
      <c r="MKS20" s="352"/>
      <c r="MKT20" s="352"/>
      <c r="MKU20" s="352"/>
      <c r="MKV20" s="352"/>
      <c r="MKW20" s="352"/>
      <c r="MKX20" s="352"/>
      <c r="MKY20" s="352"/>
      <c r="MKZ20" s="352"/>
      <c r="MLA20" s="352"/>
      <c r="MLB20" s="352"/>
      <c r="MLC20" s="352"/>
      <c r="MLD20" s="352"/>
      <c r="MLE20" s="352"/>
      <c r="MLF20" s="352"/>
      <c r="MLG20" s="352"/>
      <c r="MLH20" s="352"/>
      <c r="MLI20" s="352"/>
      <c r="MLJ20" s="352"/>
      <c r="MLK20" s="352"/>
      <c r="MLL20" s="352"/>
      <c r="MLM20" s="352"/>
      <c r="MLN20" s="352"/>
      <c r="MLO20" s="352"/>
      <c r="MLP20" s="352"/>
      <c r="MLQ20" s="352"/>
      <c r="MLR20" s="352"/>
      <c r="MLS20" s="352"/>
      <c r="MLT20" s="352"/>
      <c r="MLU20" s="352"/>
      <c r="MLV20" s="352"/>
      <c r="MLW20" s="352"/>
      <c r="MLX20" s="352"/>
      <c r="MLY20" s="352"/>
      <c r="MLZ20" s="352"/>
      <c r="MMA20" s="352"/>
      <c r="MMB20" s="352"/>
      <c r="MMC20" s="352"/>
      <c r="MMD20" s="352"/>
      <c r="MME20" s="352"/>
      <c r="MMF20" s="352"/>
      <c r="MMG20" s="352"/>
      <c r="MMH20" s="352"/>
      <c r="MMI20" s="352"/>
      <c r="MMJ20" s="352"/>
      <c r="MMK20" s="352"/>
      <c r="MML20" s="352"/>
      <c r="MMM20" s="352"/>
      <c r="MMN20" s="352"/>
      <c r="MMO20" s="352"/>
      <c r="MMP20" s="352"/>
      <c r="MMQ20" s="352"/>
      <c r="MMR20" s="352"/>
      <c r="MMS20" s="352"/>
      <c r="MMT20" s="352"/>
      <c r="MMU20" s="352"/>
      <c r="MMV20" s="352"/>
      <c r="MMW20" s="352"/>
      <c r="MMX20" s="352"/>
      <c r="MMY20" s="352"/>
      <c r="MMZ20" s="352"/>
      <c r="MNA20" s="352"/>
      <c r="MNB20" s="352"/>
      <c r="MNC20" s="352"/>
      <c r="MND20" s="352"/>
      <c r="MNE20" s="352"/>
      <c r="MNF20" s="352"/>
      <c r="MNG20" s="352"/>
      <c r="MNH20" s="352"/>
      <c r="MNI20" s="352"/>
      <c r="MNJ20" s="352"/>
      <c r="MNK20" s="352"/>
      <c r="MNL20" s="352"/>
      <c r="MNM20" s="352"/>
      <c r="MNN20" s="352"/>
      <c r="MNO20" s="352"/>
      <c r="MNP20" s="352"/>
      <c r="MNQ20" s="352"/>
      <c r="MNR20" s="352"/>
      <c r="MNS20" s="352"/>
      <c r="MNT20" s="352"/>
      <c r="MNU20" s="352"/>
      <c r="MNV20" s="352"/>
      <c r="MNW20" s="352"/>
      <c r="MNX20" s="352"/>
      <c r="MNY20" s="352"/>
      <c r="MNZ20" s="352"/>
      <c r="MOA20" s="352"/>
      <c r="MOB20" s="352"/>
      <c r="MOC20" s="352"/>
      <c r="MOD20" s="352"/>
      <c r="MOE20" s="352"/>
      <c r="MOF20" s="352"/>
      <c r="MOG20" s="352"/>
      <c r="MOH20" s="352"/>
      <c r="MOI20" s="352"/>
      <c r="MOJ20" s="352"/>
      <c r="MOK20" s="352"/>
      <c r="MOL20" s="352"/>
      <c r="MOM20" s="352"/>
      <c r="MON20" s="352"/>
      <c r="MOO20" s="352"/>
      <c r="MOP20" s="352"/>
      <c r="MOQ20" s="352"/>
      <c r="MOR20" s="352"/>
      <c r="MOS20" s="352"/>
      <c r="MOT20" s="352"/>
      <c r="MOU20" s="352"/>
      <c r="MOV20" s="352"/>
      <c r="MOW20" s="352"/>
      <c r="MOX20" s="352"/>
      <c r="MOY20" s="352"/>
      <c r="MOZ20" s="352"/>
      <c r="MPA20" s="352"/>
      <c r="MPB20" s="352"/>
      <c r="MPC20" s="352"/>
      <c r="MPD20" s="352"/>
      <c r="MPE20" s="352"/>
      <c r="MPF20" s="352"/>
      <c r="MPG20" s="352"/>
      <c r="MPH20" s="352"/>
      <c r="MPI20" s="352"/>
      <c r="MPJ20" s="352"/>
      <c r="MPK20" s="352"/>
      <c r="MPL20" s="352"/>
      <c r="MPM20" s="352"/>
      <c r="MPN20" s="352"/>
      <c r="MPO20" s="352"/>
      <c r="MPP20" s="352"/>
      <c r="MPQ20" s="352"/>
      <c r="MPR20" s="352"/>
      <c r="MPS20" s="352"/>
      <c r="MPT20" s="352"/>
      <c r="MPU20" s="352"/>
      <c r="MPV20" s="352"/>
      <c r="MPW20" s="352"/>
      <c r="MPX20" s="352"/>
      <c r="MPY20" s="352"/>
      <c r="MPZ20" s="352"/>
      <c r="MQA20" s="352"/>
      <c r="MQB20" s="352"/>
      <c r="MQC20" s="352"/>
      <c r="MQD20" s="352"/>
      <c r="MQE20" s="352"/>
      <c r="MQF20" s="352"/>
      <c r="MQG20" s="352"/>
      <c r="MQH20" s="352"/>
      <c r="MQI20" s="352"/>
      <c r="MQJ20" s="352"/>
      <c r="MQK20" s="352"/>
      <c r="MQL20" s="352"/>
      <c r="MQM20" s="352"/>
      <c r="MQN20" s="352"/>
      <c r="MQO20" s="352"/>
      <c r="MQP20" s="352"/>
      <c r="MQQ20" s="352"/>
      <c r="MQR20" s="352"/>
      <c r="MQS20" s="352"/>
      <c r="MQT20" s="352"/>
      <c r="MQU20" s="352"/>
      <c r="MQV20" s="352"/>
      <c r="MQW20" s="352"/>
      <c r="MQX20" s="352"/>
      <c r="MQY20" s="352"/>
      <c r="MQZ20" s="352"/>
      <c r="MRA20" s="352"/>
      <c r="MRB20" s="352"/>
      <c r="MRC20" s="352"/>
      <c r="MRD20" s="352"/>
      <c r="MRE20" s="352"/>
      <c r="MRF20" s="352"/>
      <c r="MRG20" s="352"/>
      <c r="MRH20" s="352"/>
      <c r="MRI20" s="352"/>
      <c r="MRJ20" s="352"/>
      <c r="MRK20" s="352"/>
      <c r="MRL20" s="352"/>
      <c r="MRM20" s="352"/>
      <c r="MRN20" s="352"/>
      <c r="MRO20" s="352"/>
      <c r="MRP20" s="352"/>
      <c r="MRQ20" s="352"/>
      <c r="MRR20" s="352"/>
      <c r="MRS20" s="352"/>
      <c r="MRT20" s="352"/>
      <c r="MRU20" s="352"/>
      <c r="MRV20" s="352"/>
      <c r="MRW20" s="352"/>
      <c r="MRX20" s="352"/>
      <c r="MRY20" s="352"/>
      <c r="MRZ20" s="352"/>
      <c r="MSA20" s="352"/>
      <c r="MSB20" s="352"/>
      <c r="MSC20" s="352"/>
      <c r="MSD20" s="352"/>
      <c r="MSE20" s="352"/>
      <c r="MSF20" s="352"/>
      <c r="MSG20" s="352"/>
      <c r="MSH20" s="352"/>
      <c r="MSI20" s="352"/>
      <c r="MSJ20" s="352"/>
      <c r="MSK20" s="352"/>
      <c r="MSL20" s="352"/>
      <c r="MSM20" s="352"/>
      <c r="MSN20" s="352"/>
      <c r="MSO20" s="352"/>
      <c r="MSP20" s="352"/>
      <c r="MSQ20" s="352"/>
      <c r="MSR20" s="352"/>
      <c r="MSS20" s="352"/>
      <c r="MST20" s="352"/>
      <c r="MSU20" s="352"/>
      <c r="MSV20" s="352"/>
      <c r="MSW20" s="352"/>
      <c r="MSX20" s="352"/>
      <c r="MSY20" s="352"/>
      <c r="MSZ20" s="352"/>
      <c r="MTA20" s="352"/>
      <c r="MTB20" s="352"/>
      <c r="MTC20" s="352"/>
      <c r="MTD20" s="352"/>
      <c r="MTE20" s="352"/>
      <c r="MTF20" s="352"/>
      <c r="MTG20" s="352"/>
      <c r="MTH20" s="352"/>
      <c r="MTI20" s="352"/>
      <c r="MTJ20" s="352"/>
      <c r="MTK20" s="352"/>
      <c r="MTL20" s="352"/>
      <c r="MTM20" s="352"/>
      <c r="MTN20" s="352"/>
      <c r="MTO20" s="352"/>
      <c r="MTP20" s="352"/>
      <c r="MTQ20" s="352"/>
      <c r="MTR20" s="352"/>
      <c r="MTS20" s="352"/>
      <c r="MTT20" s="352"/>
      <c r="MTU20" s="352"/>
      <c r="MTV20" s="352"/>
      <c r="MTW20" s="352"/>
      <c r="MTX20" s="352"/>
      <c r="MTY20" s="352"/>
      <c r="MTZ20" s="352"/>
      <c r="MUA20" s="352"/>
      <c r="MUB20" s="352"/>
      <c r="MUC20" s="352"/>
      <c r="MUD20" s="352"/>
      <c r="MUE20" s="352"/>
      <c r="MUF20" s="352"/>
      <c r="MUG20" s="352"/>
      <c r="MUH20" s="352"/>
      <c r="MUI20" s="352"/>
      <c r="MUJ20" s="352"/>
      <c r="MUK20" s="352"/>
      <c r="MUL20" s="352"/>
      <c r="MUM20" s="352"/>
      <c r="MUN20" s="352"/>
      <c r="MUO20" s="352"/>
      <c r="MUP20" s="352"/>
      <c r="MUQ20" s="352"/>
      <c r="MUR20" s="352"/>
      <c r="MUS20" s="352"/>
      <c r="MUT20" s="352"/>
      <c r="MUU20" s="352"/>
      <c r="MUV20" s="352"/>
      <c r="MUW20" s="352"/>
      <c r="MUX20" s="352"/>
      <c r="MUY20" s="352"/>
      <c r="MUZ20" s="352"/>
      <c r="MVA20" s="352"/>
      <c r="MVB20" s="352"/>
      <c r="MVC20" s="352"/>
      <c r="MVD20" s="352"/>
      <c r="MVE20" s="352"/>
      <c r="MVF20" s="352"/>
      <c r="MVG20" s="352"/>
      <c r="MVH20" s="352"/>
      <c r="MVI20" s="352"/>
      <c r="MVJ20" s="352"/>
      <c r="MVK20" s="352"/>
      <c r="MVL20" s="352"/>
      <c r="MVM20" s="352"/>
      <c r="MVN20" s="352"/>
      <c r="MVO20" s="352"/>
      <c r="MVP20" s="352"/>
      <c r="MVQ20" s="352"/>
      <c r="MVR20" s="352"/>
      <c r="MVS20" s="352"/>
      <c r="MVT20" s="352"/>
      <c r="MVU20" s="352"/>
      <c r="MVV20" s="352"/>
      <c r="MVW20" s="352"/>
      <c r="MVX20" s="352"/>
      <c r="MVY20" s="352"/>
      <c r="MVZ20" s="352"/>
      <c r="MWA20" s="352"/>
      <c r="MWB20" s="352"/>
      <c r="MWC20" s="352"/>
      <c r="MWD20" s="352"/>
      <c r="MWE20" s="352"/>
      <c r="MWF20" s="352"/>
      <c r="MWG20" s="352"/>
      <c r="MWH20" s="352"/>
      <c r="MWI20" s="352"/>
      <c r="MWJ20" s="352"/>
      <c r="MWK20" s="352"/>
      <c r="MWL20" s="352"/>
      <c r="MWM20" s="352"/>
      <c r="MWN20" s="352"/>
      <c r="MWO20" s="352"/>
      <c r="MWP20" s="352"/>
      <c r="MWQ20" s="352"/>
      <c r="MWR20" s="352"/>
      <c r="MWS20" s="352"/>
      <c r="MWT20" s="352"/>
      <c r="MWU20" s="352"/>
      <c r="MWV20" s="352"/>
      <c r="MWW20" s="352"/>
      <c r="MWX20" s="352"/>
      <c r="MWY20" s="352"/>
      <c r="MWZ20" s="352"/>
      <c r="MXA20" s="352"/>
      <c r="MXB20" s="352"/>
      <c r="MXC20" s="352"/>
      <c r="MXD20" s="352"/>
      <c r="MXE20" s="352"/>
      <c r="MXF20" s="352"/>
      <c r="MXG20" s="352"/>
      <c r="MXH20" s="352"/>
      <c r="MXI20" s="352"/>
      <c r="MXJ20" s="352"/>
      <c r="MXK20" s="352"/>
      <c r="MXL20" s="352"/>
      <c r="MXM20" s="352"/>
      <c r="MXN20" s="352"/>
      <c r="MXO20" s="352"/>
      <c r="MXP20" s="352"/>
      <c r="MXQ20" s="352"/>
      <c r="MXR20" s="352"/>
      <c r="MXS20" s="352"/>
      <c r="MXT20" s="352"/>
      <c r="MXU20" s="352"/>
      <c r="MXV20" s="352"/>
      <c r="MXW20" s="352"/>
      <c r="MXX20" s="352"/>
      <c r="MXY20" s="352"/>
      <c r="MXZ20" s="352"/>
      <c r="MYA20" s="352"/>
      <c r="MYB20" s="352"/>
      <c r="MYC20" s="352"/>
      <c r="MYD20" s="352"/>
      <c r="MYE20" s="352"/>
      <c r="MYF20" s="352"/>
      <c r="MYG20" s="352"/>
      <c r="MYH20" s="352"/>
      <c r="MYI20" s="352"/>
      <c r="MYJ20" s="352"/>
      <c r="MYK20" s="352"/>
      <c r="MYL20" s="352"/>
      <c r="MYM20" s="352"/>
      <c r="MYN20" s="352"/>
      <c r="MYO20" s="352"/>
      <c r="MYP20" s="352"/>
      <c r="MYQ20" s="352"/>
      <c r="MYR20" s="352"/>
      <c r="MYS20" s="352"/>
      <c r="MYT20" s="352"/>
      <c r="MYU20" s="352"/>
      <c r="MYV20" s="352"/>
      <c r="MYW20" s="352"/>
      <c r="MYX20" s="352"/>
      <c r="MYY20" s="352"/>
      <c r="MYZ20" s="352"/>
      <c r="MZA20" s="352"/>
      <c r="MZB20" s="352"/>
      <c r="MZC20" s="352"/>
      <c r="MZD20" s="352"/>
      <c r="MZE20" s="352"/>
      <c r="MZF20" s="352"/>
      <c r="MZG20" s="352"/>
      <c r="MZH20" s="352"/>
      <c r="MZI20" s="352"/>
      <c r="MZJ20" s="352"/>
      <c r="MZK20" s="352"/>
      <c r="MZL20" s="352"/>
      <c r="MZM20" s="352"/>
      <c r="MZN20" s="352"/>
      <c r="MZO20" s="352"/>
      <c r="MZP20" s="352"/>
      <c r="MZQ20" s="352"/>
      <c r="MZR20" s="352"/>
      <c r="MZS20" s="352"/>
      <c r="MZT20" s="352"/>
      <c r="MZU20" s="352"/>
      <c r="MZV20" s="352"/>
      <c r="MZW20" s="352"/>
      <c r="MZX20" s="352"/>
      <c r="MZY20" s="352"/>
      <c r="MZZ20" s="352"/>
      <c r="NAA20" s="352"/>
      <c r="NAB20" s="352"/>
      <c r="NAC20" s="352"/>
      <c r="NAD20" s="352"/>
      <c r="NAE20" s="352"/>
      <c r="NAF20" s="352"/>
      <c r="NAG20" s="352"/>
      <c r="NAH20" s="352"/>
      <c r="NAI20" s="352"/>
      <c r="NAJ20" s="352"/>
      <c r="NAK20" s="352"/>
      <c r="NAL20" s="352"/>
      <c r="NAM20" s="352"/>
      <c r="NAN20" s="352"/>
      <c r="NAO20" s="352"/>
      <c r="NAP20" s="352"/>
      <c r="NAQ20" s="352"/>
      <c r="NAR20" s="352"/>
      <c r="NAS20" s="352"/>
      <c r="NAT20" s="352"/>
      <c r="NAU20" s="352"/>
      <c r="NAV20" s="352"/>
      <c r="NAW20" s="352"/>
      <c r="NAX20" s="352"/>
      <c r="NAY20" s="352"/>
      <c r="NAZ20" s="352"/>
      <c r="NBA20" s="352"/>
      <c r="NBB20" s="352"/>
      <c r="NBC20" s="352"/>
      <c r="NBD20" s="352"/>
      <c r="NBE20" s="352"/>
      <c r="NBF20" s="352"/>
      <c r="NBG20" s="352"/>
      <c r="NBH20" s="352"/>
      <c r="NBI20" s="352"/>
      <c r="NBJ20" s="352"/>
      <c r="NBK20" s="352"/>
      <c r="NBL20" s="352"/>
      <c r="NBM20" s="352"/>
      <c r="NBN20" s="352"/>
      <c r="NBO20" s="352"/>
      <c r="NBP20" s="352"/>
      <c r="NBQ20" s="352"/>
      <c r="NBR20" s="352"/>
      <c r="NBS20" s="352"/>
      <c r="NBT20" s="352"/>
      <c r="NBU20" s="352"/>
      <c r="NBV20" s="352"/>
      <c r="NBW20" s="352"/>
      <c r="NBX20" s="352"/>
      <c r="NBY20" s="352"/>
      <c r="NBZ20" s="352"/>
      <c r="NCA20" s="352"/>
      <c r="NCB20" s="352"/>
      <c r="NCC20" s="352"/>
      <c r="NCD20" s="352"/>
      <c r="NCE20" s="352"/>
      <c r="NCF20" s="352"/>
      <c r="NCG20" s="352"/>
      <c r="NCH20" s="352"/>
      <c r="NCI20" s="352"/>
      <c r="NCJ20" s="352"/>
      <c r="NCK20" s="352"/>
      <c r="NCL20" s="352"/>
      <c r="NCM20" s="352"/>
      <c r="NCN20" s="352"/>
      <c r="NCO20" s="352"/>
      <c r="NCP20" s="352"/>
      <c r="NCQ20" s="352"/>
      <c r="NCR20" s="352"/>
      <c r="NCS20" s="352"/>
      <c r="NCT20" s="352"/>
      <c r="NCU20" s="352"/>
      <c r="NCV20" s="352"/>
      <c r="NCW20" s="352"/>
      <c r="NCX20" s="352"/>
      <c r="NCY20" s="352"/>
      <c r="NCZ20" s="352"/>
      <c r="NDA20" s="352"/>
      <c r="NDB20" s="352"/>
      <c r="NDC20" s="352"/>
      <c r="NDD20" s="352"/>
      <c r="NDE20" s="352"/>
      <c r="NDF20" s="352"/>
      <c r="NDG20" s="352"/>
      <c r="NDH20" s="352"/>
      <c r="NDI20" s="352"/>
      <c r="NDJ20" s="352"/>
      <c r="NDK20" s="352"/>
      <c r="NDL20" s="352"/>
      <c r="NDM20" s="352"/>
      <c r="NDN20" s="352"/>
      <c r="NDO20" s="352"/>
      <c r="NDP20" s="352"/>
      <c r="NDQ20" s="352"/>
      <c r="NDR20" s="352"/>
      <c r="NDS20" s="352"/>
      <c r="NDT20" s="352"/>
      <c r="NDU20" s="352"/>
      <c r="NDV20" s="352"/>
      <c r="NDW20" s="352"/>
      <c r="NDX20" s="352"/>
      <c r="NDY20" s="352"/>
      <c r="NDZ20" s="352"/>
      <c r="NEA20" s="352"/>
      <c r="NEB20" s="352"/>
      <c r="NEC20" s="352"/>
      <c r="NED20" s="352"/>
      <c r="NEE20" s="352"/>
      <c r="NEF20" s="352"/>
      <c r="NEG20" s="352"/>
      <c r="NEH20" s="352"/>
      <c r="NEI20" s="352"/>
      <c r="NEJ20" s="352"/>
      <c r="NEK20" s="352"/>
      <c r="NEL20" s="352"/>
      <c r="NEM20" s="352"/>
      <c r="NEN20" s="352"/>
      <c r="NEO20" s="352"/>
      <c r="NEP20" s="352"/>
      <c r="NEQ20" s="352"/>
      <c r="NER20" s="352"/>
      <c r="NES20" s="352"/>
      <c r="NET20" s="352"/>
      <c r="NEU20" s="352"/>
      <c r="NEV20" s="352"/>
      <c r="NEW20" s="352"/>
      <c r="NEX20" s="352"/>
      <c r="NEY20" s="352"/>
      <c r="NEZ20" s="352"/>
      <c r="NFA20" s="352"/>
      <c r="NFB20" s="352"/>
      <c r="NFC20" s="352"/>
      <c r="NFD20" s="352"/>
      <c r="NFE20" s="352"/>
      <c r="NFF20" s="352"/>
      <c r="NFG20" s="352"/>
      <c r="NFH20" s="352"/>
      <c r="NFI20" s="352"/>
      <c r="NFJ20" s="352"/>
      <c r="NFK20" s="352"/>
      <c r="NFL20" s="352"/>
      <c r="NFM20" s="352"/>
      <c r="NFN20" s="352"/>
      <c r="NFO20" s="352"/>
      <c r="NFP20" s="352"/>
      <c r="NFQ20" s="352"/>
      <c r="NFR20" s="352"/>
      <c r="NFS20" s="352"/>
      <c r="NFT20" s="352"/>
      <c r="NFU20" s="352"/>
      <c r="NFV20" s="352"/>
      <c r="NFW20" s="352"/>
      <c r="NFX20" s="352"/>
      <c r="NFY20" s="352"/>
      <c r="NFZ20" s="352"/>
      <c r="NGA20" s="352"/>
      <c r="NGB20" s="352"/>
      <c r="NGC20" s="352"/>
      <c r="NGD20" s="352"/>
      <c r="NGE20" s="352"/>
      <c r="NGF20" s="352"/>
      <c r="NGG20" s="352"/>
      <c r="NGH20" s="352"/>
      <c r="NGI20" s="352"/>
      <c r="NGJ20" s="352"/>
      <c r="NGK20" s="352"/>
      <c r="NGL20" s="352"/>
      <c r="NGM20" s="352"/>
      <c r="NGN20" s="352"/>
      <c r="NGO20" s="352"/>
      <c r="NGP20" s="352"/>
      <c r="NGQ20" s="352"/>
      <c r="NGR20" s="352"/>
      <c r="NGS20" s="352"/>
      <c r="NGT20" s="352"/>
      <c r="NGU20" s="352"/>
      <c r="NGV20" s="352"/>
      <c r="NGW20" s="352"/>
      <c r="NGX20" s="352"/>
      <c r="NGY20" s="352"/>
      <c r="NGZ20" s="352"/>
      <c r="NHA20" s="352"/>
      <c r="NHB20" s="352"/>
      <c r="NHC20" s="352"/>
      <c r="NHD20" s="352"/>
      <c r="NHE20" s="352"/>
      <c r="NHF20" s="352"/>
      <c r="NHG20" s="352"/>
      <c r="NHH20" s="352"/>
      <c r="NHI20" s="352"/>
      <c r="NHJ20" s="352"/>
      <c r="NHK20" s="352"/>
      <c r="NHL20" s="352"/>
      <c r="NHM20" s="352"/>
      <c r="NHN20" s="352"/>
      <c r="NHO20" s="352"/>
      <c r="NHP20" s="352"/>
      <c r="NHQ20" s="352"/>
      <c r="NHR20" s="352"/>
      <c r="NHS20" s="352"/>
      <c r="NHT20" s="352"/>
      <c r="NHU20" s="352"/>
      <c r="NHV20" s="352"/>
      <c r="NHW20" s="352"/>
      <c r="NHX20" s="352"/>
      <c r="NHY20" s="352"/>
      <c r="NHZ20" s="352"/>
      <c r="NIA20" s="352"/>
      <c r="NIB20" s="352"/>
      <c r="NIC20" s="352"/>
      <c r="NID20" s="352"/>
      <c r="NIE20" s="352"/>
      <c r="NIF20" s="352"/>
      <c r="NIG20" s="352"/>
      <c r="NIH20" s="352"/>
      <c r="NII20" s="352"/>
      <c r="NIJ20" s="352"/>
      <c r="NIK20" s="352"/>
      <c r="NIL20" s="352"/>
      <c r="NIM20" s="352"/>
      <c r="NIN20" s="352"/>
      <c r="NIO20" s="352"/>
      <c r="NIP20" s="352"/>
      <c r="NIQ20" s="352"/>
      <c r="NIR20" s="352"/>
      <c r="NIS20" s="352"/>
      <c r="NIT20" s="352"/>
      <c r="NIU20" s="352"/>
      <c r="NIV20" s="352"/>
      <c r="NIW20" s="352"/>
      <c r="NIX20" s="352"/>
      <c r="NIY20" s="352"/>
      <c r="NIZ20" s="352"/>
      <c r="NJA20" s="352"/>
      <c r="NJB20" s="352"/>
      <c r="NJC20" s="352"/>
      <c r="NJD20" s="352"/>
      <c r="NJE20" s="352"/>
      <c r="NJF20" s="352"/>
      <c r="NJG20" s="352"/>
      <c r="NJH20" s="352"/>
      <c r="NJI20" s="352"/>
      <c r="NJJ20" s="352"/>
      <c r="NJK20" s="352"/>
      <c r="NJL20" s="352"/>
      <c r="NJM20" s="352"/>
      <c r="NJN20" s="352"/>
      <c r="NJO20" s="352"/>
      <c r="NJP20" s="352"/>
      <c r="NJQ20" s="352"/>
      <c r="NJR20" s="352"/>
      <c r="NJS20" s="352"/>
      <c r="NJT20" s="352"/>
      <c r="NJU20" s="352"/>
      <c r="NJV20" s="352"/>
      <c r="NJW20" s="352"/>
      <c r="NJX20" s="352"/>
      <c r="NJY20" s="352"/>
      <c r="NJZ20" s="352"/>
      <c r="NKA20" s="352"/>
      <c r="NKB20" s="352"/>
      <c r="NKC20" s="352"/>
      <c r="NKD20" s="352"/>
      <c r="NKE20" s="352"/>
      <c r="NKF20" s="352"/>
      <c r="NKG20" s="352"/>
      <c r="NKH20" s="352"/>
      <c r="NKI20" s="352"/>
      <c r="NKJ20" s="352"/>
      <c r="NKK20" s="352"/>
      <c r="NKL20" s="352"/>
      <c r="NKM20" s="352"/>
      <c r="NKN20" s="352"/>
      <c r="NKO20" s="352"/>
      <c r="NKP20" s="352"/>
      <c r="NKQ20" s="352"/>
      <c r="NKR20" s="352"/>
      <c r="NKS20" s="352"/>
      <c r="NKT20" s="352"/>
      <c r="NKU20" s="352"/>
      <c r="NKV20" s="352"/>
      <c r="NKW20" s="352"/>
      <c r="NKX20" s="352"/>
      <c r="NKY20" s="352"/>
      <c r="NKZ20" s="352"/>
      <c r="NLA20" s="352"/>
      <c r="NLB20" s="352"/>
      <c r="NLC20" s="352"/>
      <c r="NLD20" s="352"/>
      <c r="NLE20" s="352"/>
      <c r="NLF20" s="352"/>
      <c r="NLG20" s="352"/>
      <c r="NLH20" s="352"/>
      <c r="NLI20" s="352"/>
      <c r="NLJ20" s="352"/>
      <c r="NLK20" s="352"/>
      <c r="NLL20" s="352"/>
      <c r="NLM20" s="352"/>
      <c r="NLN20" s="352"/>
      <c r="NLO20" s="352"/>
      <c r="NLP20" s="352"/>
      <c r="NLQ20" s="352"/>
      <c r="NLR20" s="352"/>
      <c r="NLS20" s="352"/>
      <c r="NLT20" s="352"/>
      <c r="NLU20" s="352"/>
      <c r="NLV20" s="352"/>
      <c r="NLW20" s="352"/>
      <c r="NLX20" s="352"/>
      <c r="NLY20" s="352"/>
      <c r="NLZ20" s="352"/>
      <c r="NMA20" s="352"/>
      <c r="NMB20" s="352"/>
      <c r="NMC20" s="352"/>
      <c r="NMD20" s="352"/>
      <c r="NME20" s="352"/>
      <c r="NMF20" s="352"/>
      <c r="NMG20" s="352"/>
      <c r="NMH20" s="352"/>
      <c r="NMI20" s="352"/>
      <c r="NMJ20" s="352"/>
      <c r="NMK20" s="352"/>
      <c r="NML20" s="352"/>
      <c r="NMM20" s="352"/>
      <c r="NMN20" s="352"/>
      <c r="NMO20" s="352"/>
      <c r="NMP20" s="352"/>
      <c r="NMQ20" s="352"/>
      <c r="NMR20" s="352"/>
      <c r="NMS20" s="352"/>
      <c r="NMT20" s="352"/>
      <c r="NMU20" s="352"/>
      <c r="NMV20" s="352"/>
      <c r="NMW20" s="352"/>
      <c r="NMX20" s="352"/>
      <c r="NMY20" s="352"/>
      <c r="NMZ20" s="352"/>
      <c r="NNA20" s="352"/>
      <c r="NNB20" s="352"/>
      <c r="NNC20" s="352"/>
      <c r="NND20" s="352"/>
      <c r="NNE20" s="352"/>
      <c r="NNF20" s="352"/>
      <c r="NNG20" s="352"/>
      <c r="NNH20" s="352"/>
      <c r="NNI20" s="352"/>
      <c r="NNJ20" s="352"/>
      <c r="NNK20" s="352"/>
      <c r="NNL20" s="352"/>
      <c r="NNM20" s="352"/>
      <c r="NNN20" s="352"/>
      <c r="NNO20" s="352"/>
      <c r="NNP20" s="352"/>
      <c r="NNQ20" s="352"/>
      <c r="NNR20" s="352"/>
      <c r="NNS20" s="352"/>
      <c r="NNT20" s="352"/>
      <c r="NNU20" s="352"/>
      <c r="NNV20" s="352"/>
      <c r="NNW20" s="352"/>
      <c r="NNX20" s="352"/>
      <c r="NNY20" s="352"/>
      <c r="NNZ20" s="352"/>
      <c r="NOA20" s="352"/>
      <c r="NOB20" s="352"/>
      <c r="NOC20" s="352"/>
      <c r="NOD20" s="352"/>
      <c r="NOE20" s="352"/>
      <c r="NOF20" s="352"/>
      <c r="NOG20" s="352"/>
      <c r="NOH20" s="352"/>
      <c r="NOI20" s="352"/>
      <c r="NOJ20" s="352"/>
      <c r="NOK20" s="352"/>
      <c r="NOL20" s="352"/>
      <c r="NOM20" s="352"/>
      <c r="NON20" s="352"/>
      <c r="NOO20" s="352"/>
      <c r="NOP20" s="352"/>
      <c r="NOQ20" s="352"/>
      <c r="NOR20" s="352"/>
      <c r="NOS20" s="352"/>
      <c r="NOT20" s="352"/>
      <c r="NOU20" s="352"/>
      <c r="NOV20" s="352"/>
      <c r="NOW20" s="352"/>
      <c r="NOX20" s="352"/>
      <c r="NOY20" s="352"/>
      <c r="NOZ20" s="352"/>
      <c r="NPA20" s="352"/>
      <c r="NPB20" s="352"/>
      <c r="NPC20" s="352"/>
      <c r="NPD20" s="352"/>
      <c r="NPE20" s="352"/>
      <c r="NPF20" s="352"/>
      <c r="NPG20" s="352"/>
      <c r="NPH20" s="352"/>
      <c r="NPI20" s="352"/>
      <c r="NPJ20" s="352"/>
      <c r="NPK20" s="352"/>
      <c r="NPL20" s="352"/>
      <c r="NPM20" s="352"/>
      <c r="NPN20" s="352"/>
      <c r="NPO20" s="352"/>
      <c r="NPP20" s="352"/>
      <c r="NPQ20" s="352"/>
      <c r="NPR20" s="352"/>
      <c r="NPS20" s="352"/>
      <c r="NPT20" s="352"/>
      <c r="NPU20" s="352"/>
      <c r="NPV20" s="352"/>
      <c r="NPW20" s="352"/>
      <c r="NPX20" s="352"/>
      <c r="NPY20" s="352"/>
      <c r="NPZ20" s="352"/>
      <c r="NQA20" s="352"/>
      <c r="NQB20" s="352"/>
      <c r="NQC20" s="352"/>
      <c r="NQD20" s="352"/>
      <c r="NQE20" s="352"/>
      <c r="NQF20" s="352"/>
      <c r="NQG20" s="352"/>
      <c r="NQH20" s="352"/>
      <c r="NQI20" s="352"/>
      <c r="NQJ20" s="352"/>
      <c r="NQK20" s="352"/>
      <c r="NQL20" s="352"/>
      <c r="NQM20" s="352"/>
      <c r="NQN20" s="352"/>
      <c r="NQO20" s="352"/>
      <c r="NQP20" s="352"/>
      <c r="NQQ20" s="352"/>
      <c r="NQR20" s="352"/>
      <c r="NQS20" s="352"/>
      <c r="NQT20" s="352"/>
      <c r="NQU20" s="352"/>
      <c r="NQV20" s="352"/>
      <c r="NQW20" s="352"/>
      <c r="NQX20" s="352"/>
      <c r="NQY20" s="352"/>
      <c r="NQZ20" s="352"/>
      <c r="NRA20" s="352"/>
      <c r="NRB20" s="352"/>
      <c r="NRC20" s="352"/>
      <c r="NRD20" s="352"/>
      <c r="NRE20" s="352"/>
      <c r="NRF20" s="352"/>
      <c r="NRG20" s="352"/>
      <c r="NRH20" s="352"/>
      <c r="NRI20" s="352"/>
      <c r="NRJ20" s="352"/>
      <c r="NRK20" s="352"/>
      <c r="NRL20" s="352"/>
      <c r="NRM20" s="352"/>
      <c r="NRN20" s="352"/>
      <c r="NRO20" s="352"/>
      <c r="NRP20" s="352"/>
      <c r="NRQ20" s="352"/>
      <c r="NRR20" s="352"/>
      <c r="NRS20" s="352"/>
      <c r="NRT20" s="352"/>
      <c r="NRU20" s="352"/>
      <c r="NRV20" s="352"/>
      <c r="NRW20" s="352"/>
      <c r="NRX20" s="352"/>
      <c r="NRY20" s="352"/>
      <c r="NRZ20" s="352"/>
      <c r="NSA20" s="352"/>
      <c r="NSB20" s="352"/>
      <c r="NSC20" s="352"/>
      <c r="NSD20" s="352"/>
      <c r="NSE20" s="352"/>
      <c r="NSF20" s="352"/>
      <c r="NSG20" s="352"/>
      <c r="NSH20" s="352"/>
      <c r="NSI20" s="352"/>
      <c r="NSJ20" s="352"/>
      <c r="NSK20" s="352"/>
      <c r="NSL20" s="352"/>
      <c r="NSM20" s="352"/>
      <c r="NSN20" s="352"/>
      <c r="NSO20" s="352"/>
      <c r="NSP20" s="352"/>
      <c r="NSQ20" s="352"/>
      <c r="NSR20" s="352"/>
      <c r="NSS20" s="352"/>
      <c r="NST20" s="352"/>
      <c r="NSU20" s="352"/>
      <c r="NSV20" s="352"/>
      <c r="NSW20" s="352"/>
      <c r="NSX20" s="352"/>
      <c r="NSY20" s="352"/>
      <c r="NSZ20" s="352"/>
      <c r="NTA20" s="352"/>
      <c r="NTB20" s="352"/>
      <c r="NTC20" s="352"/>
      <c r="NTD20" s="352"/>
      <c r="NTE20" s="352"/>
      <c r="NTF20" s="352"/>
      <c r="NTG20" s="352"/>
      <c r="NTH20" s="352"/>
      <c r="NTI20" s="352"/>
      <c r="NTJ20" s="352"/>
      <c r="NTK20" s="352"/>
      <c r="NTL20" s="352"/>
      <c r="NTM20" s="352"/>
      <c r="NTN20" s="352"/>
      <c r="NTO20" s="352"/>
      <c r="NTP20" s="352"/>
      <c r="NTQ20" s="352"/>
      <c r="NTR20" s="352"/>
      <c r="NTS20" s="352"/>
      <c r="NTT20" s="352"/>
      <c r="NTU20" s="352"/>
      <c r="NTV20" s="352"/>
      <c r="NTW20" s="352"/>
      <c r="NTX20" s="352"/>
      <c r="NTY20" s="352"/>
      <c r="NTZ20" s="352"/>
      <c r="NUA20" s="352"/>
      <c r="NUB20" s="352"/>
      <c r="NUC20" s="352"/>
      <c r="NUD20" s="352"/>
      <c r="NUE20" s="352"/>
      <c r="NUF20" s="352"/>
      <c r="NUG20" s="352"/>
      <c r="NUH20" s="352"/>
      <c r="NUI20" s="352"/>
      <c r="NUJ20" s="352"/>
      <c r="NUK20" s="352"/>
      <c r="NUL20" s="352"/>
      <c r="NUM20" s="352"/>
      <c r="NUN20" s="352"/>
      <c r="NUO20" s="352"/>
      <c r="NUP20" s="352"/>
      <c r="NUQ20" s="352"/>
      <c r="NUR20" s="352"/>
      <c r="NUS20" s="352"/>
      <c r="NUT20" s="352"/>
      <c r="NUU20" s="352"/>
      <c r="NUV20" s="352"/>
      <c r="NUW20" s="352"/>
      <c r="NUX20" s="352"/>
      <c r="NUY20" s="352"/>
      <c r="NUZ20" s="352"/>
      <c r="NVA20" s="352"/>
      <c r="NVB20" s="352"/>
      <c r="NVC20" s="352"/>
      <c r="NVD20" s="352"/>
      <c r="NVE20" s="352"/>
      <c r="NVF20" s="352"/>
      <c r="NVG20" s="352"/>
      <c r="NVH20" s="352"/>
      <c r="NVI20" s="352"/>
      <c r="NVJ20" s="352"/>
      <c r="NVK20" s="352"/>
      <c r="NVL20" s="352"/>
      <c r="NVM20" s="352"/>
      <c r="NVN20" s="352"/>
      <c r="NVO20" s="352"/>
      <c r="NVP20" s="352"/>
      <c r="NVQ20" s="352"/>
      <c r="NVR20" s="352"/>
      <c r="NVS20" s="352"/>
      <c r="NVT20" s="352"/>
      <c r="NVU20" s="352"/>
      <c r="NVV20" s="352"/>
      <c r="NVW20" s="352"/>
      <c r="NVX20" s="352"/>
      <c r="NVY20" s="352"/>
      <c r="NVZ20" s="352"/>
      <c r="NWA20" s="352"/>
      <c r="NWB20" s="352"/>
      <c r="NWC20" s="352"/>
      <c r="NWD20" s="352"/>
      <c r="NWE20" s="352"/>
      <c r="NWF20" s="352"/>
      <c r="NWG20" s="352"/>
      <c r="NWH20" s="352"/>
      <c r="NWI20" s="352"/>
      <c r="NWJ20" s="352"/>
      <c r="NWK20" s="352"/>
      <c r="NWL20" s="352"/>
      <c r="NWM20" s="352"/>
      <c r="NWN20" s="352"/>
      <c r="NWO20" s="352"/>
      <c r="NWP20" s="352"/>
      <c r="NWQ20" s="352"/>
      <c r="NWR20" s="352"/>
      <c r="NWS20" s="352"/>
      <c r="NWT20" s="352"/>
      <c r="NWU20" s="352"/>
      <c r="NWV20" s="352"/>
      <c r="NWW20" s="352"/>
      <c r="NWX20" s="352"/>
      <c r="NWY20" s="352"/>
      <c r="NWZ20" s="352"/>
      <c r="NXA20" s="352"/>
      <c r="NXB20" s="352"/>
      <c r="NXC20" s="352"/>
      <c r="NXD20" s="352"/>
      <c r="NXE20" s="352"/>
      <c r="NXF20" s="352"/>
      <c r="NXG20" s="352"/>
      <c r="NXH20" s="352"/>
      <c r="NXI20" s="352"/>
      <c r="NXJ20" s="352"/>
      <c r="NXK20" s="352"/>
      <c r="NXL20" s="352"/>
      <c r="NXM20" s="352"/>
      <c r="NXN20" s="352"/>
      <c r="NXO20" s="352"/>
      <c r="NXP20" s="352"/>
      <c r="NXQ20" s="352"/>
      <c r="NXR20" s="352"/>
      <c r="NXS20" s="352"/>
      <c r="NXT20" s="352"/>
      <c r="NXU20" s="352"/>
      <c r="NXV20" s="352"/>
      <c r="NXW20" s="352"/>
      <c r="NXX20" s="352"/>
      <c r="NXY20" s="352"/>
      <c r="NXZ20" s="352"/>
      <c r="NYA20" s="352"/>
      <c r="NYB20" s="352"/>
      <c r="NYC20" s="352"/>
      <c r="NYD20" s="352"/>
      <c r="NYE20" s="352"/>
      <c r="NYF20" s="352"/>
      <c r="NYG20" s="352"/>
      <c r="NYH20" s="352"/>
      <c r="NYI20" s="352"/>
      <c r="NYJ20" s="352"/>
      <c r="NYK20" s="352"/>
      <c r="NYL20" s="352"/>
      <c r="NYM20" s="352"/>
      <c r="NYN20" s="352"/>
      <c r="NYO20" s="352"/>
      <c r="NYP20" s="352"/>
      <c r="NYQ20" s="352"/>
      <c r="NYR20" s="352"/>
      <c r="NYS20" s="352"/>
      <c r="NYT20" s="352"/>
      <c r="NYU20" s="352"/>
      <c r="NYV20" s="352"/>
      <c r="NYW20" s="352"/>
      <c r="NYX20" s="352"/>
      <c r="NYY20" s="352"/>
      <c r="NYZ20" s="352"/>
      <c r="NZA20" s="352"/>
      <c r="NZB20" s="352"/>
      <c r="NZC20" s="352"/>
      <c r="NZD20" s="352"/>
      <c r="NZE20" s="352"/>
      <c r="NZF20" s="352"/>
      <c r="NZG20" s="352"/>
      <c r="NZH20" s="352"/>
      <c r="NZI20" s="352"/>
      <c r="NZJ20" s="352"/>
      <c r="NZK20" s="352"/>
      <c r="NZL20" s="352"/>
      <c r="NZM20" s="352"/>
      <c r="NZN20" s="352"/>
      <c r="NZO20" s="352"/>
      <c r="NZP20" s="352"/>
      <c r="NZQ20" s="352"/>
      <c r="NZR20" s="352"/>
      <c r="NZS20" s="352"/>
      <c r="NZT20" s="352"/>
      <c r="NZU20" s="352"/>
      <c r="NZV20" s="352"/>
      <c r="NZW20" s="352"/>
      <c r="NZX20" s="352"/>
      <c r="NZY20" s="352"/>
      <c r="NZZ20" s="352"/>
      <c r="OAA20" s="352"/>
      <c r="OAB20" s="352"/>
      <c r="OAC20" s="352"/>
      <c r="OAD20" s="352"/>
      <c r="OAE20" s="352"/>
      <c r="OAF20" s="352"/>
      <c r="OAG20" s="352"/>
      <c r="OAH20" s="352"/>
      <c r="OAI20" s="352"/>
      <c r="OAJ20" s="352"/>
      <c r="OAK20" s="352"/>
      <c r="OAL20" s="352"/>
      <c r="OAM20" s="352"/>
      <c r="OAN20" s="352"/>
      <c r="OAO20" s="352"/>
      <c r="OAP20" s="352"/>
      <c r="OAQ20" s="352"/>
      <c r="OAR20" s="352"/>
      <c r="OAS20" s="352"/>
      <c r="OAT20" s="352"/>
      <c r="OAU20" s="352"/>
      <c r="OAV20" s="352"/>
      <c r="OAW20" s="352"/>
      <c r="OAX20" s="352"/>
      <c r="OAY20" s="352"/>
      <c r="OAZ20" s="352"/>
      <c r="OBA20" s="352"/>
      <c r="OBB20" s="352"/>
      <c r="OBC20" s="352"/>
      <c r="OBD20" s="352"/>
      <c r="OBE20" s="352"/>
      <c r="OBF20" s="352"/>
      <c r="OBG20" s="352"/>
      <c r="OBH20" s="352"/>
      <c r="OBI20" s="352"/>
      <c r="OBJ20" s="352"/>
      <c r="OBK20" s="352"/>
      <c r="OBL20" s="352"/>
      <c r="OBM20" s="352"/>
      <c r="OBN20" s="352"/>
      <c r="OBO20" s="352"/>
      <c r="OBP20" s="352"/>
      <c r="OBQ20" s="352"/>
      <c r="OBR20" s="352"/>
      <c r="OBS20" s="352"/>
      <c r="OBT20" s="352"/>
      <c r="OBU20" s="352"/>
      <c r="OBV20" s="352"/>
      <c r="OBW20" s="352"/>
      <c r="OBX20" s="352"/>
      <c r="OBY20" s="352"/>
      <c r="OBZ20" s="352"/>
      <c r="OCA20" s="352"/>
      <c r="OCB20" s="352"/>
      <c r="OCC20" s="352"/>
      <c r="OCD20" s="352"/>
      <c r="OCE20" s="352"/>
      <c r="OCF20" s="352"/>
      <c r="OCG20" s="352"/>
      <c r="OCH20" s="352"/>
      <c r="OCI20" s="352"/>
      <c r="OCJ20" s="352"/>
      <c r="OCK20" s="352"/>
      <c r="OCL20" s="352"/>
      <c r="OCM20" s="352"/>
      <c r="OCN20" s="352"/>
      <c r="OCO20" s="352"/>
      <c r="OCP20" s="352"/>
      <c r="OCQ20" s="352"/>
      <c r="OCR20" s="352"/>
      <c r="OCS20" s="352"/>
      <c r="OCT20" s="352"/>
      <c r="OCU20" s="352"/>
      <c r="OCV20" s="352"/>
      <c r="OCW20" s="352"/>
      <c r="OCX20" s="352"/>
      <c r="OCY20" s="352"/>
      <c r="OCZ20" s="352"/>
      <c r="ODA20" s="352"/>
      <c r="ODB20" s="352"/>
      <c r="ODC20" s="352"/>
      <c r="ODD20" s="352"/>
      <c r="ODE20" s="352"/>
      <c r="ODF20" s="352"/>
      <c r="ODG20" s="352"/>
      <c r="ODH20" s="352"/>
      <c r="ODI20" s="352"/>
      <c r="ODJ20" s="352"/>
      <c r="ODK20" s="352"/>
      <c r="ODL20" s="352"/>
      <c r="ODM20" s="352"/>
      <c r="ODN20" s="352"/>
      <c r="ODO20" s="352"/>
      <c r="ODP20" s="352"/>
      <c r="ODQ20" s="352"/>
      <c r="ODR20" s="352"/>
      <c r="ODS20" s="352"/>
      <c r="ODT20" s="352"/>
      <c r="ODU20" s="352"/>
      <c r="ODV20" s="352"/>
      <c r="ODW20" s="352"/>
      <c r="ODX20" s="352"/>
      <c r="ODY20" s="352"/>
      <c r="ODZ20" s="352"/>
      <c r="OEA20" s="352"/>
      <c r="OEB20" s="352"/>
      <c r="OEC20" s="352"/>
      <c r="OED20" s="352"/>
      <c r="OEE20" s="352"/>
      <c r="OEF20" s="352"/>
      <c r="OEG20" s="352"/>
      <c r="OEH20" s="352"/>
      <c r="OEI20" s="352"/>
      <c r="OEJ20" s="352"/>
      <c r="OEK20" s="352"/>
      <c r="OEL20" s="352"/>
      <c r="OEM20" s="352"/>
      <c r="OEN20" s="352"/>
      <c r="OEO20" s="352"/>
      <c r="OEP20" s="352"/>
      <c r="OEQ20" s="352"/>
      <c r="OER20" s="352"/>
      <c r="OES20" s="352"/>
      <c r="OET20" s="352"/>
      <c r="OEU20" s="352"/>
      <c r="OEV20" s="352"/>
      <c r="OEW20" s="352"/>
      <c r="OEX20" s="352"/>
      <c r="OEY20" s="352"/>
      <c r="OEZ20" s="352"/>
      <c r="OFA20" s="352"/>
      <c r="OFB20" s="352"/>
      <c r="OFC20" s="352"/>
      <c r="OFD20" s="352"/>
      <c r="OFE20" s="352"/>
      <c r="OFF20" s="352"/>
      <c r="OFG20" s="352"/>
      <c r="OFH20" s="352"/>
      <c r="OFI20" s="352"/>
      <c r="OFJ20" s="352"/>
      <c r="OFK20" s="352"/>
      <c r="OFL20" s="352"/>
      <c r="OFM20" s="352"/>
      <c r="OFN20" s="352"/>
      <c r="OFO20" s="352"/>
      <c r="OFP20" s="352"/>
      <c r="OFQ20" s="352"/>
      <c r="OFR20" s="352"/>
      <c r="OFS20" s="352"/>
      <c r="OFT20" s="352"/>
      <c r="OFU20" s="352"/>
      <c r="OFV20" s="352"/>
      <c r="OFW20" s="352"/>
      <c r="OFX20" s="352"/>
      <c r="OFY20" s="352"/>
      <c r="OFZ20" s="352"/>
      <c r="OGA20" s="352"/>
      <c r="OGB20" s="352"/>
      <c r="OGC20" s="352"/>
      <c r="OGD20" s="352"/>
      <c r="OGE20" s="352"/>
      <c r="OGF20" s="352"/>
      <c r="OGG20" s="352"/>
      <c r="OGH20" s="352"/>
      <c r="OGI20" s="352"/>
      <c r="OGJ20" s="352"/>
      <c r="OGK20" s="352"/>
      <c r="OGL20" s="352"/>
      <c r="OGM20" s="352"/>
      <c r="OGN20" s="352"/>
      <c r="OGO20" s="352"/>
      <c r="OGP20" s="352"/>
      <c r="OGQ20" s="352"/>
      <c r="OGR20" s="352"/>
      <c r="OGS20" s="352"/>
      <c r="OGT20" s="352"/>
      <c r="OGU20" s="352"/>
      <c r="OGV20" s="352"/>
      <c r="OGW20" s="352"/>
      <c r="OGX20" s="352"/>
      <c r="OGY20" s="352"/>
      <c r="OGZ20" s="352"/>
      <c r="OHA20" s="352"/>
      <c r="OHB20" s="352"/>
      <c r="OHC20" s="352"/>
      <c r="OHD20" s="352"/>
      <c r="OHE20" s="352"/>
      <c r="OHF20" s="352"/>
      <c r="OHG20" s="352"/>
      <c r="OHH20" s="352"/>
      <c r="OHI20" s="352"/>
      <c r="OHJ20" s="352"/>
      <c r="OHK20" s="352"/>
      <c r="OHL20" s="352"/>
      <c r="OHM20" s="352"/>
      <c r="OHN20" s="352"/>
      <c r="OHO20" s="352"/>
      <c r="OHP20" s="352"/>
      <c r="OHQ20" s="352"/>
      <c r="OHR20" s="352"/>
      <c r="OHS20" s="352"/>
      <c r="OHT20" s="352"/>
      <c r="OHU20" s="352"/>
      <c r="OHV20" s="352"/>
      <c r="OHW20" s="352"/>
      <c r="OHX20" s="352"/>
      <c r="OHY20" s="352"/>
      <c r="OHZ20" s="352"/>
      <c r="OIA20" s="352"/>
      <c r="OIB20" s="352"/>
      <c r="OIC20" s="352"/>
      <c r="OID20" s="352"/>
      <c r="OIE20" s="352"/>
      <c r="OIF20" s="352"/>
      <c r="OIG20" s="352"/>
      <c r="OIH20" s="352"/>
      <c r="OII20" s="352"/>
      <c r="OIJ20" s="352"/>
      <c r="OIK20" s="352"/>
      <c r="OIL20" s="352"/>
      <c r="OIM20" s="352"/>
      <c r="OIN20" s="352"/>
      <c r="OIO20" s="352"/>
      <c r="OIP20" s="352"/>
      <c r="OIQ20" s="352"/>
      <c r="OIR20" s="352"/>
      <c r="OIS20" s="352"/>
      <c r="OIT20" s="352"/>
      <c r="OIU20" s="352"/>
      <c r="OIV20" s="352"/>
      <c r="OIW20" s="352"/>
      <c r="OIX20" s="352"/>
      <c r="OIY20" s="352"/>
      <c r="OIZ20" s="352"/>
      <c r="OJA20" s="352"/>
      <c r="OJB20" s="352"/>
      <c r="OJC20" s="352"/>
      <c r="OJD20" s="352"/>
      <c r="OJE20" s="352"/>
      <c r="OJF20" s="352"/>
      <c r="OJG20" s="352"/>
      <c r="OJH20" s="352"/>
      <c r="OJI20" s="352"/>
      <c r="OJJ20" s="352"/>
      <c r="OJK20" s="352"/>
      <c r="OJL20" s="352"/>
      <c r="OJM20" s="352"/>
      <c r="OJN20" s="352"/>
      <c r="OJO20" s="352"/>
      <c r="OJP20" s="352"/>
      <c r="OJQ20" s="352"/>
      <c r="OJR20" s="352"/>
      <c r="OJS20" s="352"/>
      <c r="OJT20" s="352"/>
      <c r="OJU20" s="352"/>
      <c r="OJV20" s="352"/>
      <c r="OJW20" s="352"/>
      <c r="OJX20" s="352"/>
      <c r="OJY20" s="352"/>
      <c r="OJZ20" s="352"/>
      <c r="OKA20" s="352"/>
      <c r="OKB20" s="352"/>
      <c r="OKC20" s="352"/>
      <c r="OKD20" s="352"/>
      <c r="OKE20" s="352"/>
      <c r="OKF20" s="352"/>
      <c r="OKG20" s="352"/>
      <c r="OKH20" s="352"/>
      <c r="OKI20" s="352"/>
      <c r="OKJ20" s="352"/>
      <c r="OKK20" s="352"/>
      <c r="OKL20" s="352"/>
      <c r="OKM20" s="352"/>
      <c r="OKN20" s="352"/>
      <c r="OKO20" s="352"/>
      <c r="OKP20" s="352"/>
      <c r="OKQ20" s="352"/>
      <c r="OKR20" s="352"/>
      <c r="OKS20" s="352"/>
      <c r="OKT20" s="352"/>
      <c r="OKU20" s="352"/>
      <c r="OKV20" s="352"/>
      <c r="OKW20" s="352"/>
      <c r="OKX20" s="352"/>
      <c r="OKY20" s="352"/>
      <c r="OKZ20" s="352"/>
      <c r="OLA20" s="352"/>
      <c r="OLB20" s="352"/>
      <c r="OLC20" s="352"/>
      <c r="OLD20" s="352"/>
      <c r="OLE20" s="352"/>
      <c r="OLF20" s="352"/>
      <c r="OLG20" s="352"/>
      <c r="OLH20" s="352"/>
      <c r="OLI20" s="352"/>
      <c r="OLJ20" s="352"/>
      <c r="OLK20" s="352"/>
      <c r="OLL20" s="352"/>
      <c r="OLM20" s="352"/>
      <c r="OLN20" s="352"/>
      <c r="OLO20" s="352"/>
      <c r="OLP20" s="352"/>
      <c r="OLQ20" s="352"/>
      <c r="OLR20" s="352"/>
      <c r="OLS20" s="352"/>
      <c r="OLT20" s="352"/>
      <c r="OLU20" s="352"/>
      <c r="OLV20" s="352"/>
      <c r="OLW20" s="352"/>
      <c r="OLX20" s="352"/>
      <c r="OLY20" s="352"/>
      <c r="OLZ20" s="352"/>
      <c r="OMA20" s="352"/>
      <c r="OMB20" s="352"/>
      <c r="OMC20" s="352"/>
      <c r="OMD20" s="352"/>
      <c r="OME20" s="352"/>
      <c r="OMF20" s="352"/>
      <c r="OMG20" s="352"/>
      <c r="OMH20" s="352"/>
      <c r="OMI20" s="352"/>
      <c r="OMJ20" s="352"/>
      <c r="OMK20" s="352"/>
      <c r="OML20" s="352"/>
      <c r="OMM20" s="352"/>
      <c r="OMN20" s="352"/>
      <c r="OMO20" s="352"/>
      <c r="OMP20" s="352"/>
      <c r="OMQ20" s="352"/>
      <c r="OMR20" s="352"/>
      <c r="OMS20" s="352"/>
      <c r="OMT20" s="352"/>
      <c r="OMU20" s="352"/>
      <c r="OMV20" s="352"/>
      <c r="OMW20" s="352"/>
      <c r="OMX20" s="352"/>
      <c r="OMY20" s="352"/>
      <c r="OMZ20" s="352"/>
      <c r="ONA20" s="352"/>
      <c r="ONB20" s="352"/>
      <c r="ONC20" s="352"/>
      <c r="OND20" s="352"/>
      <c r="ONE20" s="352"/>
      <c r="ONF20" s="352"/>
      <c r="ONG20" s="352"/>
      <c r="ONH20" s="352"/>
      <c r="ONI20" s="352"/>
      <c r="ONJ20" s="352"/>
      <c r="ONK20" s="352"/>
      <c r="ONL20" s="352"/>
      <c r="ONM20" s="352"/>
      <c r="ONN20" s="352"/>
      <c r="ONO20" s="352"/>
      <c r="ONP20" s="352"/>
      <c r="ONQ20" s="352"/>
      <c r="ONR20" s="352"/>
      <c r="ONS20" s="352"/>
      <c r="ONT20" s="352"/>
      <c r="ONU20" s="352"/>
      <c r="ONV20" s="352"/>
      <c r="ONW20" s="352"/>
      <c r="ONX20" s="352"/>
      <c r="ONY20" s="352"/>
      <c r="ONZ20" s="352"/>
      <c r="OOA20" s="352"/>
      <c r="OOB20" s="352"/>
      <c r="OOC20" s="352"/>
      <c r="OOD20" s="352"/>
      <c r="OOE20" s="352"/>
      <c r="OOF20" s="352"/>
      <c r="OOG20" s="352"/>
      <c r="OOH20" s="352"/>
      <c r="OOI20" s="352"/>
      <c r="OOJ20" s="352"/>
      <c r="OOK20" s="352"/>
      <c r="OOL20" s="352"/>
      <c r="OOM20" s="352"/>
      <c r="OON20" s="352"/>
      <c r="OOO20" s="352"/>
      <c r="OOP20" s="352"/>
      <c r="OOQ20" s="352"/>
      <c r="OOR20" s="352"/>
      <c r="OOS20" s="352"/>
      <c r="OOT20" s="352"/>
      <c r="OOU20" s="352"/>
      <c r="OOV20" s="352"/>
      <c r="OOW20" s="352"/>
      <c r="OOX20" s="352"/>
      <c r="OOY20" s="352"/>
      <c r="OOZ20" s="352"/>
      <c r="OPA20" s="352"/>
      <c r="OPB20" s="352"/>
      <c r="OPC20" s="352"/>
      <c r="OPD20" s="352"/>
      <c r="OPE20" s="352"/>
      <c r="OPF20" s="352"/>
      <c r="OPG20" s="352"/>
      <c r="OPH20" s="352"/>
      <c r="OPI20" s="352"/>
      <c r="OPJ20" s="352"/>
      <c r="OPK20" s="352"/>
      <c r="OPL20" s="352"/>
      <c r="OPM20" s="352"/>
      <c r="OPN20" s="352"/>
      <c r="OPO20" s="352"/>
      <c r="OPP20" s="352"/>
      <c r="OPQ20" s="352"/>
      <c r="OPR20" s="352"/>
      <c r="OPS20" s="352"/>
      <c r="OPT20" s="352"/>
      <c r="OPU20" s="352"/>
      <c r="OPV20" s="352"/>
      <c r="OPW20" s="352"/>
      <c r="OPX20" s="352"/>
      <c r="OPY20" s="352"/>
      <c r="OPZ20" s="352"/>
      <c r="OQA20" s="352"/>
      <c r="OQB20" s="352"/>
      <c r="OQC20" s="352"/>
      <c r="OQD20" s="352"/>
      <c r="OQE20" s="352"/>
      <c r="OQF20" s="352"/>
      <c r="OQG20" s="352"/>
      <c r="OQH20" s="352"/>
      <c r="OQI20" s="352"/>
      <c r="OQJ20" s="352"/>
      <c r="OQK20" s="352"/>
      <c r="OQL20" s="352"/>
      <c r="OQM20" s="352"/>
      <c r="OQN20" s="352"/>
      <c r="OQO20" s="352"/>
      <c r="OQP20" s="352"/>
      <c r="OQQ20" s="352"/>
      <c r="OQR20" s="352"/>
      <c r="OQS20" s="352"/>
      <c r="OQT20" s="352"/>
      <c r="OQU20" s="352"/>
      <c r="OQV20" s="352"/>
      <c r="OQW20" s="352"/>
      <c r="OQX20" s="352"/>
      <c r="OQY20" s="352"/>
      <c r="OQZ20" s="352"/>
      <c r="ORA20" s="352"/>
      <c r="ORB20" s="352"/>
      <c r="ORC20" s="352"/>
      <c r="ORD20" s="352"/>
      <c r="ORE20" s="352"/>
      <c r="ORF20" s="352"/>
      <c r="ORG20" s="352"/>
      <c r="ORH20" s="352"/>
      <c r="ORI20" s="352"/>
      <c r="ORJ20" s="352"/>
      <c r="ORK20" s="352"/>
      <c r="ORL20" s="352"/>
      <c r="ORM20" s="352"/>
      <c r="ORN20" s="352"/>
      <c r="ORO20" s="352"/>
      <c r="ORP20" s="352"/>
      <c r="ORQ20" s="352"/>
      <c r="ORR20" s="352"/>
      <c r="ORS20" s="352"/>
      <c r="ORT20" s="352"/>
      <c r="ORU20" s="352"/>
      <c r="ORV20" s="352"/>
      <c r="ORW20" s="352"/>
      <c r="ORX20" s="352"/>
      <c r="ORY20" s="352"/>
      <c r="ORZ20" s="352"/>
      <c r="OSA20" s="352"/>
      <c r="OSB20" s="352"/>
      <c r="OSC20" s="352"/>
      <c r="OSD20" s="352"/>
      <c r="OSE20" s="352"/>
      <c r="OSF20" s="352"/>
      <c r="OSG20" s="352"/>
      <c r="OSH20" s="352"/>
      <c r="OSI20" s="352"/>
      <c r="OSJ20" s="352"/>
      <c r="OSK20" s="352"/>
      <c r="OSL20" s="352"/>
      <c r="OSM20" s="352"/>
      <c r="OSN20" s="352"/>
      <c r="OSO20" s="352"/>
      <c r="OSP20" s="352"/>
      <c r="OSQ20" s="352"/>
      <c r="OSR20" s="352"/>
      <c r="OSS20" s="352"/>
      <c r="OST20" s="352"/>
      <c r="OSU20" s="352"/>
      <c r="OSV20" s="352"/>
      <c r="OSW20" s="352"/>
      <c r="OSX20" s="352"/>
      <c r="OSY20" s="352"/>
      <c r="OSZ20" s="352"/>
      <c r="OTA20" s="352"/>
      <c r="OTB20" s="352"/>
      <c r="OTC20" s="352"/>
      <c r="OTD20" s="352"/>
      <c r="OTE20" s="352"/>
      <c r="OTF20" s="352"/>
      <c r="OTG20" s="352"/>
      <c r="OTH20" s="352"/>
      <c r="OTI20" s="352"/>
      <c r="OTJ20" s="352"/>
      <c r="OTK20" s="352"/>
      <c r="OTL20" s="352"/>
      <c r="OTM20" s="352"/>
      <c r="OTN20" s="352"/>
      <c r="OTO20" s="352"/>
      <c r="OTP20" s="352"/>
      <c r="OTQ20" s="352"/>
      <c r="OTR20" s="352"/>
      <c r="OTS20" s="352"/>
      <c r="OTT20" s="352"/>
      <c r="OTU20" s="352"/>
      <c r="OTV20" s="352"/>
      <c r="OTW20" s="352"/>
      <c r="OTX20" s="352"/>
      <c r="OTY20" s="352"/>
      <c r="OTZ20" s="352"/>
      <c r="OUA20" s="352"/>
      <c r="OUB20" s="352"/>
      <c r="OUC20" s="352"/>
      <c r="OUD20" s="352"/>
      <c r="OUE20" s="352"/>
      <c r="OUF20" s="352"/>
      <c r="OUG20" s="352"/>
      <c r="OUH20" s="352"/>
      <c r="OUI20" s="352"/>
      <c r="OUJ20" s="352"/>
      <c r="OUK20" s="352"/>
      <c r="OUL20" s="352"/>
      <c r="OUM20" s="352"/>
      <c r="OUN20" s="352"/>
      <c r="OUO20" s="352"/>
      <c r="OUP20" s="352"/>
      <c r="OUQ20" s="352"/>
      <c r="OUR20" s="352"/>
      <c r="OUS20" s="352"/>
      <c r="OUT20" s="352"/>
      <c r="OUU20" s="352"/>
      <c r="OUV20" s="352"/>
      <c r="OUW20" s="352"/>
      <c r="OUX20" s="352"/>
      <c r="OUY20" s="352"/>
      <c r="OUZ20" s="352"/>
      <c r="OVA20" s="352"/>
      <c r="OVB20" s="352"/>
      <c r="OVC20" s="352"/>
      <c r="OVD20" s="352"/>
      <c r="OVE20" s="352"/>
      <c r="OVF20" s="352"/>
      <c r="OVG20" s="352"/>
      <c r="OVH20" s="352"/>
      <c r="OVI20" s="352"/>
      <c r="OVJ20" s="352"/>
      <c r="OVK20" s="352"/>
      <c r="OVL20" s="352"/>
      <c r="OVM20" s="352"/>
      <c r="OVN20" s="352"/>
      <c r="OVO20" s="352"/>
      <c r="OVP20" s="352"/>
      <c r="OVQ20" s="352"/>
      <c r="OVR20" s="352"/>
      <c r="OVS20" s="352"/>
      <c r="OVT20" s="352"/>
      <c r="OVU20" s="352"/>
      <c r="OVV20" s="352"/>
      <c r="OVW20" s="352"/>
      <c r="OVX20" s="352"/>
      <c r="OVY20" s="352"/>
      <c r="OVZ20" s="352"/>
      <c r="OWA20" s="352"/>
      <c r="OWB20" s="352"/>
      <c r="OWC20" s="352"/>
      <c r="OWD20" s="352"/>
      <c r="OWE20" s="352"/>
      <c r="OWF20" s="352"/>
      <c r="OWG20" s="352"/>
      <c r="OWH20" s="352"/>
      <c r="OWI20" s="352"/>
      <c r="OWJ20" s="352"/>
      <c r="OWK20" s="352"/>
      <c r="OWL20" s="352"/>
      <c r="OWM20" s="352"/>
      <c r="OWN20" s="352"/>
      <c r="OWO20" s="352"/>
      <c r="OWP20" s="352"/>
      <c r="OWQ20" s="352"/>
      <c r="OWR20" s="352"/>
      <c r="OWS20" s="352"/>
      <c r="OWT20" s="352"/>
      <c r="OWU20" s="352"/>
      <c r="OWV20" s="352"/>
      <c r="OWW20" s="352"/>
      <c r="OWX20" s="352"/>
      <c r="OWY20" s="352"/>
      <c r="OWZ20" s="352"/>
      <c r="OXA20" s="352"/>
      <c r="OXB20" s="352"/>
      <c r="OXC20" s="352"/>
      <c r="OXD20" s="352"/>
      <c r="OXE20" s="352"/>
      <c r="OXF20" s="352"/>
      <c r="OXG20" s="352"/>
      <c r="OXH20" s="352"/>
      <c r="OXI20" s="352"/>
      <c r="OXJ20" s="352"/>
      <c r="OXK20" s="352"/>
      <c r="OXL20" s="352"/>
      <c r="OXM20" s="352"/>
      <c r="OXN20" s="352"/>
      <c r="OXO20" s="352"/>
      <c r="OXP20" s="352"/>
      <c r="OXQ20" s="352"/>
      <c r="OXR20" s="352"/>
      <c r="OXS20" s="352"/>
      <c r="OXT20" s="352"/>
      <c r="OXU20" s="352"/>
      <c r="OXV20" s="352"/>
      <c r="OXW20" s="352"/>
      <c r="OXX20" s="352"/>
      <c r="OXY20" s="352"/>
      <c r="OXZ20" s="352"/>
      <c r="OYA20" s="352"/>
      <c r="OYB20" s="352"/>
      <c r="OYC20" s="352"/>
      <c r="OYD20" s="352"/>
      <c r="OYE20" s="352"/>
      <c r="OYF20" s="352"/>
      <c r="OYG20" s="352"/>
      <c r="OYH20" s="352"/>
      <c r="OYI20" s="352"/>
      <c r="OYJ20" s="352"/>
      <c r="OYK20" s="352"/>
      <c r="OYL20" s="352"/>
      <c r="OYM20" s="352"/>
      <c r="OYN20" s="352"/>
      <c r="OYO20" s="352"/>
      <c r="OYP20" s="352"/>
      <c r="OYQ20" s="352"/>
      <c r="OYR20" s="352"/>
      <c r="OYS20" s="352"/>
      <c r="OYT20" s="352"/>
      <c r="OYU20" s="352"/>
      <c r="OYV20" s="352"/>
      <c r="OYW20" s="352"/>
      <c r="OYX20" s="352"/>
      <c r="OYY20" s="352"/>
      <c r="OYZ20" s="352"/>
      <c r="OZA20" s="352"/>
      <c r="OZB20" s="352"/>
      <c r="OZC20" s="352"/>
      <c r="OZD20" s="352"/>
      <c r="OZE20" s="352"/>
      <c r="OZF20" s="352"/>
      <c r="OZG20" s="352"/>
      <c r="OZH20" s="352"/>
      <c r="OZI20" s="352"/>
      <c r="OZJ20" s="352"/>
      <c r="OZK20" s="352"/>
      <c r="OZL20" s="352"/>
      <c r="OZM20" s="352"/>
      <c r="OZN20" s="352"/>
      <c r="OZO20" s="352"/>
      <c r="OZP20" s="352"/>
      <c r="OZQ20" s="352"/>
      <c r="OZR20" s="352"/>
      <c r="OZS20" s="352"/>
      <c r="OZT20" s="352"/>
      <c r="OZU20" s="352"/>
      <c r="OZV20" s="352"/>
      <c r="OZW20" s="352"/>
      <c r="OZX20" s="352"/>
      <c r="OZY20" s="352"/>
      <c r="OZZ20" s="352"/>
      <c r="PAA20" s="352"/>
      <c r="PAB20" s="352"/>
      <c r="PAC20" s="352"/>
      <c r="PAD20" s="352"/>
      <c r="PAE20" s="352"/>
      <c r="PAF20" s="352"/>
      <c r="PAG20" s="352"/>
      <c r="PAH20" s="352"/>
      <c r="PAI20" s="352"/>
      <c r="PAJ20" s="352"/>
      <c r="PAK20" s="352"/>
      <c r="PAL20" s="352"/>
      <c r="PAM20" s="352"/>
      <c r="PAN20" s="352"/>
      <c r="PAO20" s="352"/>
      <c r="PAP20" s="352"/>
      <c r="PAQ20" s="352"/>
      <c r="PAR20" s="352"/>
      <c r="PAS20" s="352"/>
      <c r="PAT20" s="352"/>
      <c r="PAU20" s="352"/>
      <c r="PAV20" s="352"/>
      <c r="PAW20" s="352"/>
      <c r="PAX20" s="352"/>
      <c r="PAY20" s="352"/>
      <c r="PAZ20" s="352"/>
      <c r="PBA20" s="352"/>
      <c r="PBB20" s="352"/>
      <c r="PBC20" s="352"/>
      <c r="PBD20" s="352"/>
      <c r="PBE20" s="352"/>
      <c r="PBF20" s="352"/>
      <c r="PBG20" s="352"/>
      <c r="PBH20" s="352"/>
      <c r="PBI20" s="352"/>
      <c r="PBJ20" s="352"/>
      <c r="PBK20" s="352"/>
      <c r="PBL20" s="352"/>
      <c r="PBM20" s="352"/>
      <c r="PBN20" s="352"/>
      <c r="PBO20" s="352"/>
      <c r="PBP20" s="352"/>
      <c r="PBQ20" s="352"/>
      <c r="PBR20" s="352"/>
      <c r="PBS20" s="352"/>
      <c r="PBT20" s="352"/>
      <c r="PBU20" s="352"/>
      <c r="PBV20" s="352"/>
      <c r="PBW20" s="352"/>
      <c r="PBX20" s="352"/>
      <c r="PBY20" s="352"/>
      <c r="PBZ20" s="352"/>
      <c r="PCA20" s="352"/>
      <c r="PCB20" s="352"/>
      <c r="PCC20" s="352"/>
      <c r="PCD20" s="352"/>
      <c r="PCE20" s="352"/>
      <c r="PCF20" s="352"/>
      <c r="PCG20" s="352"/>
      <c r="PCH20" s="352"/>
      <c r="PCI20" s="352"/>
      <c r="PCJ20" s="352"/>
      <c r="PCK20" s="352"/>
      <c r="PCL20" s="352"/>
      <c r="PCM20" s="352"/>
      <c r="PCN20" s="352"/>
      <c r="PCO20" s="352"/>
      <c r="PCP20" s="352"/>
      <c r="PCQ20" s="352"/>
      <c r="PCR20" s="352"/>
      <c r="PCS20" s="352"/>
      <c r="PCT20" s="352"/>
      <c r="PCU20" s="352"/>
      <c r="PCV20" s="352"/>
      <c r="PCW20" s="352"/>
      <c r="PCX20" s="352"/>
      <c r="PCY20" s="352"/>
      <c r="PCZ20" s="352"/>
      <c r="PDA20" s="352"/>
      <c r="PDB20" s="352"/>
      <c r="PDC20" s="352"/>
      <c r="PDD20" s="352"/>
      <c r="PDE20" s="352"/>
      <c r="PDF20" s="352"/>
      <c r="PDG20" s="352"/>
      <c r="PDH20" s="352"/>
      <c r="PDI20" s="352"/>
      <c r="PDJ20" s="352"/>
      <c r="PDK20" s="352"/>
      <c r="PDL20" s="352"/>
      <c r="PDM20" s="352"/>
      <c r="PDN20" s="352"/>
      <c r="PDO20" s="352"/>
      <c r="PDP20" s="352"/>
      <c r="PDQ20" s="352"/>
      <c r="PDR20" s="352"/>
      <c r="PDS20" s="352"/>
      <c r="PDT20" s="352"/>
      <c r="PDU20" s="352"/>
      <c r="PDV20" s="352"/>
      <c r="PDW20" s="352"/>
      <c r="PDX20" s="352"/>
      <c r="PDY20" s="352"/>
      <c r="PDZ20" s="352"/>
      <c r="PEA20" s="352"/>
      <c r="PEB20" s="352"/>
      <c r="PEC20" s="352"/>
      <c r="PED20" s="352"/>
      <c r="PEE20" s="352"/>
      <c r="PEF20" s="352"/>
      <c r="PEG20" s="352"/>
      <c r="PEH20" s="352"/>
      <c r="PEI20" s="352"/>
      <c r="PEJ20" s="352"/>
      <c r="PEK20" s="352"/>
      <c r="PEL20" s="352"/>
      <c r="PEM20" s="352"/>
      <c r="PEN20" s="352"/>
      <c r="PEO20" s="352"/>
      <c r="PEP20" s="352"/>
      <c r="PEQ20" s="352"/>
      <c r="PER20" s="352"/>
      <c r="PES20" s="352"/>
      <c r="PET20" s="352"/>
      <c r="PEU20" s="352"/>
      <c r="PEV20" s="352"/>
      <c r="PEW20" s="352"/>
      <c r="PEX20" s="352"/>
      <c r="PEY20" s="352"/>
      <c r="PEZ20" s="352"/>
      <c r="PFA20" s="352"/>
      <c r="PFB20" s="352"/>
      <c r="PFC20" s="352"/>
      <c r="PFD20" s="352"/>
      <c r="PFE20" s="352"/>
      <c r="PFF20" s="352"/>
      <c r="PFG20" s="352"/>
      <c r="PFH20" s="352"/>
      <c r="PFI20" s="352"/>
      <c r="PFJ20" s="352"/>
      <c r="PFK20" s="352"/>
      <c r="PFL20" s="352"/>
      <c r="PFM20" s="352"/>
      <c r="PFN20" s="352"/>
      <c r="PFO20" s="352"/>
      <c r="PFP20" s="352"/>
      <c r="PFQ20" s="352"/>
      <c r="PFR20" s="352"/>
      <c r="PFS20" s="352"/>
      <c r="PFT20" s="352"/>
      <c r="PFU20" s="352"/>
      <c r="PFV20" s="352"/>
      <c r="PFW20" s="352"/>
      <c r="PFX20" s="352"/>
      <c r="PFY20" s="352"/>
      <c r="PFZ20" s="352"/>
      <c r="PGA20" s="352"/>
      <c r="PGB20" s="352"/>
      <c r="PGC20" s="352"/>
      <c r="PGD20" s="352"/>
      <c r="PGE20" s="352"/>
      <c r="PGF20" s="352"/>
      <c r="PGG20" s="352"/>
      <c r="PGH20" s="352"/>
      <c r="PGI20" s="352"/>
      <c r="PGJ20" s="352"/>
      <c r="PGK20" s="352"/>
      <c r="PGL20" s="352"/>
      <c r="PGM20" s="352"/>
      <c r="PGN20" s="352"/>
      <c r="PGO20" s="352"/>
      <c r="PGP20" s="352"/>
      <c r="PGQ20" s="352"/>
      <c r="PGR20" s="352"/>
      <c r="PGS20" s="352"/>
      <c r="PGT20" s="352"/>
      <c r="PGU20" s="352"/>
      <c r="PGV20" s="352"/>
      <c r="PGW20" s="352"/>
      <c r="PGX20" s="352"/>
      <c r="PGY20" s="352"/>
      <c r="PGZ20" s="352"/>
      <c r="PHA20" s="352"/>
      <c r="PHB20" s="352"/>
      <c r="PHC20" s="352"/>
      <c r="PHD20" s="352"/>
      <c r="PHE20" s="352"/>
      <c r="PHF20" s="352"/>
      <c r="PHG20" s="352"/>
      <c r="PHH20" s="352"/>
      <c r="PHI20" s="352"/>
      <c r="PHJ20" s="352"/>
      <c r="PHK20" s="352"/>
      <c r="PHL20" s="352"/>
      <c r="PHM20" s="352"/>
      <c r="PHN20" s="352"/>
      <c r="PHO20" s="352"/>
      <c r="PHP20" s="352"/>
      <c r="PHQ20" s="352"/>
      <c r="PHR20" s="352"/>
      <c r="PHS20" s="352"/>
      <c r="PHT20" s="352"/>
      <c r="PHU20" s="352"/>
      <c r="PHV20" s="352"/>
      <c r="PHW20" s="352"/>
      <c r="PHX20" s="352"/>
      <c r="PHY20" s="352"/>
      <c r="PHZ20" s="352"/>
      <c r="PIA20" s="352"/>
      <c r="PIB20" s="352"/>
      <c r="PIC20" s="352"/>
      <c r="PID20" s="352"/>
      <c r="PIE20" s="352"/>
      <c r="PIF20" s="352"/>
      <c r="PIG20" s="352"/>
      <c r="PIH20" s="352"/>
      <c r="PII20" s="352"/>
      <c r="PIJ20" s="352"/>
      <c r="PIK20" s="352"/>
      <c r="PIL20" s="352"/>
      <c r="PIM20" s="352"/>
      <c r="PIN20" s="352"/>
      <c r="PIO20" s="352"/>
      <c r="PIP20" s="352"/>
      <c r="PIQ20" s="352"/>
      <c r="PIR20" s="352"/>
      <c r="PIS20" s="352"/>
      <c r="PIT20" s="352"/>
      <c r="PIU20" s="352"/>
      <c r="PIV20" s="352"/>
      <c r="PIW20" s="352"/>
      <c r="PIX20" s="352"/>
      <c r="PIY20" s="352"/>
      <c r="PIZ20" s="352"/>
      <c r="PJA20" s="352"/>
      <c r="PJB20" s="352"/>
      <c r="PJC20" s="352"/>
      <c r="PJD20" s="352"/>
      <c r="PJE20" s="352"/>
      <c r="PJF20" s="352"/>
      <c r="PJG20" s="352"/>
      <c r="PJH20" s="352"/>
      <c r="PJI20" s="352"/>
      <c r="PJJ20" s="352"/>
      <c r="PJK20" s="352"/>
      <c r="PJL20" s="352"/>
      <c r="PJM20" s="352"/>
      <c r="PJN20" s="352"/>
      <c r="PJO20" s="352"/>
      <c r="PJP20" s="352"/>
      <c r="PJQ20" s="352"/>
      <c r="PJR20" s="352"/>
      <c r="PJS20" s="352"/>
      <c r="PJT20" s="352"/>
      <c r="PJU20" s="352"/>
      <c r="PJV20" s="352"/>
      <c r="PJW20" s="352"/>
      <c r="PJX20" s="352"/>
      <c r="PJY20" s="352"/>
      <c r="PJZ20" s="352"/>
      <c r="PKA20" s="352"/>
      <c r="PKB20" s="352"/>
      <c r="PKC20" s="352"/>
      <c r="PKD20" s="352"/>
      <c r="PKE20" s="352"/>
      <c r="PKF20" s="352"/>
      <c r="PKG20" s="352"/>
      <c r="PKH20" s="352"/>
      <c r="PKI20" s="352"/>
      <c r="PKJ20" s="352"/>
      <c r="PKK20" s="352"/>
      <c r="PKL20" s="352"/>
      <c r="PKM20" s="352"/>
      <c r="PKN20" s="352"/>
      <c r="PKO20" s="352"/>
      <c r="PKP20" s="352"/>
      <c r="PKQ20" s="352"/>
      <c r="PKR20" s="352"/>
      <c r="PKS20" s="352"/>
      <c r="PKT20" s="352"/>
      <c r="PKU20" s="352"/>
      <c r="PKV20" s="352"/>
      <c r="PKW20" s="352"/>
      <c r="PKX20" s="352"/>
      <c r="PKY20" s="352"/>
      <c r="PKZ20" s="352"/>
      <c r="PLA20" s="352"/>
      <c r="PLB20" s="352"/>
      <c r="PLC20" s="352"/>
      <c r="PLD20" s="352"/>
      <c r="PLE20" s="352"/>
      <c r="PLF20" s="352"/>
      <c r="PLG20" s="352"/>
      <c r="PLH20" s="352"/>
      <c r="PLI20" s="352"/>
      <c r="PLJ20" s="352"/>
      <c r="PLK20" s="352"/>
      <c r="PLL20" s="352"/>
      <c r="PLM20" s="352"/>
      <c r="PLN20" s="352"/>
      <c r="PLO20" s="352"/>
      <c r="PLP20" s="352"/>
      <c r="PLQ20" s="352"/>
      <c r="PLR20" s="352"/>
      <c r="PLS20" s="352"/>
      <c r="PLT20" s="352"/>
      <c r="PLU20" s="352"/>
      <c r="PLV20" s="352"/>
      <c r="PLW20" s="352"/>
      <c r="PLX20" s="352"/>
      <c r="PLY20" s="352"/>
      <c r="PLZ20" s="352"/>
      <c r="PMA20" s="352"/>
      <c r="PMB20" s="352"/>
      <c r="PMC20" s="352"/>
      <c r="PMD20" s="352"/>
      <c r="PME20" s="352"/>
      <c r="PMF20" s="352"/>
      <c r="PMG20" s="352"/>
      <c r="PMH20" s="352"/>
      <c r="PMI20" s="352"/>
      <c r="PMJ20" s="352"/>
      <c r="PMK20" s="352"/>
      <c r="PML20" s="352"/>
      <c r="PMM20" s="352"/>
      <c r="PMN20" s="352"/>
      <c r="PMO20" s="352"/>
      <c r="PMP20" s="352"/>
      <c r="PMQ20" s="352"/>
      <c r="PMR20" s="352"/>
      <c r="PMS20" s="352"/>
      <c r="PMT20" s="352"/>
      <c r="PMU20" s="352"/>
      <c r="PMV20" s="352"/>
      <c r="PMW20" s="352"/>
      <c r="PMX20" s="352"/>
      <c r="PMY20" s="352"/>
      <c r="PMZ20" s="352"/>
      <c r="PNA20" s="352"/>
      <c r="PNB20" s="352"/>
      <c r="PNC20" s="352"/>
      <c r="PND20" s="352"/>
      <c r="PNE20" s="352"/>
      <c r="PNF20" s="352"/>
      <c r="PNG20" s="352"/>
      <c r="PNH20" s="352"/>
      <c r="PNI20" s="352"/>
      <c r="PNJ20" s="352"/>
      <c r="PNK20" s="352"/>
      <c r="PNL20" s="352"/>
      <c r="PNM20" s="352"/>
      <c r="PNN20" s="352"/>
      <c r="PNO20" s="352"/>
      <c r="PNP20" s="352"/>
      <c r="PNQ20" s="352"/>
      <c r="PNR20" s="352"/>
      <c r="PNS20" s="352"/>
      <c r="PNT20" s="352"/>
      <c r="PNU20" s="352"/>
      <c r="PNV20" s="352"/>
      <c r="PNW20" s="352"/>
      <c r="PNX20" s="352"/>
      <c r="PNY20" s="352"/>
      <c r="PNZ20" s="352"/>
      <c r="POA20" s="352"/>
      <c r="POB20" s="352"/>
      <c r="POC20" s="352"/>
      <c r="POD20" s="352"/>
      <c r="POE20" s="352"/>
      <c r="POF20" s="352"/>
      <c r="POG20" s="352"/>
      <c r="POH20" s="352"/>
      <c r="POI20" s="352"/>
      <c r="POJ20" s="352"/>
      <c r="POK20" s="352"/>
      <c r="POL20" s="352"/>
      <c r="POM20" s="352"/>
      <c r="PON20" s="352"/>
      <c r="POO20" s="352"/>
      <c r="POP20" s="352"/>
      <c r="POQ20" s="352"/>
      <c r="POR20" s="352"/>
      <c r="POS20" s="352"/>
      <c r="POT20" s="352"/>
      <c r="POU20" s="352"/>
      <c r="POV20" s="352"/>
      <c r="POW20" s="352"/>
      <c r="POX20" s="352"/>
      <c r="POY20" s="352"/>
      <c r="POZ20" s="352"/>
      <c r="PPA20" s="352"/>
      <c r="PPB20" s="352"/>
      <c r="PPC20" s="352"/>
      <c r="PPD20" s="352"/>
      <c r="PPE20" s="352"/>
      <c r="PPF20" s="352"/>
      <c r="PPG20" s="352"/>
      <c r="PPH20" s="352"/>
      <c r="PPI20" s="352"/>
      <c r="PPJ20" s="352"/>
      <c r="PPK20" s="352"/>
      <c r="PPL20" s="352"/>
      <c r="PPM20" s="352"/>
      <c r="PPN20" s="352"/>
      <c r="PPO20" s="352"/>
      <c r="PPP20" s="352"/>
      <c r="PPQ20" s="352"/>
      <c r="PPR20" s="352"/>
      <c r="PPS20" s="352"/>
      <c r="PPT20" s="352"/>
      <c r="PPU20" s="352"/>
      <c r="PPV20" s="352"/>
      <c r="PPW20" s="352"/>
      <c r="PPX20" s="352"/>
      <c r="PPY20" s="352"/>
      <c r="PPZ20" s="352"/>
      <c r="PQA20" s="352"/>
      <c r="PQB20" s="352"/>
      <c r="PQC20" s="352"/>
      <c r="PQD20" s="352"/>
      <c r="PQE20" s="352"/>
      <c r="PQF20" s="352"/>
      <c r="PQG20" s="352"/>
      <c r="PQH20" s="352"/>
      <c r="PQI20" s="352"/>
      <c r="PQJ20" s="352"/>
      <c r="PQK20" s="352"/>
      <c r="PQL20" s="352"/>
      <c r="PQM20" s="352"/>
      <c r="PQN20" s="352"/>
      <c r="PQO20" s="352"/>
      <c r="PQP20" s="352"/>
      <c r="PQQ20" s="352"/>
      <c r="PQR20" s="352"/>
      <c r="PQS20" s="352"/>
      <c r="PQT20" s="352"/>
      <c r="PQU20" s="352"/>
      <c r="PQV20" s="352"/>
      <c r="PQW20" s="352"/>
      <c r="PQX20" s="352"/>
      <c r="PQY20" s="352"/>
      <c r="PQZ20" s="352"/>
      <c r="PRA20" s="352"/>
      <c r="PRB20" s="352"/>
      <c r="PRC20" s="352"/>
      <c r="PRD20" s="352"/>
      <c r="PRE20" s="352"/>
      <c r="PRF20" s="352"/>
      <c r="PRG20" s="352"/>
      <c r="PRH20" s="352"/>
      <c r="PRI20" s="352"/>
      <c r="PRJ20" s="352"/>
      <c r="PRK20" s="352"/>
      <c r="PRL20" s="352"/>
      <c r="PRM20" s="352"/>
      <c r="PRN20" s="352"/>
      <c r="PRO20" s="352"/>
      <c r="PRP20" s="352"/>
      <c r="PRQ20" s="352"/>
      <c r="PRR20" s="352"/>
      <c r="PRS20" s="352"/>
      <c r="PRT20" s="352"/>
      <c r="PRU20" s="352"/>
      <c r="PRV20" s="352"/>
      <c r="PRW20" s="352"/>
      <c r="PRX20" s="352"/>
      <c r="PRY20" s="352"/>
      <c r="PRZ20" s="352"/>
      <c r="PSA20" s="352"/>
      <c r="PSB20" s="352"/>
      <c r="PSC20" s="352"/>
      <c r="PSD20" s="352"/>
      <c r="PSE20" s="352"/>
      <c r="PSF20" s="352"/>
      <c r="PSG20" s="352"/>
      <c r="PSH20" s="352"/>
      <c r="PSI20" s="352"/>
      <c r="PSJ20" s="352"/>
      <c r="PSK20" s="352"/>
      <c r="PSL20" s="352"/>
      <c r="PSM20" s="352"/>
      <c r="PSN20" s="352"/>
      <c r="PSO20" s="352"/>
      <c r="PSP20" s="352"/>
      <c r="PSQ20" s="352"/>
      <c r="PSR20" s="352"/>
      <c r="PSS20" s="352"/>
      <c r="PST20" s="352"/>
      <c r="PSU20" s="352"/>
      <c r="PSV20" s="352"/>
      <c r="PSW20" s="352"/>
      <c r="PSX20" s="352"/>
      <c r="PSY20" s="352"/>
      <c r="PSZ20" s="352"/>
      <c r="PTA20" s="352"/>
      <c r="PTB20" s="352"/>
      <c r="PTC20" s="352"/>
      <c r="PTD20" s="352"/>
      <c r="PTE20" s="352"/>
      <c r="PTF20" s="352"/>
      <c r="PTG20" s="352"/>
      <c r="PTH20" s="352"/>
      <c r="PTI20" s="352"/>
      <c r="PTJ20" s="352"/>
      <c r="PTK20" s="352"/>
      <c r="PTL20" s="352"/>
      <c r="PTM20" s="352"/>
      <c r="PTN20" s="352"/>
      <c r="PTO20" s="352"/>
      <c r="PTP20" s="352"/>
      <c r="PTQ20" s="352"/>
      <c r="PTR20" s="352"/>
      <c r="PTS20" s="352"/>
      <c r="PTT20" s="352"/>
      <c r="PTU20" s="352"/>
      <c r="PTV20" s="352"/>
      <c r="PTW20" s="352"/>
      <c r="PTX20" s="352"/>
      <c r="PTY20" s="352"/>
      <c r="PTZ20" s="352"/>
      <c r="PUA20" s="352"/>
      <c r="PUB20" s="352"/>
      <c r="PUC20" s="352"/>
      <c r="PUD20" s="352"/>
      <c r="PUE20" s="352"/>
      <c r="PUF20" s="352"/>
      <c r="PUG20" s="352"/>
      <c r="PUH20" s="352"/>
      <c r="PUI20" s="352"/>
      <c r="PUJ20" s="352"/>
      <c r="PUK20" s="352"/>
      <c r="PUL20" s="352"/>
      <c r="PUM20" s="352"/>
      <c r="PUN20" s="352"/>
      <c r="PUO20" s="352"/>
      <c r="PUP20" s="352"/>
      <c r="PUQ20" s="352"/>
      <c r="PUR20" s="352"/>
      <c r="PUS20" s="352"/>
      <c r="PUT20" s="352"/>
      <c r="PUU20" s="352"/>
      <c r="PUV20" s="352"/>
      <c r="PUW20" s="352"/>
      <c r="PUX20" s="352"/>
      <c r="PUY20" s="352"/>
      <c r="PUZ20" s="352"/>
      <c r="PVA20" s="352"/>
      <c r="PVB20" s="352"/>
      <c r="PVC20" s="352"/>
      <c r="PVD20" s="352"/>
      <c r="PVE20" s="352"/>
      <c r="PVF20" s="352"/>
      <c r="PVG20" s="352"/>
      <c r="PVH20" s="352"/>
      <c r="PVI20" s="352"/>
      <c r="PVJ20" s="352"/>
      <c r="PVK20" s="352"/>
      <c r="PVL20" s="352"/>
      <c r="PVM20" s="352"/>
      <c r="PVN20" s="352"/>
      <c r="PVO20" s="352"/>
      <c r="PVP20" s="352"/>
      <c r="PVQ20" s="352"/>
      <c r="PVR20" s="352"/>
      <c r="PVS20" s="352"/>
      <c r="PVT20" s="352"/>
      <c r="PVU20" s="352"/>
      <c r="PVV20" s="352"/>
      <c r="PVW20" s="352"/>
      <c r="PVX20" s="352"/>
      <c r="PVY20" s="352"/>
      <c r="PVZ20" s="352"/>
      <c r="PWA20" s="352"/>
      <c r="PWB20" s="352"/>
      <c r="PWC20" s="352"/>
      <c r="PWD20" s="352"/>
      <c r="PWE20" s="352"/>
      <c r="PWF20" s="352"/>
      <c r="PWG20" s="352"/>
      <c r="PWH20" s="352"/>
      <c r="PWI20" s="352"/>
      <c r="PWJ20" s="352"/>
      <c r="PWK20" s="352"/>
      <c r="PWL20" s="352"/>
      <c r="PWM20" s="352"/>
      <c r="PWN20" s="352"/>
      <c r="PWO20" s="352"/>
      <c r="PWP20" s="352"/>
      <c r="PWQ20" s="352"/>
      <c r="PWR20" s="352"/>
      <c r="PWS20" s="352"/>
      <c r="PWT20" s="352"/>
      <c r="PWU20" s="352"/>
      <c r="PWV20" s="352"/>
      <c r="PWW20" s="352"/>
      <c r="PWX20" s="352"/>
      <c r="PWY20" s="352"/>
      <c r="PWZ20" s="352"/>
      <c r="PXA20" s="352"/>
      <c r="PXB20" s="352"/>
      <c r="PXC20" s="352"/>
      <c r="PXD20" s="352"/>
      <c r="PXE20" s="352"/>
      <c r="PXF20" s="352"/>
      <c r="PXG20" s="352"/>
      <c r="PXH20" s="352"/>
      <c r="PXI20" s="352"/>
      <c r="PXJ20" s="352"/>
      <c r="PXK20" s="352"/>
      <c r="PXL20" s="352"/>
      <c r="PXM20" s="352"/>
      <c r="PXN20" s="352"/>
      <c r="PXO20" s="352"/>
      <c r="PXP20" s="352"/>
      <c r="PXQ20" s="352"/>
      <c r="PXR20" s="352"/>
      <c r="PXS20" s="352"/>
      <c r="PXT20" s="352"/>
      <c r="PXU20" s="352"/>
      <c r="PXV20" s="352"/>
      <c r="PXW20" s="352"/>
      <c r="PXX20" s="352"/>
      <c r="PXY20" s="352"/>
      <c r="PXZ20" s="352"/>
      <c r="PYA20" s="352"/>
      <c r="PYB20" s="352"/>
      <c r="PYC20" s="352"/>
      <c r="PYD20" s="352"/>
      <c r="PYE20" s="352"/>
      <c r="PYF20" s="352"/>
      <c r="PYG20" s="352"/>
      <c r="PYH20" s="352"/>
      <c r="PYI20" s="352"/>
      <c r="PYJ20" s="352"/>
      <c r="PYK20" s="352"/>
      <c r="PYL20" s="352"/>
      <c r="PYM20" s="352"/>
      <c r="PYN20" s="352"/>
      <c r="PYO20" s="352"/>
      <c r="PYP20" s="352"/>
      <c r="PYQ20" s="352"/>
      <c r="PYR20" s="352"/>
      <c r="PYS20" s="352"/>
      <c r="PYT20" s="352"/>
      <c r="PYU20" s="352"/>
      <c r="PYV20" s="352"/>
      <c r="PYW20" s="352"/>
      <c r="PYX20" s="352"/>
      <c r="PYY20" s="352"/>
      <c r="PYZ20" s="352"/>
      <c r="PZA20" s="352"/>
      <c r="PZB20" s="352"/>
      <c r="PZC20" s="352"/>
      <c r="PZD20" s="352"/>
      <c r="PZE20" s="352"/>
      <c r="PZF20" s="352"/>
      <c r="PZG20" s="352"/>
      <c r="PZH20" s="352"/>
      <c r="PZI20" s="352"/>
      <c r="PZJ20" s="352"/>
      <c r="PZK20" s="352"/>
      <c r="PZL20" s="352"/>
      <c r="PZM20" s="352"/>
      <c r="PZN20" s="352"/>
      <c r="PZO20" s="352"/>
      <c r="PZP20" s="352"/>
      <c r="PZQ20" s="352"/>
      <c r="PZR20" s="352"/>
      <c r="PZS20" s="352"/>
      <c r="PZT20" s="352"/>
      <c r="PZU20" s="352"/>
      <c r="PZV20" s="352"/>
      <c r="PZW20" s="352"/>
      <c r="PZX20" s="352"/>
      <c r="PZY20" s="352"/>
      <c r="PZZ20" s="352"/>
      <c r="QAA20" s="352"/>
      <c r="QAB20" s="352"/>
      <c r="QAC20" s="352"/>
      <c r="QAD20" s="352"/>
      <c r="QAE20" s="352"/>
      <c r="QAF20" s="352"/>
      <c r="QAG20" s="352"/>
      <c r="QAH20" s="352"/>
      <c r="QAI20" s="352"/>
      <c r="QAJ20" s="352"/>
      <c r="QAK20" s="352"/>
      <c r="QAL20" s="352"/>
      <c r="QAM20" s="352"/>
      <c r="QAN20" s="352"/>
      <c r="QAO20" s="352"/>
      <c r="QAP20" s="352"/>
      <c r="QAQ20" s="352"/>
      <c r="QAR20" s="352"/>
      <c r="QAS20" s="352"/>
      <c r="QAT20" s="352"/>
      <c r="QAU20" s="352"/>
      <c r="QAV20" s="352"/>
      <c r="QAW20" s="352"/>
      <c r="QAX20" s="352"/>
      <c r="QAY20" s="352"/>
      <c r="QAZ20" s="352"/>
      <c r="QBA20" s="352"/>
      <c r="QBB20" s="352"/>
      <c r="QBC20" s="352"/>
      <c r="QBD20" s="352"/>
      <c r="QBE20" s="352"/>
      <c r="QBF20" s="352"/>
      <c r="QBG20" s="352"/>
      <c r="QBH20" s="352"/>
      <c r="QBI20" s="352"/>
      <c r="QBJ20" s="352"/>
      <c r="QBK20" s="352"/>
      <c r="QBL20" s="352"/>
      <c r="QBM20" s="352"/>
      <c r="QBN20" s="352"/>
      <c r="QBO20" s="352"/>
      <c r="QBP20" s="352"/>
      <c r="QBQ20" s="352"/>
      <c r="QBR20" s="352"/>
      <c r="QBS20" s="352"/>
      <c r="QBT20" s="352"/>
      <c r="QBU20" s="352"/>
      <c r="QBV20" s="352"/>
      <c r="QBW20" s="352"/>
      <c r="QBX20" s="352"/>
      <c r="QBY20" s="352"/>
      <c r="QBZ20" s="352"/>
      <c r="QCA20" s="352"/>
      <c r="QCB20" s="352"/>
      <c r="QCC20" s="352"/>
      <c r="QCD20" s="352"/>
      <c r="QCE20" s="352"/>
      <c r="QCF20" s="352"/>
      <c r="QCG20" s="352"/>
      <c r="QCH20" s="352"/>
      <c r="QCI20" s="352"/>
      <c r="QCJ20" s="352"/>
      <c r="QCK20" s="352"/>
      <c r="QCL20" s="352"/>
      <c r="QCM20" s="352"/>
      <c r="QCN20" s="352"/>
      <c r="QCO20" s="352"/>
      <c r="QCP20" s="352"/>
      <c r="QCQ20" s="352"/>
      <c r="QCR20" s="352"/>
      <c r="QCS20" s="352"/>
      <c r="QCT20" s="352"/>
      <c r="QCU20" s="352"/>
      <c r="QCV20" s="352"/>
      <c r="QCW20" s="352"/>
      <c r="QCX20" s="352"/>
      <c r="QCY20" s="352"/>
      <c r="QCZ20" s="352"/>
      <c r="QDA20" s="352"/>
      <c r="QDB20" s="352"/>
      <c r="QDC20" s="352"/>
      <c r="QDD20" s="352"/>
      <c r="QDE20" s="352"/>
      <c r="QDF20" s="352"/>
      <c r="QDG20" s="352"/>
      <c r="QDH20" s="352"/>
      <c r="QDI20" s="352"/>
      <c r="QDJ20" s="352"/>
      <c r="QDK20" s="352"/>
      <c r="QDL20" s="352"/>
      <c r="QDM20" s="352"/>
      <c r="QDN20" s="352"/>
      <c r="QDO20" s="352"/>
      <c r="QDP20" s="352"/>
      <c r="QDQ20" s="352"/>
      <c r="QDR20" s="352"/>
      <c r="QDS20" s="352"/>
      <c r="QDT20" s="352"/>
      <c r="QDU20" s="352"/>
      <c r="QDV20" s="352"/>
      <c r="QDW20" s="352"/>
      <c r="QDX20" s="352"/>
      <c r="QDY20" s="352"/>
      <c r="QDZ20" s="352"/>
      <c r="QEA20" s="352"/>
      <c r="QEB20" s="352"/>
      <c r="QEC20" s="352"/>
      <c r="QED20" s="352"/>
      <c r="QEE20" s="352"/>
      <c r="QEF20" s="352"/>
      <c r="QEG20" s="352"/>
      <c r="QEH20" s="352"/>
      <c r="QEI20" s="352"/>
      <c r="QEJ20" s="352"/>
      <c r="QEK20" s="352"/>
      <c r="QEL20" s="352"/>
      <c r="QEM20" s="352"/>
      <c r="QEN20" s="352"/>
      <c r="QEO20" s="352"/>
      <c r="QEP20" s="352"/>
      <c r="QEQ20" s="352"/>
      <c r="QER20" s="352"/>
      <c r="QES20" s="352"/>
      <c r="QET20" s="352"/>
      <c r="QEU20" s="352"/>
      <c r="QEV20" s="352"/>
      <c r="QEW20" s="352"/>
      <c r="QEX20" s="352"/>
      <c r="QEY20" s="352"/>
      <c r="QEZ20" s="352"/>
      <c r="QFA20" s="352"/>
      <c r="QFB20" s="352"/>
      <c r="QFC20" s="352"/>
      <c r="QFD20" s="352"/>
      <c r="QFE20" s="352"/>
      <c r="QFF20" s="352"/>
      <c r="QFG20" s="352"/>
      <c r="QFH20" s="352"/>
      <c r="QFI20" s="352"/>
      <c r="QFJ20" s="352"/>
      <c r="QFK20" s="352"/>
      <c r="QFL20" s="352"/>
      <c r="QFM20" s="352"/>
      <c r="QFN20" s="352"/>
      <c r="QFO20" s="352"/>
      <c r="QFP20" s="352"/>
      <c r="QFQ20" s="352"/>
      <c r="QFR20" s="352"/>
      <c r="QFS20" s="352"/>
      <c r="QFT20" s="352"/>
      <c r="QFU20" s="352"/>
      <c r="QFV20" s="352"/>
      <c r="QFW20" s="352"/>
      <c r="QFX20" s="352"/>
      <c r="QFY20" s="352"/>
      <c r="QFZ20" s="352"/>
      <c r="QGA20" s="352"/>
      <c r="QGB20" s="352"/>
      <c r="QGC20" s="352"/>
      <c r="QGD20" s="352"/>
      <c r="QGE20" s="352"/>
      <c r="QGF20" s="352"/>
      <c r="QGG20" s="352"/>
      <c r="QGH20" s="352"/>
      <c r="QGI20" s="352"/>
      <c r="QGJ20" s="352"/>
      <c r="QGK20" s="352"/>
      <c r="QGL20" s="352"/>
      <c r="QGM20" s="352"/>
      <c r="QGN20" s="352"/>
      <c r="QGO20" s="352"/>
      <c r="QGP20" s="352"/>
      <c r="QGQ20" s="352"/>
      <c r="QGR20" s="352"/>
      <c r="QGS20" s="352"/>
      <c r="QGT20" s="352"/>
      <c r="QGU20" s="352"/>
      <c r="QGV20" s="352"/>
      <c r="QGW20" s="352"/>
      <c r="QGX20" s="352"/>
      <c r="QGY20" s="352"/>
      <c r="QGZ20" s="352"/>
      <c r="QHA20" s="352"/>
      <c r="QHB20" s="352"/>
      <c r="QHC20" s="352"/>
      <c r="QHD20" s="352"/>
      <c r="QHE20" s="352"/>
      <c r="QHF20" s="352"/>
      <c r="QHG20" s="352"/>
      <c r="QHH20" s="352"/>
      <c r="QHI20" s="352"/>
      <c r="QHJ20" s="352"/>
      <c r="QHK20" s="352"/>
      <c r="QHL20" s="352"/>
      <c r="QHM20" s="352"/>
      <c r="QHN20" s="352"/>
      <c r="QHO20" s="352"/>
      <c r="QHP20" s="352"/>
      <c r="QHQ20" s="352"/>
      <c r="QHR20" s="352"/>
      <c r="QHS20" s="352"/>
      <c r="QHT20" s="352"/>
      <c r="QHU20" s="352"/>
      <c r="QHV20" s="352"/>
      <c r="QHW20" s="352"/>
      <c r="QHX20" s="352"/>
      <c r="QHY20" s="352"/>
      <c r="QHZ20" s="352"/>
      <c r="QIA20" s="352"/>
      <c r="QIB20" s="352"/>
      <c r="QIC20" s="352"/>
      <c r="QID20" s="352"/>
      <c r="QIE20" s="352"/>
      <c r="QIF20" s="352"/>
      <c r="QIG20" s="352"/>
      <c r="QIH20" s="352"/>
      <c r="QII20" s="352"/>
      <c r="QIJ20" s="352"/>
      <c r="QIK20" s="352"/>
      <c r="QIL20" s="352"/>
      <c r="QIM20" s="352"/>
      <c r="QIN20" s="352"/>
      <c r="QIO20" s="352"/>
      <c r="QIP20" s="352"/>
      <c r="QIQ20" s="352"/>
      <c r="QIR20" s="352"/>
      <c r="QIS20" s="352"/>
      <c r="QIT20" s="352"/>
      <c r="QIU20" s="352"/>
      <c r="QIV20" s="352"/>
      <c r="QIW20" s="352"/>
      <c r="QIX20" s="352"/>
      <c r="QIY20" s="352"/>
      <c r="QIZ20" s="352"/>
      <c r="QJA20" s="352"/>
      <c r="QJB20" s="352"/>
      <c r="QJC20" s="352"/>
      <c r="QJD20" s="352"/>
      <c r="QJE20" s="352"/>
      <c r="QJF20" s="352"/>
      <c r="QJG20" s="352"/>
      <c r="QJH20" s="352"/>
      <c r="QJI20" s="352"/>
      <c r="QJJ20" s="352"/>
      <c r="QJK20" s="352"/>
      <c r="QJL20" s="352"/>
      <c r="QJM20" s="352"/>
      <c r="QJN20" s="352"/>
      <c r="QJO20" s="352"/>
      <c r="QJP20" s="352"/>
      <c r="QJQ20" s="352"/>
      <c r="QJR20" s="352"/>
      <c r="QJS20" s="352"/>
      <c r="QJT20" s="352"/>
      <c r="QJU20" s="352"/>
      <c r="QJV20" s="352"/>
      <c r="QJW20" s="352"/>
      <c r="QJX20" s="352"/>
      <c r="QJY20" s="352"/>
      <c r="QJZ20" s="352"/>
      <c r="QKA20" s="352"/>
      <c r="QKB20" s="352"/>
      <c r="QKC20" s="352"/>
      <c r="QKD20" s="352"/>
      <c r="QKE20" s="352"/>
      <c r="QKF20" s="352"/>
      <c r="QKG20" s="352"/>
      <c r="QKH20" s="352"/>
      <c r="QKI20" s="352"/>
      <c r="QKJ20" s="352"/>
      <c r="QKK20" s="352"/>
      <c r="QKL20" s="352"/>
      <c r="QKM20" s="352"/>
      <c r="QKN20" s="352"/>
      <c r="QKO20" s="352"/>
      <c r="QKP20" s="352"/>
      <c r="QKQ20" s="352"/>
      <c r="QKR20" s="352"/>
      <c r="QKS20" s="352"/>
      <c r="QKT20" s="352"/>
      <c r="QKU20" s="352"/>
      <c r="QKV20" s="352"/>
      <c r="QKW20" s="352"/>
      <c r="QKX20" s="352"/>
      <c r="QKY20" s="352"/>
      <c r="QKZ20" s="352"/>
      <c r="QLA20" s="352"/>
      <c r="QLB20" s="352"/>
      <c r="QLC20" s="352"/>
      <c r="QLD20" s="352"/>
      <c r="QLE20" s="352"/>
      <c r="QLF20" s="352"/>
      <c r="QLG20" s="352"/>
      <c r="QLH20" s="352"/>
      <c r="QLI20" s="352"/>
      <c r="QLJ20" s="352"/>
      <c r="QLK20" s="352"/>
      <c r="QLL20" s="352"/>
      <c r="QLM20" s="352"/>
      <c r="QLN20" s="352"/>
      <c r="QLO20" s="352"/>
      <c r="QLP20" s="352"/>
      <c r="QLQ20" s="352"/>
      <c r="QLR20" s="352"/>
      <c r="QLS20" s="352"/>
      <c r="QLT20" s="352"/>
      <c r="QLU20" s="352"/>
      <c r="QLV20" s="352"/>
      <c r="QLW20" s="352"/>
      <c r="QLX20" s="352"/>
      <c r="QLY20" s="352"/>
      <c r="QLZ20" s="352"/>
      <c r="QMA20" s="352"/>
      <c r="QMB20" s="352"/>
      <c r="QMC20" s="352"/>
      <c r="QMD20" s="352"/>
      <c r="QME20" s="352"/>
      <c r="QMF20" s="352"/>
      <c r="QMG20" s="352"/>
      <c r="QMH20" s="352"/>
      <c r="QMI20" s="352"/>
      <c r="QMJ20" s="352"/>
      <c r="QMK20" s="352"/>
      <c r="QML20" s="352"/>
      <c r="QMM20" s="352"/>
      <c r="QMN20" s="352"/>
      <c r="QMO20" s="352"/>
      <c r="QMP20" s="352"/>
      <c r="QMQ20" s="352"/>
      <c r="QMR20" s="352"/>
      <c r="QMS20" s="352"/>
      <c r="QMT20" s="352"/>
      <c r="QMU20" s="352"/>
      <c r="QMV20" s="352"/>
      <c r="QMW20" s="352"/>
      <c r="QMX20" s="352"/>
      <c r="QMY20" s="352"/>
      <c r="QMZ20" s="352"/>
      <c r="QNA20" s="352"/>
      <c r="QNB20" s="352"/>
      <c r="QNC20" s="352"/>
      <c r="QND20" s="352"/>
      <c r="QNE20" s="352"/>
      <c r="QNF20" s="352"/>
      <c r="QNG20" s="352"/>
      <c r="QNH20" s="352"/>
      <c r="QNI20" s="352"/>
      <c r="QNJ20" s="352"/>
      <c r="QNK20" s="352"/>
      <c r="QNL20" s="352"/>
      <c r="QNM20" s="352"/>
      <c r="QNN20" s="352"/>
      <c r="QNO20" s="352"/>
      <c r="QNP20" s="352"/>
      <c r="QNQ20" s="352"/>
      <c r="QNR20" s="352"/>
      <c r="QNS20" s="352"/>
      <c r="QNT20" s="352"/>
      <c r="QNU20" s="352"/>
      <c r="QNV20" s="352"/>
      <c r="QNW20" s="352"/>
      <c r="QNX20" s="352"/>
      <c r="QNY20" s="352"/>
      <c r="QNZ20" s="352"/>
      <c r="QOA20" s="352"/>
      <c r="QOB20" s="352"/>
      <c r="QOC20" s="352"/>
      <c r="QOD20" s="352"/>
      <c r="QOE20" s="352"/>
      <c r="QOF20" s="352"/>
      <c r="QOG20" s="352"/>
      <c r="QOH20" s="352"/>
      <c r="QOI20" s="352"/>
      <c r="QOJ20" s="352"/>
      <c r="QOK20" s="352"/>
      <c r="QOL20" s="352"/>
      <c r="QOM20" s="352"/>
      <c r="QON20" s="352"/>
      <c r="QOO20" s="352"/>
      <c r="QOP20" s="352"/>
      <c r="QOQ20" s="352"/>
      <c r="QOR20" s="352"/>
      <c r="QOS20" s="352"/>
      <c r="QOT20" s="352"/>
      <c r="QOU20" s="352"/>
      <c r="QOV20" s="352"/>
      <c r="QOW20" s="352"/>
      <c r="QOX20" s="352"/>
      <c r="QOY20" s="352"/>
      <c r="QOZ20" s="352"/>
      <c r="QPA20" s="352"/>
      <c r="QPB20" s="352"/>
      <c r="QPC20" s="352"/>
      <c r="QPD20" s="352"/>
      <c r="QPE20" s="352"/>
      <c r="QPF20" s="352"/>
      <c r="QPG20" s="352"/>
      <c r="QPH20" s="352"/>
      <c r="QPI20" s="352"/>
      <c r="QPJ20" s="352"/>
      <c r="QPK20" s="352"/>
      <c r="QPL20" s="352"/>
      <c r="QPM20" s="352"/>
      <c r="QPN20" s="352"/>
      <c r="QPO20" s="352"/>
      <c r="QPP20" s="352"/>
      <c r="QPQ20" s="352"/>
      <c r="QPR20" s="352"/>
      <c r="QPS20" s="352"/>
      <c r="QPT20" s="352"/>
      <c r="QPU20" s="352"/>
      <c r="QPV20" s="352"/>
      <c r="QPW20" s="352"/>
      <c r="QPX20" s="352"/>
      <c r="QPY20" s="352"/>
      <c r="QPZ20" s="352"/>
      <c r="QQA20" s="352"/>
      <c r="QQB20" s="352"/>
      <c r="QQC20" s="352"/>
      <c r="QQD20" s="352"/>
      <c r="QQE20" s="352"/>
      <c r="QQF20" s="352"/>
      <c r="QQG20" s="352"/>
      <c r="QQH20" s="352"/>
      <c r="QQI20" s="352"/>
      <c r="QQJ20" s="352"/>
      <c r="QQK20" s="352"/>
      <c r="QQL20" s="352"/>
      <c r="QQM20" s="352"/>
      <c r="QQN20" s="352"/>
      <c r="QQO20" s="352"/>
      <c r="QQP20" s="352"/>
      <c r="QQQ20" s="352"/>
      <c r="QQR20" s="352"/>
      <c r="QQS20" s="352"/>
      <c r="QQT20" s="352"/>
      <c r="QQU20" s="352"/>
      <c r="QQV20" s="352"/>
      <c r="QQW20" s="352"/>
      <c r="QQX20" s="352"/>
      <c r="QQY20" s="352"/>
      <c r="QQZ20" s="352"/>
      <c r="QRA20" s="352"/>
      <c r="QRB20" s="352"/>
      <c r="QRC20" s="352"/>
      <c r="QRD20" s="352"/>
      <c r="QRE20" s="352"/>
      <c r="QRF20" s="352"/>
      <c r="QRG20" s="352"/>
      <c r="QRH20" s="352"/>
      <c r="QRI20" s="352"/>
      <c r="QRJ20" s="352"/>
      <c r="QRK20" s="352"/>
      <c r="QRL20" s="352"/>
      <c r="QRM20" s="352"/>
      <c r="QRN20" s="352"/>
      <c r="QRO20" s="352"/>
      <c r="QRP20" s="352"/>
      <c r="QRQ20" s="352"/>
      <c r="QRR20" s="352"/>
      <c r="QRS20" s="352"/>
      <c r="QRT20" s="352"/>
      <c r="QRU20" s="352"/>
      <c r="QRV20" s="352"/>
      <c r="QRW20" s="352"/>
      <c r="QRX20" s="352"/>
      <c r="QRY20" s="352"/>
      <c r="QRZ20" s="352"/>
      <c r="QSA20" s="352"/>
      <c r="QSB20" s="352"/>
      <c r="QSC20" s="352"/>
      <c r="QSD20" s="352"/>
      <c r="QSE20" s="352"/>
      <c r="QSF20" s="352"/>
      <c r="QSG20" s="352"/>
      <c r="QSH20" s="352"/>
      <c r="QSI20" s="352"/>
      <c r="QSJ20" s="352"/>
      <c r="QSK20" s="352"/>
      <c r="QSL20" s="352"/>
      <c r="QSM20" s="352"/>
      <c r="QSN20" s="352"/>
      <c r="QSO20" s="352"/>
      <c r="QSP20" s="352"/>
      <c r="QSQ20" s="352"/>
      <c r="QSR20" s="352"/>
      <c r="QSS20" s="352"/>
      <c r="QST20" s="352"/>
      <c r="QSU20" s="352"/>
      <c r="QSV20" s="352"/>
      <c r="QSW20" s="352"/>
      <c r="QSX20" s="352"/>
      <c r="QSY20" s="352"/>
      <c r="QSZ20" s="352"/>
      <c r="QTA20" s="352"/>
      <c r="QTB20" s="352"/>
      <c r="QTC20" s="352"/>
      <c r="QTD20" s="352"/>
      <c r="QTE20" s="352"/>
      <c r="QTF20" s="352"/>
      <c r="QTG20" s="352"/>
      <c r="QTH20" s="352"/>
      <c r="QTI20" s="352"/>
      <c r="QTJ20" s="352"/>
      <c r="QTK20" s="352"/>
      <c r="QTL20" s="352"/>
      <c r="QTM20" s="352"/>
      <c r="QTN20" s="352"/>
      <c r="QTO20" s="352"/>
      <c r="QTP20" s="352"/>
      <c r="QTQ20" s="352"/>
      <c r="QTR20" s="352"/>
      <c r="QTS20" s="352"/>
      <c r="QTT20" s="352"/>
      <c r="QTU20" s="352"/>
      <c r="QTV20" s="352"/>
      <c r="QTW20" s="352"/>
      <c r="QTX20" s="352"/>
      <c r="QTY20" s="352"/>
      <c r="QTZ20" s="352"/>
      <c r="QUA20" s="352"/>
      <c r="QUB20" s="352"/>
      <c r="QUC20" s="352"/>
      <c r="QUD20" s="352"/>
      <c r="QUE20" s="352"/>
      <c r="QUF20" s="352"/>
      <c r="QUG20" s="352"/>
      <c r="QUH20" s="352"/>
      <c r="QUI20" s="352"/>
      <c r="QUJ20" s="352"/>
      <c r="QUK20" s="352"/>
      <c r="QUL20" s="352"/>
      <c r="QUM20" s="352"/>
      <c r="QUN20" s="352"/>
      <c r="QUO20" s="352"/>
      <c r="QUP20" s="352"/>
      <c r="QUQ20" s="352"/>
      <c r="QUR20" s="352"/>
      <c r="QUS20" s="352"/>
      <c r="QUT20" s="352"/>
      <c r="QUU20" s="352"/>
      <c r="QUV20" s="352"/>
      <c r="QUW20" s="352"/>
      <c r="QUX20" s="352"/>
      <c r="QUY20" s="352"/>
      <c r="QUZ20" s="352"/>
      <c r="QVA20" s="352"/>
      <c r="QVB20" s="352"/>
      <c r="QVC20" s="352"/>
      <c r="QVD20" s="352"/>
      <c r="QVE20" s="352"/>
      <c r="QVF20" s="352"/>
      <c r="QVG20" s="352"/>
      <c r="QVH20" s="352"/>
      <c r="QVI20" s="352"/>
      <c r="QVJ20" s="352"/>
      <c r="QVK20" s="352"/>
      <c r="QVL20" s="352"/>
      <c r="QVM20" s="352"/>
      <c r="QVN20" s="352"/>
      <c r="QVO20" s="352"/>
      <c r="QVP20" s="352"/>
      <c r="QVQ20" s="352"/>
      <c r="QVR20" s="352"/>
      <c r="QVS20" s="352"/>
      <c r="QVT20" s="352"/>
      <c r="QVU20" s="352"/>
      <c r="QVV20" s="352"/>
      <c r="QVW20" s="352"/>
      <c r="QVX20" s="352"/>
      <c r="QVY20" s="352"/>
      <c r="QVZ20" s="352"/>
      <c r="QWA20" s="352"/>
      <c r="QWB20" s="352"/>
      <c r="QWC20" s="352"/>
      <c r="QWD20" s="352"/>
      <c r="QWE20" s="352"/>
      <c r="QWF20" s="352"/>
      <c r="QWG20" s="352"/>
      <c r="QWH20" s="352"/>
      <c r="QWI20" s="352"/>
      <c r="QWJ20" s="352"/>
      <c r="QWK20" s="352"/>
      <c r="QWL20" s="352"/>
      <c r="QWM20" s="352"/>
      <c r="QWN20" s="352"/>
      <c r="QWO20" s="352"/>
      <c r="QWP20" s="352"/>
      <c r="QWQ20" s="352"/>
      <c r="QWR20" s="352"/>
      <c r="QWS20" s="352"/>
      <c r="QWT20" s="352"/>
      <c r="QWU20" s="352"/>
      <c r="QWV20" s="352"/>
      <c r="QWW20" s="352"/>
      <c r="QWX20" s="352"/>
      <c r="QWY20" s="352"/>
      <c r="QWZ20" s="352"/>
      <c r="QXA20" s="352"/>
      <c r="QXB20" s="352"/>
      <c r="QXC20" s="352"/>
      <c r="QXD20" s="352"/>
      <c r="QXE20" s="352"/>
      <c r="QXF20" s="352"/>
      <c r="QXG20" s="352"/>
      <c r="QXH20" s="352"/>
      <c r="QXI20" s="352"/>
      <c r="QXJ20" s="352"/>
      <c r="QXK20" s="352"/>
      <c r="QXL20" s="352"/>
      <c r="QXM20" s="352"/>
      <c r="QXN20" s="352"/>
      <c r="QXO20" s="352"/>
      <c r="QXP20" s="352"/>
      <c r="QXQ20" s="352"/>
      <c r="QXR20" s="352"/>
      <c r="QXS20" s="352"/>
      <c r="QXT20" s="352"/>
      <c r="QXU20" s="352"/>
      <c r="QXV20" s="352"/>
      <c r="QXW20" s="352"/>
      <c r="QXX20" s="352"/>
      <c r="QXY20" s="352"/>
      <c r="QXZ20" s="352"/>
      <c r="QYA20" s="352"/>
      <c r="QYB20" s="352"/>
      <c r="QYC20" s="352"/>
      <c r="QYD20" s="352"/>
      <c r="QYE20" s="352"/>
      <c r="QYF20" s="352"/>
      <c r="QYG20" s="352"/>
      <c r="QYH20" s="352"/>
      <c r="QYI20" s="352"/>
      <c r="QYJ20" s="352"/>
      <c r="QYK20" s="352"/>
      <c r="QYL20" s="352"/>
      <c r="QYM20" s="352"/>
      <c r="QYN20" s="352"/>
      <c r="QYO20" s="352"/>
      <c r="QYP20" s="352"/>
      <c r="QYQ20" s="352"/>
      <c r="QYR20" s="352"/>
      <c r="QYS20" s="352"/>
      <c r="QYT20" s="352"/>
      <c r="QYU20" s="352"/>
      <c r="QYV20" s="352"/>
      <c r="QYW20" s="352"/>
      <c r="QYX20" s="352"/>
      <c r="QYY20" s="352"/>
      <c r="QYZ20" s="352"/>
      <c r="QZA20" s="352"/>
      <c r="QZB20" s="352"/>
      <c r="QZC20" s="352"/>
      <c r="QZD20" s="352"/>
      <c r="QZE20" s="352"/>
      <c r="QZF20" s="352"/>
      <c r="QZG20" s="352"/>
      <c r="QZH20" s="352"/>
      <c r="QZI20" s="352"/>
      <c r="QZJ20" s="352"/>
      <c r="QZK20" s="352"/>
      <c r="QZL20" s="352"/>
      <c r="QZM20" s="352"/>
      <c r="QZN20" s="352"/>
      <c r="QZO20" s="352"/>
      <c r="QZP20" s="352"/>
      <c r="QZQ20" s="352"/>
      <c r="QZR20" s="352"/>
      <c r="QZS20" s="352"/>
      <c r="QZT20" s="352"/>
      <c r="QZU20" s="352"/>
      <c r="QZV20" s="352"/>
      <c r="QZW20" s="352"/>
      <c r="QZX20" s="352"/>
      <c r="QZY20" s="352"/>
      <c r="QZZ20" s="352"/>
      <c r="RAA20" s="352"/>
      <c r="RAB20" s="352"/>
      <c r="RAC20" s="352"/>
      <c r="RAD20" s="352"/>
      <c r="RAE20" s="352"/>
      <c r="RAF20" s="352"/>
      <c r="RAG20" s="352"/>
      <c r="RAH20" s="352"/>
      <c r="RAI20" s="352"/>
      <c r="RAJ20" s="352"/>
      <c r="RAK20" s="352"/>
      <c r="RAL20" s="352"/>
      <c r="RAM20" s="352"/>
      <c r="RAN20" s="352"/>
      <c r="RAO20" s="352"/>
      <c r="RAP20" s="352"/>
      <c r="RAQ20" s="352"/>
      <c r="RAR20" s="352"/>
      <c r="RAS20" s="352"/>
      <c r="RAT20" s="352"/>
      <c r="RAU20" s="352"/>
      <c r="RAV20" s="352"/>
      <c r="RAW20" s="352"/>
      <c r="RAX20" s="352"/>
      <c r="RAY20" s="352"/>
      <c r="RAZ20" s="352"/>
      <c r="RBA20" s="352"/>
      <c r="RBB20" s="352"/>
      <c r="RBC20" s="352"/>
      <c r="RBD20" s="352"/>
      <c r="RBE20" s="352"/>
      <c r="RBF20" s="352"/>
      <c r="RBG20" s="352"/>
      <c r="RBH20" s="352"/>
      <c r="RBI20" s="352"/>
      <c r="RBJ20" s="352"/>
      <c r="RBK20" s="352"/>
      <c r="RBL20" s="352"/>
      <c r="RBM20" s="352"/>
      <c r="RBN20" s="352"/>
      <c r="RBO20" s="352"/>
      <c r="RBP20" s="352"/>
      <c r="RBQ20" s="352"/>
      <c r="RBR20" s="352"/>
      <c r="RBS20" s="352"/>
      <c r="RBT20" s="352"/>
      <c r="RBU20" s="352"/>
      <c r="RBV20" s="352"/>
      <c r="RBW20" s="352"/>
      <c r="RBX20" s="352"/>
      <c r="RBY20" s="352"/>
      <c r="RBZ20" s="352"/>
      <c r="RCA20" s="352"/>
      <c r="RCB20" s="352"/>
      <c r="RCC20" s="352"/>
      <c r="RCD20" s="352"/>
      <c r="RCE20" s="352"/>
      <c r="RCF20" s="352"/>
      <c r="RCG20" s="352"/>
      <c r="RCH20" s="352"/>
      <c r="RCI20" s="352"/>
      <c r="RCJ20" s="352"/>
      <c r="RCK20" s="352"/>
      <c r="RCL20" s="352"/>
      <c r="RCM20" s="352"/>
      <c r="RCN20" s="352"/>
      <c r="RCO20" s="352"/>
      <c r="RCP20" s="352"/>
      <c r="RCQ20" s="352"/>
      <c r="RCR20" s="352"/>
      <c r="RCS20" s="352"/>
      <c r="RCT20" s="352"/>
      <c r="RCU20" s="352"/>
      <c r="RCV20" s="352"/>
      <c r="RCW20" s="352"/>
      <c r="RCX20" s="352"/>
      <c r="RCY20" s="352"/>
      <c r="RCZ20" s="352"/>
      <c r="RDA20" s="352"/>
      <c r="RDB20" s="352"/>
      <c r="RDC20" s="352"/>
      <c r="RDD20" s="352"/>
      <c r="RDE20" s="352"/>
      <c r="RDF20" s="352"/>
      <c r="RDG20" s="352"/>
      <c r="RDH20" s="352"/>
      <c r="RDI20" s="352"/>
      <c r="RDJ20" s="352"/>
      <c r="RDK20" s="352"/>
      <c r="RDL20" s="352"/>
      <c r="RDM20" s="352"/>
      <c r="RDN20" s="352"/>
      <c r="RDO20" s="352"/>
      <c r="RDP20" s="352"/>
      <c r="RDQ20" s="352"/>
      <c r="RDR20" s="352"/>
      <c r="RDS20" s="352"/>
      <c r="RDT20" s="352"/>
      <c r="RDU20" s="352"/>
      <c r="RDV20" s="352"/>
      <c r="RDW20" s="352"/>
      <c r="RDX20" s="352"/>
      <c r="RDY20" s="352"/>
      <c r="RDZ20" s="352"/>
      <c r="REA20" s="352"/>
      <c r="REB20" s="352"/>
      <c r="REC20" s="352"/>
      <c r="RED20" s="352"/>
      <c r="REE20" s="352"/>
      <c r="REF20" s="352"/>
      <c r="REG20" s="352"/>
      <c r="REH20" s="352"/>
      <c r="REI20" s="352"/>
      <c r="REJ20" s="352"/>
      <c r="REK20" s="352"/>
      <c r="REL20" s="352"/>
      <c r="REM20" s="352"/>
      <c r="REN20" s="352"/>
      <c r="REO20" s="352"/>
      <c r="REP20" s="352"/>
      <c r="REQ20" s="352"/>
      <c r="RER20" s="352"/>
      <c r="RES20" s="352"/>
      <c r="RET20" s="352"/>
      <c r="REU20" s="352"/>
      <c r="REV20" s="352"/>
      <c r="REW20" s="352"/>
      <c r="REX20" s="352"/>
      <c r="REY20" s="352"/>
      <c r="REZ20" s="352"/>
      <c r="RFA20" s="352"/>
      <c r="RFB20" s="352"/>
      <c r="RFC20" s="352"/>
      <c r="RFD20" s="352"/>
      <c r="RFE20" s="352"/>
      <c r="RFF20" s="352"/>
      <c r="RFG20" s="352"/>
      <c r="RFH20" s="352"/>
      <c r="RFI20" s="352"/>
      <c r="RFJ20" s="352"/>
      <c r="RFK20" s="352"/>
      <c r="RFL20" s="352"/>
      <c r="RFM20" s="352"/>
      <c r="RFN20" s="352"/>
      <c r="RFO20" s="352"/>
      <c r="RFP20" s="352"/>
      <c r="RFQ20" s="352"/>
      <c r="RFR20" s="352"/>
      <c r="RFS20" s="352"/>
      <c r="RFT20" s="352"/>
      <c r="RFU20" s="352"/>
      <c r="RFV20" s="352"/>
      <c r="RFW20" s="352"/>
      <c r="RFX20" s="352"/>
      <c r="RFY20" s="352"/>
      <c r="RFZ20" s="352"/>
      <c r="RGA20" s="352"/>
      <c r="RGB20" s="352"/>
      <c r="RGC20" s="352"/>
      <c r="RGD20" s="352"/>
      <c r="RGE20" s="352"/>
      <c r="RGF20" s="352"/>
      <c r="RGG20" s="352"/>
      <c r="RGH20" s="352"/>
      <c r="RGI20" s="352"/>
      <c r="RGJ20" s="352"/>
      <c r="RGK20" s="352"/>
      <c r="RGL20" s="352"/>
      <c r="RGM20" s="352"/>
      <c r="RGN20" s="352"/>
      <c r="RGO20" s="352"/>
      <c r="RGP20" s="352"/>
      <c r="RGQ20" s="352"/>
      <c r="RGR20" s="352"/>
      <c r="RGS20" s="352"/>
      <c r="RGT20" s="352"/>
      <c r="RGU20" s="352"/>
      <c r="RGV20" s="352"/>
      <c r="RGW20" s="352"/>
      <c r="RGX20" s="352"/>
      <c r="RGY20" s="352"/>
      <c r="RGZ20" s="352"/>
      <c r="RHA20" s="352"/>
      <c r="RHB20" s="352"/>
      <c r="RHC20" s="352"/>
      <c r="RHD20" s="352"/>
      <c r="RHE20" s="352"/>
      <c r="RHF20" s="352"/>
      <c r="RHG20" s="352"/>
      <c r="RHH20" s="352"/>
      <c r="RHI20" s="352"/>
      <c r="RHJ20" s="352"/>
      <c r="RHK20" s="352"/>
      <c r="RHL20" s="352"/>
      <c r="RHM20" s="352"/>
      <c r="RHN20" s="352"/>
      <c r="RHO20" s="352"/>
      <c r="RHP20" s="352"/>
      <c r="RHQ20" s="352"/>
      <c r="RHR20" s="352"/>
      <c r="RHS20" s="352"/>
      <c r="RHT20" s="352"/>
      <c r="RHU20" s="352"/>
      <c r="RHV20" s="352"/>
      <c r="RHW20" s="352"/>
      <c r="RHX20" s="352"/>
      <c r="RHY20" s="352"/>
      <c r="RHZ20" s="352"/>
      <c r="RIA20" s="352"/>
      <c r="RIB20" s="352"/>
      <c r="RIC20" s="352"/>
      <c r="RID20" s="352"/>
      <c r="RIE20" s="352"/>
      <c r="RIF20" s="352"/>
      <c r="RIG20" s="352"/>
      <c r="RIH20" s="352"/>
      <c r="RII20" s="352"/>
      <c r="RIJ20" s="352"/>
      <c r="RIK20" s="352"/>
      <c r="RIL20" s="352"/>
      <c r="RIM20" s="352"/>
      <c r="RIN20" s="352"/>
      <c r="RIO20" s="352"/>
      <c r="RIP20" s="352"/>
      <c r="RIQ20" s="352"/>
      <c r="RIR20" s="352"/>
      <c r="RIS20" s="352"/>
      <c r="RIT20" s="352"/>
      <c r="RIU20" s="352"/>
      <c r="RIV20" s="352"/>
      <c r="RIW20" s="352"/>
      <c r="RIX20" s="352"/>
      <c r="RIY20" s="352"/>
      <c r="RIZ20" s="352"/>
      <c r="RJA20" s="352"/>
      <c r="RJB20" s="352"/>
      <c r="RJC20" s="352"/>
      <c r="RJD20" s="352"/>
      <c r="RJE20" s="352"/>
      <c r="RJF20" s="352"/>
      <c r="RJG20" s="352"/>
      <c r="RJH20" s="352"/>
      <c r="RJI20" s="352"/>
      <c r="RJJ20" s="352"/>
      <c r="RJK20" s="352"/>
      <c r="RJL20" s="352"/>
      <c r="RJM20" s="352"/>
      <c r="RJN20" s="352"/>
      <c r="RJO20" s="352"/>
      <c r="RJP20" s="352"/>
      <c r="RJQ20" s="352"/>
      <c r="RJR20" s="352"/>
      <c r="RJS20" s="352"/>
      <c r="RJT20" s="352"/>
      <c r="RJU20" s="352"/>
      <c r="RJV20" s="352"/>
      <c r="RJW20" s="352"/>
      <c r="RJX20" s="352"/>
      <c r="RJY20" s="352"/>
      <c r="RJZ20" s="352"/>
      <c r="RKA20" s="352"/>
      <c r="RKB20" s="352"/>
      <c r="RKC20" s="352"/>
      <c r="RKD20" s="352"/>
      <c r="RKE20" s="352"/>
      <c r="RKF20" s="352"/>
      <c r="RKG20" s="352"/>
      <c r="RKH20" s="352"/>
      <c r="RKI20" s="352"/>
      <c r="RKJ20" s="352"/>
      <c r="RKK20" s="352"/>
      <c r="RKL20" s="352"/>
      <c r="RKM20" s="352"/>
      <c r="RKN20" s="352"/>
      <c r="RKO20" s="352"/>
      <c r="RKP20" s="352"/>
      <c r="RKQ20" s="352"/>
      <c r="RKR20" s="352"/>
      <c r="RKS20" s="352"/>
      <c r="RKT20" s="352"/>
      <c r="RKU20" s="352"/>
      <c r="RKV20" s="352"/>
      <c r="RKW20" s="352"/>
      <c r="RKX20" s="352"/>
      <c r="RKY20" s="352"/>
      <c r="RKZ20" s="352"/>
      <c r="RLA20" s="352"/>
      <c r="RLB20" s="352"/>
      <c r="RLC20" s="352"/>
      <c r="RLD20" s="352"/>
      <c r="RLE20" s="352"/>
      <c r="RLF20" s="352"/>
      <c r="RLG20" s="352"/>
      <c r="RLH20" s="352"/>
      <c r="RLI20" s="352"/>
      <c r="RLJ20" s="352"/>
      <c r="RLK20" s="352"/>
      <c r="RLL20" s="352"/>
      <c r="RLM20" s="352"/>
      <c r="RLN20" s="352"/>
      <c r="RLO20" s="352"/>
      <c r="RLP20" s="352"/>
      <c r="RLQ20" s="352"/>
      <c r="RLR20" s="352"/>
      <c r="RLS20" s="352"/>
      <c r="RLT20" s="352"/>
      <c r="RLU20" s="352"/>
      <c r="RLV20" s="352"/>
      <c r="RLW20" s="352"/>
      <c r="RLX20" s="352"/>
      <c r="RLY20" s="352"/>
      <c r="RLZ20" s="352"/>
      <c r="RMA20" s="352"/>
      <c r="RMB20" s="352"/>
      <c r="RMC20" s="352"/>
      <c r="RMD20" s="352"/>
      <c r="RME20" s="352"/>
      <c r="RMF20" s="352"/>
      <c r="RMG20" s="352"/>
      <c r="RMH20" s="352"/>
      <c r="RMI20" s="352"/>
      <c r="RMJ20" s="352"/>
      <c r="RMK20" s="352"/>
      <c r="RML20" s="352"/>
      <c r="RMM20" s="352"/>
      <c r="RMN20" s="352"/>
      <c r="RMO20" s="352"/>
      <c r="RMP20" s="352"/>
      <c r="RMQ20" s="352"/>
      <c r="RMR20" s="352"/>
      <c r="RMS20" s="352"/>
      <c r="RMT20" s="352"/>
      <c r="RMU20" s="352"/>
      <c r="RMV20" s="352"/>
      <c r="RMW20" s="352"/>
      <c r="RMX20" s="352"/>
      <c r="RMY20" s="352"/>
      <c r="RMZ20" s="352"/>
      <c r="RNA20" s="352"/>
      <c r="RNB20" s="352"/>
      <c r="RNC20" s="352"/>
      <c r="RND20" s="352"/>
      <c r="RNE20" s="352"/>
      <c r="RNF20" s="352"/>
      <c r="RNG20" s="352"/>
      <c r="RNH20" s="352"/>
      <c r="RNI20" s="352"/>
      <c r="RNJ20" s="352"/>
      <c r="RNK20" s="352"/>
      <c r="RNL20" s="352"/>
      <c r="RNM20" s="352"/>
      <c r="RNN20" s="352"/>
      <c r="RNO20" s="352"/>
      <c r="RNP20" s="352"/>
      <c r="RNQ20" s="352"/>
      <c r="RNR20" s="352"/>
      <c r="RNS20" s="352"/>
      <c r="RNT20" s="352"/>
      <c r="RNU20" s="352"/>
      <c r="RNV20" s="352"/>
      <c r="RNW20" s="352"/>
      <c r="RNX20" s="352"/>
      <c r="RNY20" s="352"/>
      <c r="RNZ20" s="352"/>
      <c r="ROA20" s="352"/>
      <c r="ROB20" s="352"/>
      <c r="ROC20" s="352"/>
      <c r="ROD20" s="352"/>
      <c r="ROE20" s="352"/>
      <c r="ROF20" s="352"/>
      <c r="ROG20" s="352"/>
      <c r="ROH20" s="352"/>
      <c r="ROI20" s="352"/>
      <c r="ROJ20" s="352"/>
      <c r="ROK20" s="352"/>
      <c r="ROL20" s="352"/>
      <c r="ROM20" s="352"/>
      <c r="RON20" s="352"/>
      <c r="ROO20" s="352"/>
      <c r="ROP20" s="352"/>
      <c r="ROQ20" s="352"/>
      <c r="ROR20" s="352"/>
      <c r="ROS20" s="352"/>
      <c r="ROT20" s="352"/>
      <c r="ROU20" s="352"/>
      <c r="ROV20" s="352"/>
      <c r="ROW20" s="352"/>
      <c r="ROX20" s="352"/>
      <c r="ROY20" s="352"/>
      <c r="ROZ20" s="352"/>
      <c r="RPA20" s="352"/>
      <c r="RPB20" s="352"/>
      <c r="RPC20" s="352"/>
      <c r="RPD20" s="352"/>
      <c r="RPE20" s="352"/>
      <c r="RPF20" s="352"/>
      <c r="RPG20" s="352"/>
      <c r="RPH20" s="352"/>
      <c r="RPI20" s="352"/>
      <c r="RPJ20" s="352"/>
      <c r="RPK20" s="352"/>
      <c r="RPL20" s="352"/>
      <c r="RPM20" s="352"/>
      <c r="RPN20" s="352"/>
      <c r="RPO20" s="352"/>
      <c r="RPP20" s="352"/>
      <c r="RPQ20" s="352"/>
      <c r="RPR20" s="352"/>
      <c r="RPS20" s="352"/>
      <c r="RPT20" s="352"/>
      <c r="RPU20" s="352"/>
      <c r="RPV20" s="352"/>
      <c r="RPW20" s="352"/>
      <c r="RPX20" s="352"/>
      <c r="RPY20" s="352"/>
      <c r="RPZ20" s="352"/>
      <c r="RQA20" s="352"/>
      <c r="RQB20" s="352"/>
      <c r="RQC20" s="352"/>
      <c r="RQD20" s="352"/>
      <c r="RQE20" s="352"/>
      <c r="RQF20" s="352"/>
      <c r="RQG20" s="352"/>
      <c r="RQH20" s="352"/>
      <c r="RQI20" s="352"/>
      <c r="RQJ20" s="352"/>
      <c r="RQK20" s="352"/>
      <c r="RQL20" s="352"/>
      <c r="RQM20" s="352"/>
      <c r="RQN20" s="352"/>
      <c r="RQO20" s="352"/>
      <c r="RQP20" s="352"/>
      <c r="RQQ20" s="352"/>
      <c r="RQR20" s="352"/>
      <c r="RQS20" s="352"/>
      <c r="RQT20" s="352"/>
      <c r="RQU20" s="352"/>
      <c r="RQV20" s="352"/>
      <c r="RQW20" s="352"/>
      <c r="RQX20" s="352"/>
      <c r="RQY20" s="352"/>
      <c r="RQZ20" s="352"/>
      <c r="RRA20" s="352"/>
      <c r="RRB20" s="352"/>
      <c r="RRC20" s="352"/>
      <c r="RRD20" s="352"/>
      <c r="RRE20" s="352"/>
      <c r="RRF20" s="352"/>
      <c r="RRG20" s="352"/>
      <c r="RRH20" s="352"/>
      <c r="RRI20" s="352"/>
      <c r="RRJ20" s="352"/>
      <c r="RRK20" s="352"/>
      <c r="RRL20" s="352"/>
      <c r="RRM20" s="352"/>
      <c r="RRN20" s="352"/>
      <c r="RRO20" s="352"/>
      <c r="RRP20" s="352"/>
      <c r="RRQ20" s="352"/>
      <c r="RRR20" s="352"/>
      <c r="RRS20" s="352"/>
      <c r="RRT20" s="352"/>
      <c r="RRU20" s="352"/>
      <c r="RRV20" s="352"/>
      <c r="RRW20" s="352"/>
      <c r="RRX20" s="352"/>
      <c r="RRY20" s="352"/>
      <c r="RRZ20" s="352"/>
      <c r="RSA20" s="352"/>
      <c r="RSB20" s="352"/>
      <c r="RSC20" s="352"/>
      <c r="RSD20" s="352"/>
      <c r="RSE20" s="352"/>
      <c r="RSF20" s="352"/>
      <c r="RSG20" s="352"/>
      <c r="RSH20" s="352"/>
      <c r="RSI20" s="352"/>
      <c r="RSJ20" s="352"/>
      <c r="RSK20" s="352"/>
      <c r="RSL20" s="352"/>
      <c r="RSM20" s="352"/>
      <c r="RSN20" s="352"/>
      <c r="RSO20" s="352"/>
      <c r="RSP20" s="352"/>
      <c r="RSQ20" s="352"/>
      <c r="RSR20" s="352"/>
      <c r="RSS20" s="352"/>
      <c r="RST20" s="352"/>
      <c r="RSU20" s="352"/>
      <c r="RSV20" s="352"/>
      <c r="RSW20" s="352"/>
      <c r="RSX20" s="352"/>
      <c r="RSY20" s="352"/>
      <c r="RSZ20" s="352"/>
      <c r="RTA20" s="352"/>
      <c r="RTB20" s="352"/>
      <c r="RTC20" s="352"/>
      <c r="RTD20" s="352"/>
      <c r="RTE20" s="352"/>
      <c r="RTF20" s="352"/>
      <c r="RTG20" s="352"/>
      <c r="RTH20" s="352"/>
      <c r="RTI20" s="352"/>
      <c r="RTJ20" s="352"/>
      <c r="RTK20" s="352"/>
      <c r="RTL20" s="352"/>
      <c r="RTM20" s="352"/>
      <c r="RTN20" s="352"/>
      <c r="RTO20" s="352"/>
      <c r="RTP20" s="352"/>
      <c r="RTQ20" s="352"/>
      <c r="RTR20" s="352"/>
      <c r="RTS20" s="352"/>
      <c r="RTT20" s="352"/>
      <c r="RTU20" s="352"/>
      <c r="RTV20" s="352"/>
      <c r="RTW20" s="352"/>
      <c r="RTX20" s="352"/>
      <c r="RTY20" s="352"/>
      <c r="RTZ20" s="352"/>
      <c r="RUA20" s="352"/>
      <c r="RUB20" s="352"/>
      <c r="RUC20" s="352"/>
      <c r="RUD20" s="352"/>
      <c r="RUE20" s="352"/>
      <c r="RUF20" s="352"/>
      <c r="RUG20" s="352"/>
      <c r="RUH20" s="352"/>
      <c r="RUI20" s="352"/>
      <c r="RUJ20" s="352"/>
      <c r="RUK20" s="352"/>
      <c r="RUL20" s="352"/>
      <c r="RUM20" s="352"/>
      <c r="RUN20" s="352"/>
      <c r="RUO20" s="352"/>
      <c r="RUP20" s="352"/>
      <c r="RUQ20" s="352"/>
      <c r="RUR20" s="352"/>
      <c r="RUS20" s="352"/>
      <c r="RUT20" s="352"/>
      <c r="RUU20" s="352"/>
      <c r="RUV20" s="352"/>
      <c r="RUW20" s="352"/>
      <c r="RUX20" s="352"/>
      <c r="RUY20" s="352"/>
      <c r="RUZ20" s="352"/>
      <c r="RVA20" s="352"/>
      <c r="RVB20" s="352"/>
      <c r="RVC20" s="352"/>
      <c r="RVD20" s="352"/>
      <c r="RVE20" s="352"/>
      <c r="RVF20" s="352"/>
      <c r="RVG20" s="352"/>
      <c r="RVH20" s="352"/>
      <c r="RVI20" s="352"/>
      <c r="RVJ20" s="352"/>
      <c r="RVK20" s="352"/>
      <c r="RVL20" s="352"/>
      <c r="RVM20" s="352"/>
      <c r="RVN20" s="352"/>
      <c r="RVO20" s="352"/>
      <c r="RVP20" s="352"/>
      <c r="RVQ20" s="352"/>
      <c r="RVR20" s="352"/>
      <c r="RVS20" s="352"/>
      <c r="RVT20" s="352"/>
      <c r="RVU20" s="352"/>
      <c r="RVV20" s="352"/>
      <c r="RVW20" s="352"/>
      <c r="RVX20" s="352"/>
      <c r="RVY20" s="352"/>
      <c r="RVZ20" s="352"/>
      <c r="RWA20" s="352"/>
      <c r="RWB20" s="352"/>
      <c r="RWC20" s="352"/>
      <c r="RWD20" s="352"/>
      <c r="RWE20" s="352"/>
      <c r="RWF20" s="352"/>
      <c r="RWG20" s="352"/>
      <c r="RWH20" s="352"/>
      <c r="RWI20" s="352"/>
      <c r="RWJ20" s="352"/>
      <c r="RWK20" s="352"/>
      <c r="RWL20" s="352"/>
      <c r="RWM20" s="352"/>
      <c r="RWN20" s="352"/>
      <c r="RWO20" s="352"/>
      <c r="RWP20" s="352"/>
      <c r="RWQ20" s="352"/>
      <c r="RWR20" s="352"/>
      <c r="RWS20" s="352"/>
      <c r="RWT20" s="352"/>
      <c r="RWU20" s="352"/>
      <c r="RWV20" s="352"/>
      <c r="RWW20" s="352"/>
      <c r="RWX20" s="352"/>
      <c r="RWY20" s="352"/>
      <c r="RWZ20" s="352"/>
      <c r="RXA20" s="352"/>
      <c r="RXB20" s="352"/>
      <c r="RXC20" s="352"/>
      <c r="RXD20" s="352"/>
      <c r="RXE20" s="352"/>
      <c r="RXF20" s="352"/>
      <c r="RXG20" s="352"/>
      <c r="RXH20" s="352"/>
      <c r="RXI20" s="352"/>
      <c r="RXJ20" s="352"/>
      <c r="RXK20" s="352"/>
      <c r="RXL20" s="352"/>
      <c r="RXM20" s="352"/>
      <c r="RXN20" s="352"/>
      <c r="RXO20" s="352"/>
      <c r="RXP20" s="352"/>
      <c r="RXQ20" s="352"/>
      <c r="RXR20" s="352"/>
      <c r="RXS20" s="352"/>
      <c r="RXT20" s="352"/>
      <c r="RXU20" s="352"/>
      <c r="RXV20" s="352"/>
      <c r="RXW20" s="352"/>
      <c r="RXX20" s="352"/>
      <c r="RXY20" s="352"/>
      <c r="RXZ20" s="352"/>
      <c r="RYA20" s="352"/>
      <c r="RYB20" s="352"/>
      <c r="RYC20" s="352"/>
      <c r="RYD20" s="352"/>
      <c r="RYE20" s="352"/>
      <c r="RYF20" s="352"/>
      <c r="RYG20" s="352"/>
      <c r="RYH20" s="352"/>
      <c r="RYI20" s="352"/>
      <c r="RYJ20" s="352"/>
      <c r="RYK20" s="352"/>
      <c r="RYL20" s="352"/>
      <c r="RYM20" s="352"/>
      <c r="RYN20" s="352"/>
      <c r="RYO20" s="352"/>
      <c r="RYP20" s="352"/>
      <c r="RYQ20" s="352"/>
      <c r="RYR20" s="352"/>
      <c r="RYS20" s="352"/>
      <c r="RYT20" s="352"/>
      <c r="RYU20" s="352"/>
      <c r="RYV20" s="352"/>
      <c r="RYW20" s="352"/>
      <c r="RYX20" s="352"/>
      <c r="RYY20" s="352"/>
      <c r="RYZ20" s="352"/>
      <c r="RZA20" s="352"/>
      <c r="RZB20" s="352"/>
      <c r="RZC20" s="352"/>
      <c r="RZD20" s="352"/>
      <c r="RZE20" s="352"/>
      <c r="RZF20" s="352"/>
      <c r="RZG20" s="352"/>
      <c r="RZH20" s="352"/>
      <c r="RZI20" s="352"/>
      <c r="RZJ20" s="352"/>
      <c r="RZK20" s="352"/>
      <c r="RZL20" s="352"/>
      <c r="RZM20" s="352"/>
      <c r="RZN20" s="352"/>
      <c r="RZO20" s="352"/>
      <c r="RZP20" s="352"/>
      <c r="RZQ20" s="352"/>
      <c r="RZR20" s="352"/>
      <c r="RZS20" s="352"/>
      <c r="RZT20" s="352"/>
      <c r="RZU20" s="352"/>
      <c r="RZV20" s="352"/>
      <c r="RZW20" s="352"/>
      <c r="RZX20" s="352"/>
      <c r="RZY20" s="352"/>
      <c r="RZZ20" s="352"/>
      <c r="SAA20" s="352"/>
      <c r="SAB20" s="352"/>
      <c r="SAC20" s="352"/>
      <c r="SAD20" s="352"/>
      <c r="SAE20" s="352"/>
      <c r="SAF20" s="352"/>
      <c r="SAG20" s="352"/>
      <c r="SAH20" s="352"/>
      <c r="SAI20" s="352"/>
      <c r="SAJ20" s="352"/>
      <c r="SAK20" s="352"/>
      <c r="SAL20" s="352"/>
      <c r="SAM20" s="352"/>
      <c r="SAN20" s="352"/>
      <c r="SAO20" s="352"/>
      <c r="SAP20" s="352"/>
      <c r="SAQ20" s="352"/>
      <c r="SAR20" s="352"/>
      <c r="SAS20" s="352"/>
      <c r="SAT20" s="352"/>
      <c r="SAU20" s="352"/>
      <c r="SAV20" s="352"/>
      <c r="SAW20" s="352"/>
      <c r="SAX20" s="352"/>
      <c r="SAY20" s="352"/>
      <c r="SAZ20" s="352"/>
      <c r="SBA20" s="352"/>
      <c r="SBB20" s="352"/>
      <c r="SBC20" s="352"/>
      <c r="SBD20" s="352"/>
      <c r="SBE20" s="352"/>
      <c r="SBF20" s="352"/>
      <c r="SBG20" s="352"/>
      <c r="SBH20" s="352"/>
      <c r="SBI20" s="352"/>
      <c r="SBJ20" s="352"/>
      <c r="SBK20" s="352"/>
      <c r="SBL20" s="352"/>
      <c r="SBM20" s="352"/>
      <c r="SBN20" s="352"/>
      <c r="SBO20" s="352"/>
      <c r="SBP20" s="352"/>
      <c r="SBQ20" s="352"/>
      <c r="SBR20" s="352"/>
      <c r="SBS20" s="352"/>
      <c r="SBT20" s="352"/>
      <c r="SBU20" s="352"/>
      <c r="SBV20" s="352"/>
      <c r="SBW20" s="352"/>
      <c r="SBX20" s="352"/>
      <c r="SBY20" s="352"/>
      <c r="SBZ20" s="352"/>
      <c r="SCA20" s="352"/>
      <c r="SCB20" s="352"/>
      <c r="SCC20" s="352"/>
      <c r="SCD20" s="352"/>
      <c r="SCE20" s="352"/>
      <c r="SCF20" s="352"/>
      <c r="SCG20" s="352"/>
      <c r="SCH20" s="352"/>
      <c r="SCI20" s="352"/>
      <c r="SCJ20" s="352"/>
      <c r="SCK20" s="352"/>
      <c r="SCL20" s="352"/>
      <c r="SCM20" s="352"/>
      <c r="SCN20" s="352"/>
      <c r="SCO20" s="352"/>
      <c r="SCP20" s="352"/>
      <c r="SCQ20" s="352"/>
      <c r="SCR20" s="352"/>
      <c r="SCS20" s="352"/>
      <c r="SCT20" s="352"/>
      <c r="SCU20" s="352"/>
      <c r="SCV20" s="352"/>
      <c r="SCW20" s="352"/>
      <c r="SCX20" s="352"/>
      <c r="SCY20" s="352"/>
      <c r="SCZ20" s="352"/>
      <c r="SDA20" s="352"/>
      <c r="SDB20" s="352"/>
      <c r="SDC20" s="352"/>
      <c r="SDD20" s="352"/>
      <c r="SDE20" s="352"/>
      <c r="SDF20" s="352"/>
      <c r="SDG20" s="352"/>
      <c r="SDH20" s="352"/>
      <c r="SDI20" s="352"/>
      <c r="SDJ20" s="352"/>
      <c r="SDK20" s="352"/>
      <c r="SDL20" s="352"/>
      <c r="SDM20" s="352"/>
      <c r="SDN20" s="352"/>
      <c r="SDO20" s="352"/>
      <c r="SDP20" s="352"/>
      <c r="SDQ20" s="352"/>
      <c r="SDR20" s="352"/>
      <c r="SDS20" s="352"/>
      <c r="SDT20" s="352"/>
      <c r="SDU20" s="352"/>
      <c r="SDV20" s="352"/>
      <c r="SDW20" s="352"/>
      <c r="SDX20" s="352"/>
      <c r="SDY20" s="352"/>
      <c r="SDZ20" s="352"/>
      <c r="SEA20" s="352"/>
      <c r="SEB20" s="352"/>
      <c r="SEC20" s="352"/>
      <c r="SED20" s="352"/>
      <c r="SEE20" s="352"/>
      <c r="SEF20" s="352"/>
      <c r="SEG20" s="352"/>
      <c r="SEH20" s="352"/>
      <c r="SEI20" s="352"/>
      <c r="SEJ20" s="352"/>
      <c r="SEK20" s="352"/>
      <c r="SEL20" s="352"/>
      <c r="SEM20" s="352"/>
      <c r="SEN20" s="352"/>
      <c r="SEO20" s="352"/>
      <c r="SEP20" s="352"/>
      <c r="SEQ20" s="352"/>
      <c r="SER20" s="352"/>
      <c r="SES20" s="352"/>
      <c r="SET20" s="352"/>
      <c r="SEU20" s="352"/>
      <c r="SEV20" s="352"/>
      <c r="SEW20" s="352"/>
      <c r="SEX20" s="352"/>
      <c r="SEY20" s="352"/>
      <c r="SEZ20" s="352"/>
      <c r="SFA20" s="352"/>
      <c r="SFB20" s="352"/>
      <c r="SFC20" s="352"/>
      <c r="SFD20" s="352"/>
      <c r="SFE20" s="352"/>
      <c r="SFF20" s="352"/>
      <c r="SFG20" s="352"/>
      <c r="SFH20" s="352"/>
      <c r="SFI20" s="352"/>
      <c r="SFJ20" s="352"/>
      <c r="SFK20" s="352"/>
      <c r="SFL20" s="352"/>
      <c r="SFM20" s="352"/>
      <c r="SFN20" s="352"/>
      <c r="SFO20" s="352"/>
      <c r="SFP20" s="352"/>
      <c r="SFQ20" s="352"/>
      <c r="SFR20" s="352"/>
      <c r="SFS20" s="352"/>
      <c r="SFT20" s="352"/>
      <c r="SFU20" s="352"/>
      <c r="SFV20" s="352"/>
      <c r="SFW20" s="352"/>
      <c r="SFX20" s="352"/>
      <c r="SFY20" s="352"/>
      <c r="SFZ20" s="352"/>
      <c r="SGA20" s="352"/>
      <c r="SGB20" s="352"/>
      <c r="SGC20" s="352"/>
      <c r="SGD20" s="352"/>
      <c r="SGE20" s="352"/>
      <c r="SGF20" s="352"/>
      <c r="SGG20" s="352"/>
      <c r="SGH20" s="352"/>
      <c r="SGI20" s="352"/>
      <c r="SGJ20" s="352"/>
      <c r="SGK20" s="352"/>
      <c r="SGL20" s="352"/>
      <c r="SGM20" s="352"/>
      <c r="SGN20" s="352"/>
      <c r="SGO20" s="352"/>
      <c r="SGP20" s="352"/>
      <c r="SGQ20" s="352"/>
      <c r="SGR20" s="352"/>
      <c r="SGS20" s="352"/>
      <c r="SGT20" s="352"/>
      <c r="SGU20" s="352"/>
      <c r="SGV20" s="352"/>
      <c r="SGW20" s="352"/>
      <c r="SGX20" s="352"/>
      <c r="SGY20" s="352"/>
      <c r="SGZ20" s="352"/>
      <c r="SHA20" s="352"/>
      <c r="SHB20" s="352"/>
      <c r="SHC20" s="352"/>
      <c r="SHD20" s="352"/>
      <c r="SHE20" s="352"/>
      <c r="SHF20" s="352"/>
      <c r="SHG20" s="352"/>
      <c r="SHH20" s="352"/>
      <c r="SHI20" s="352"/>
      <c r="SHJ20" s="352"/>
      <c r="SHK20" s="352"/>
      <c r="SHL20" s="352"/>
      <c r="SHM20" s="352"/>
      <c r="SHN20" s="352"/>
      <c r="SHO20" s="352"/>
      <c r="SHP20" s="352"/>
      <c r="SHQ20" s="352"/>
      <c r="SHR20" s="352"/>
      <c r="SHS20" s="352"/>
      <c r="SHT20" s="352"/>
      <c r="SHU20" s="352"/>
      <c r="SHV20" s="352"/>
      <c r="SHW20" s="352"/>
      <c r="SHX20" s="352"/>
      <c r="SHY20" s="352"/>
      <c r="SHZ20" s="352"/>
      <c r="SIA20" s="352"/>
      <c r="SIB20" s="352"/>
      <c r="SIC20" s="352"/>
      <c r="SID20" s="352"/>
      <c r="SIE20" s="352"/>
      <c r="SIF20" s="352"/>
      <c r="SIG20" s="352"/>
      <c r="SIH20" s="352"/>
      <c r="SII20" s="352"/>
      <c r="SIJ20" s="352"/>
      <c r="SIK20" s="352"/>
      <c r="SIL20" s="352"/>
      <c r="SIM20" s="352"/>
      <c r="SIN20" s="352"/>
      <c r="SIO20" s="352"/>
      <c r="SIP20" s="352"/>
      <c r="SIQ20" s="352"/>
      <c r="SIR20" s="352"/>
      <c r="SIS20" s="352"/>
      <c r="SIT20" s="352"/>
      <c r="SIU20" s="352"/>
      <c r="SIV20" s="352"/>
      <c r="SIW20" s="352"/>
      <c r="SIX20" s="352"/>
      <c r="SIY20" s="352"/>
      <c r="SIZ20" s="352"/>
      <c r="SJA20" s="352"/>
      <c r="SJB20" s="352"/>
      <c r="SJC20" s="352"/>
      <c r="SJD20" s="352"/>
      <c r="SJE20" s="352"/>
      <c r="SJF20" s="352"/>
      <c r="SJG20" s="352"/>
      <c r="SJH20" s="352"/>
      <c r="SJI20" s="352"/>
      <c r="SJJ20" s="352"/>
      <c r="SJK20" s="352"/>
      <c r="SJL20" s="352"/>
      <c r="SJM20" s="352"/>
      <c r="SJN20" s="352"/>
      <c r="SJO20" s="352"/>
      <c r="SJP20" s="352"/>
      <c r="SJQ20" s="352"/>
      <c r="SJR20" s="352"/>
      <c r="SJS20" s="352"/>
      <c r="SJT20" s="352"/>
      <c r="SJU20" s="352"/>
      <c r="SJV20" s="352"/>
      <c r="SJW20" s="352"/>
      <c r="SJX20" s="352"/>
      <c r="SJY20" s="352"/>
      <c r="SJZ20" s="352"/>
      <c r="SKA20" s="352"/>
      <c r="SKB20" s="352"/>
      <c r="SKC20" s="352"/>
      <c r="SKD20" s="352"/>
      <c r="SKE20" s="352"/>
      <c r="SKF20" s="352"/>
      <c r="SKG20" s="352"/>
      <c r="SKH20" s="352"/>
      <c r="SKI20" s="352"/>
      <c r="SKJ20" s="352"/>
      <c r="SKK20" s="352"/>
      <c r="SKL20" s="352"/>
      <c r="SKM20" s="352"/>
      <c r="SKN20" s="352"/>
      <c r="SKO20" s="352"/>
      <c r="SKP20" s="352"/>
      <c r="SKQ20" s="352"/>
      <c r="SKR20" s="352"/>
      <c r="SKS20" s="352"/>
      <c r="SKT20" s="352"/>
      <c r="SKU20" s="352"/>
      <c r="SKV20" s="352"/>
      <c r="SKW20" s="352"/>
      <c r="SKX20" s="352"/>
      <c r="SKY20" s="352"/>
      <c r="SKZ20" s="352"/>
      <c r="SLA20" s="352"/>
      <c r="SLB20" s="352"/>
      <c r="SLC20" s="352"/>
      <c r="SLD20" s="352"/>
      <c r="SLE20" s="352"/>
      <c r="SLF20" s="352"/>
      <c r="SLG20" s="352"/>
      <c r="SLH20" s="352"/>
      <c r="SLI20" s="352"/>
      <c r="SLJ20" s="352"/>
      <c r="SLK20" s="352"/>
      <c r="SLL20" s="352"/>
      <c r="SLM20" s="352"/>
      <c r="SLN20" s="352"/>
      <c r="SLO20" s="352"/>
      <c r="SLP20" s="352"/>
      <c r="SLQ20" s="352"/>
      <c r="SLR20" s="352"/>
      <c r="SLS20" s="352"/>
      <c r="SLT20" s="352"/>
      <c r="SLU20" s="352"/>
      <c r="SLV20" s="352"/>
      <c r="SLW20" s="352"/>
      <c r="SLX20" s="352"/>
      <c r="SLY20" s="352"/>
      <c r="SLZ20" s="352"/>
      <c r="SMA20" s="352"/>
      <c r="SMB20" s="352"/>
      <c r="SMC20" s="352"/>
      <c r="SMD20" s="352"/>
      <c r="SME20" s="352"/>
      <c r="SMF20" s="352"/>
      <c r="SMG20" s="352"/>
      <c r="SMH20" s="352"/>
      <c r="SMI20" s="352"/>
      <c r="SMJ20" s="352"/>
      <c r="SMK20" s="352"/>
      <c r="SML20" s="352"/>
      <c r="SMM20" s="352"/>
      <c r="SMN20" s="352"/>
      <c r="SMO20" s="352"/>
      <c r="SMP20" s="352"/>
      <c r="SMQ20" s="352"/>
      <c r="SMR20" s="352"/>
      <c r="SMS20" s="352"/>
      <c r="SMT20" s="352"/>
      <c r="SMU20" s="352"/>
      <c r="SMV20" s="352"/>
      <c r="SMW20" s="352"/>
      <c r="SMX20" s="352"/>
      <c r="SMY20" s="352"/>
      <c r="SMZ20" s="352"/>
      <c r="SNA20" s="352"/>
      <c r="SNB20" s="352"/>
      <c r="SNC20" s="352"/>
      <c r="SND20" s="352"/>
      <c r="SNE20" s="352"/>
      <c r="SNF20" s="352"/>
      <c r="SNG20" s="352"/>
      <c r="SNH20" s="352"/>
      <c r="SNI20" s="352"/>
      <c r="SNJ20" s="352"/>
      <c r="SNK20" s="352"/>
      <c r="SNL20" s="352"/>
      <c r="SNM20" s="352"/>
      <c r="SNN20" s="352"/>
      <c r="SNO20" s="352"/>
      <c r="SNP20" s="352"/>
      <c r="SNQ20" s="352"/>
      <c r="SNR20" s="352"/>
      <c r="SNS20" s="352"/>
      <c r="SNT20" s="352"/>
      <c r="SNU20" s="352"/>
      <c r="SNV20" s="352"/>
      <c r="SNW20" s="352"/>
      <c r="SNX20" s="352"/>
      <c r="SNY20" s="352"/>
      <c r="SNZ20" s="352"/>
      <c r="SOA20" s="352"/>
      <c r="SOB20" s="352"/>
      <c r="SOC20" s="352"/>
      <c r="SOD20" s="352"/>
      <c r="SOE20" s="352"/>
      <c r="SOF20" s="352"/>
      <c r="SOG20" s="352"/>
      <c r="SOH20" s="352"/>
      <c r="SOI20" s="352"/>
      <c r="SOJ20" s="352"/>
      <c r="SOK20" s="352"/>
      <c r="SOL20" s="352"/>
      <c r="SOM20" s="352"/>
      <c r="SON20" s="352"/>
      <c r="SOO20" s="352"/>
      <c r="SOP20" s="352"/>
      <c r="SOQ20" s="352"/>
      <c r="SOR20" s="352"/>
      <c r="SOS20" s="352"/>
      <c r="SOT20" s="352"/>
      <c r="SOU20" s="352"/>
      <c r="SOV20" s="352"/>
      <c r="SOW20" s="352"/>
      <c r="SOX20" s="352"/>
      <c r="SOY20" s="352"/>
      <c r="SOZ20" s="352"/>
      <c r="SPA20" s="352"/>
      <c r="SPB20" s="352"/>
      <c r="SPC20" s="352"/>
      <c r="SPD20" s="352"/>
      <c r="SPE20" s="352"/>
      <c r="SPF20" s="352"/>
      <c r="SPG20" s="352"/>
      <c r="SPH20" s="352"/>
      <c r="SPI20" s="352"/>
      <c r="SPJ20" s="352"/>
      <c r="SPK20" s="352"/>
      <c r="SPL20" s="352"/>
      <c r="SPM20" s="352"/>
      <c r="SPN20" s="352"/>
      <c r="SPO20" s="352"/>
      <c r="SPP20" s="352"/>
      <c r="SPQ20" s="352"/>
      <c r="SPR20" s="352"/>
      <c r="SPS20" s="352"/>
      <c r="SPT20" s="352"/>
      <c r="SPU20" s="352"/>
      <c r="SPV20" s="352"/>
      <c r="SPW20" s="352"/>
      <c r="SPX20" s="352"/>
      <c r="SPY20" s="352"/>
      <c r="SPZ20" s="352"/>
      <c r="SQA20" s="352"/>
      <c r="SQB20" s="352"/>
      <c r="SQC20" s="352"/>
      <c r="SQD20" s="352"/>
      <c r="SQE20" s="352"/>
      <c r="SQF20" s="352"/>
      <c r="SQG20" s="352"/>
      <c r="SQH20" s="352"/>
      <c r="SQI20" s="352"/>
      <c r="SQJ20" s="352"/>
      <c r="SQK20" s="352"/>
      <c r="SQL20" s="352"/>
      <c r="SQM20" s="352"/>
      <c r="SQN20" s="352"/>
      <c r="SQO20" s="352"/>
      <c r="SQP20" s="352"/>
      <c r="SQQ20" s="352"/>
      <c r="SQR20" s="352"/>
      <c r="SQS20" s="352"/>
      <c r="SQT20" s="352"/>
      <c r="SQU20" s="352"/>
      <c r="SQV20" s="352"/>
      <c r="SQW20" s="352"/>
      <c r="SQX20" s="352"/>
      <c r="SQY20" s="352"/>
      <c r="SQZ20" s="352"/>
      <c r="SRA20" s="352"/>
      <c r="SRB20" s="352"/>
      <c r="SRC20" s="352"/>
      <c r="SRD20" s="352"/>
      <c r="SRE20" s="352"/>
      <c r="SRF20" s="352"/>
      <c r="SRG20" s="352"/>
      <c r="SRH20" s="352"/>
      <c r="SRI20" s="352"/>
      <c r="SRJ20" s="352"/>
      <c r="SRK20" s="352"/>
      <c r="SRL20" s="352"/>
      <c r="SRM20" s="352"/>
      <c r="SRN20" s="352"/>
      <c r="SRO20" s="352"/>
      <c r="SRP20" s="352"/>
      <c r="SRQ20" s="352"/>
      <c r="SRR20" s="352"/>
      <c r="SRS20" s="352"/>
      <c r="SRT20" s="352"/>
      <c r="SRU20" s="352"/>
      <c r="SRV20" s="352"/>
      <c r="SRW20" s="352"/>
      <c r="SRX20" s="352"/>
      <c r="SRY20" s="352"/>
      <c r="SRZ20" s="352"/>
      <c r="SSA20" s="352"/>
      <c r="SSB20" s="352"/>
      <c r="SSC20" s="352"/>
      <c r="SSD20" s="352"/>
      <c r="SSE20" s="352"/>
      <c r="SSF20" s="352"/>
      <c r="SSG20" s="352"/>
      <c r="SSH20" s="352"/>
      <c r="SSI20" s="352"/>
      <c r="SSJ20" s="352"/>
      <c r="SSK20" s="352"/>
      <c r="SSL20" s="352"/>
      <c r="SSM20" s="352"/>
      <c r="SSN20" s="352"/>
      <c r="SSO20" s="352"/>
      <c r="SSP20" s="352"/>
      <c r="SSQ20" s="352"/>
      <c r="SSR20" s="352"/>
      <c r="SSS20" s="352"/>
      <c r="SST20" s="352"/>
      <c r="SSU20" s="352"/>
      <c r="SSV20" s="352"/>
      <c r="SSW20" s="352"/>
      <c r="SSX20" s="352"/>
      <c r="SSY20" s="352"/>
      <c r="SSZ20" s="352"/>
      <c r="STA20" s="352"/>
      <c r="STB20" s="352"/>
      <c r="STC20" s="352"/>
      <c r="STD20" s="352"/>
      <c r="STE20" s="352"/>
      <c r="STF20" s="352"/>
      <c r="STG20" s="352"/>
      <c r="STH20" s="352"/>
      <c r="STI20" s="352"/>
      <c r="STJ20" s="352"/>
      <c r="STK20" s="352"/>
      <c r="STL20" s="352"/>
      <c r="STM20" s="352"/>
      <c r="STN20" s="352"/>
      <c r="STO20" s="352"/>
      <c r="STP20" s="352"/>
      <c r="STQ20" s="352"/>
      <c r="STR20" s="352"/>
      <c r="STS20" s="352"/>
      <c r="STT20" s="352"/>
      <c r="STU20" s="352"/>
      <c r="STV20" s="352"/>
      <c r="STW20" s="352"/>
      <c r="STX20" s="352"/>
      <c r="STY20" s="352"/>
      <c r="STZ20" s="352"/>
      <c r="SUA20" s="352"/>
      <c r="SUB20" s="352"/>
      <c r="SUC20" s="352"/>
      <c r="SUD20" s="352"/>
      <c r="SUE20" s="352"/>
      <c r="SUF20" s="352"/>
      <c r="SUG20" s="352"/>
      <c r="SUH20" s="352"/>
      <c r="SUI20" s="352"/>
      <c r="SUJ20" s="352"/>
      <c r="SUK20" s="352"/>
      <c r="SUL20" s="352"/>
      <c r="SUM20" s="352"/>
      <c r="SUN20" s="352"/>
      <c r="SUO20" s="352"/>
      <c r="SUP20" s="352"/>
      <c r="SUQ20" s="352"/>
      <c r="SUR20" s="352"/>
      <c r="SUS20" s="352"/>
      <c r="SUT20" s="352"/>
      <c r="SUU20" s="352"/>
      <c r="SUV20" s="352"/>
      <c r="SUW20" s="352"/>
      <c r="SUX20" s="352"/>
      <c r="SUY20" s="352"/>
      <c r="SUZ20" s="352"/>
      <c r="SVA20" s="352"/>
      <c r="SVB20" s="352"/>
      <c r="SVC20" s="352"/>
      <c r="SVD20" s="352"/>
      <c r="SVE20" s="352"/>
      <c r="SVF20" s="352"/>
      <c r="SVG20" s="352"/>
      <c r="SVH20" s="352"/>
      <c r="SVI20" s="352"/>
      <c r="SVJ20" s="352"/>
      <c r="SVK20" s="352"/>
      <c r="SVL20" s="352"/>
      <c r="SVM20" s="352"/>
      <c r="SVN20" s="352"/>
      <c r="SVO20" s="352"/>
      <c r="SVP20" s="352"/>
      <c r="SVQ20" s="352"/>
      <c r="SVR20" s="352"/>
      <c r="SVS20" s="352"/>
      <c r="SVT20" s="352"/>
      <c r="SVU20" s="352"/>
      <c r="SVV20" s="352"/>
      <c r="SVW20" s="352"/>
      <c r="SVX20" s="352"/>
      <c r="SVY20" s="352"/>
      <c r="SVZ20" s="352"/>
      <c r="SWA20" s="352"/>
      <c r="SWB20" s="352"/>
      <c r="SWC20" s="352"/>
      <c r="SWD20" s="352"/>
      <c r="SWE20" s="352"/>
      <c r="SWF20" s="352"/>
      <c r="SWG20" s="352"/>
      <c r="SWH20" s="352"/>
      <c r="SWI20" s="352"/>
      <c r="SWJ20" s="352"/>
      <c r="SWK20" s="352"/>
      <c r="SWL20" s="352"/>
      <c r="SWM20" s="352"/>
      <c r="SWN20" s="352"/>
      <c r="SWO20" s="352"/>
      <c r="SWP20" s="352"/>
      <c r="SWQ20" s="352"/>
      <c r="SWR20" s="352"/>
      <c r="SWS20" s="352"/>
      <c r="SWT20" s="352"/>
      <c r="SWU20" s="352"/>
      <c r="SWV20" s="352"/>
      <c r="SWW20" s="352"/>
      <c r="SWX20" s="352"/>
      <c r="SWY20" s="352"/>
      <c r="SWZ20" s="352"/>
      <c r="SXA20" s="352"/>
      <c r="SXB20" s="352"/>
      <c r="SXC20" s="352"/>
      <c r="SXD20" s="352"/>
      <c r="SXE20" s="352"/>
      <c r="SXF20" s="352"/>
      <c r="SXG20" s="352"/>
      <c r="SXH20" s="352"/>
      <c r="SXI20" s="352"/>
      <c r="SXJ20" s="352"/>
      <c r="SXK20" s="352"/>
      <c r="SXL20" s="352"/>
      <c r="SXM20" s="352"/>
      <c r="SXN20" s="352"/>
      <c r="SXO20" s="352"/>
      <c r="SXP20" s="352"/>
      <c r="SXQ20" s="352"/>
      <c r="SXR20" s="352"/>
      <c r="SXS20" s="352"/>
      <c r="SXT20" s="352"/>
      <c r="SXU20" s="352"/>
      <c r="SXV20" s="352"/>
      <c r="SXW20" s="352"/>
      <c r="SXX20" s="352"/>
      <c r="SXY20" s="352"/>
      <c r="SXZ20" s="352"/>
      <c r="SYA20" s="352"/>
      <c r="SYB20" s="352"/>
      <c r="SYC20" s="352"/>
      <c r="SYD20" s="352"/>
      <c r="SYE20" s="352"/>
      <c r="SYF20" s="352"/>
      <c r="SYG20" s="352"/>
      <c r="SYH20" s="352"/>
      <c r="SYI20" s="352"/>
      <c r="SYJ20" s="352"/>
      <c r="SYK20" s="352"/>
      <c r="SYL20" s="352"/>
      <c r="SYM20" s="352"/>
      <c r="SYN20" s="352"/>
      <c r="SYO20" s="352"/>
      <c r="SYP20" s="352"/>
      <c r="SYQ20" s="352"/>
      <c r="SYR20" s="352"/>
      <c r="SYS20" s="352"/>
      <c r="SYT20" s="352"/>
      <c r="SYU20" s="352"/>
      <c r="SYV20" s="352"/>
      <c r="SYW20" s="352"/>
      <c r="SYX20" s="352"/>
      <c r="SYY20" s="352"/>
      <c r="SYZ20" s="352"/>
      <c r="SZA20" s="352"/>
      <c r="SZB20" s="352"/>
      <c r="SZC20" s="352"/>
      <c r="SZD20" s="352"/>
      <c r="SZE20" s="352"/>
      <c r="SZF20" s="352"/>
      <c r="SZG20" s="352"/>
      <c r="SZH20" s="352"/>
      <c r="SZI20" s="352"/>
      <c r="SZJ20" s="352"/>
      <c r="SZK20" s="352"/>
      <c r="SZL20" s="352"/>
      <c r="SZM20" s="352"/>
      <c r="SZN20" s="352"/>
      <c r="SZO20" s="352"/>
      <c r="SZP20" s="352"/>
      <c r="SZQ20" s="352"/>
      <c r="SZR20" s="352"/>
      <c r="SZS20" s="352"/>
      <c r="SZT20" s="352"/>
      <c r="SZU20" s="352"/>
      <c r="SZV20" s="352"/>
      <c r="SZW20" s="352"/>
      <c r="SZX20" s="352"/>
      <c r="SZY20" s="352"/>
      <c r="SZZ20" s="352"/>
      <c r="TAA20" s="352"/>
      <c r="TAB20" s="352"/>
      <c r="TAC20" s="352"/>
      <c r="TAD20" s="352"/>
      <c r="TAE20" s="352"/>
      <c r="TAF20" s="352"/>
      <c r="TAG20" s="352"/>
      <c r="TAH20" s="352"/>
      <c r="TAI20" s="352"/>
      <c r="TAJ20" s="352"/>
      <c r="TAK20" s="352"/>
      <c r="TAL20" s="352"/>
      <c r="TAM20" s="352"/>
      <c r="TAN20" s="352"/>
      <c r="TAO20" s="352"/>
      <c r="TAP20" s="352"/>
      <c r="TAQ20" s="352"/>
      <c r="TAR20" s="352"/>
      <c r="TAS20" s="352"/>
      <c r="TAT20" s="352"/>
      <c r="TAU20" s="352"/>
      <c r="TAV20" s="352"/>
      <c r="TAW20" s="352"/>
      <c r="TAX20" s="352"/>
      <c r="TAY20" s="352"/>
      <c r="TAZ20" s="352"/>
      <c r="TBA20" s="352"/>
      <c r="TBB20" s="352"/>
      <c r="TBC20" s="352"/>
      <c r="TBD20" s="352"/>
      <c r="TBE20" s="352"/>
      <c r="TBF20" s="352"/>
      <c r="TBG20" s="352"/>
      <c r="TBH20" s="352"/>
      <c r="TBI20" s="352"/>
      <c r="TBJ20" s="352"/>
      <c r="TBK20" s="352"/>
      <c r="TBL20" s="352"/>
      <c r="TBM20" s="352"/>
      <c r="TBN20" s="352"/>
      <c r="TBO20" s="352"/>
      <c r="TBP20" s="352"/>
      <c r="TBQ20" s="352"/>
      <c r="TBR20" s="352"/>
      <c r="TBS20" s="352"/>
      <c r="TBT20" s="352"/>
      <c r="TBU20" s="352"/>
      <c r="TBV20" s="352"/>
      <c r="TBW20" s="352"/>
      <c r="TBX20" s="352"/>
      <c r="TBY20" s="352"/>
      <c r="TBZ20" s="352"/>
      <c r="TCA20" s="352"/>
      <c r="TCB20" s="352"/>
      <c r="TCC20" s="352"/>
      <c r="TCD20" s="352"/>
      <c r="TCE20" s="352"/>
      <c r="TCF20" s="352"/>
      <c r="TCG20" s="352"/>
      <c r="TCH20" s="352"/>
      <c r="TCI20" s="352"/>
      <c r="TCJ20" s="352"/>
      <c r="TCK20" s="352"/>
      <c r="TCL20" s="352"/>
      <c r="TCM20" s="352"/>
      <c r="TCN20" s="352"/>
      <c r="TCO20" s="352"/>
      <c r="TCP20" s="352"/>
      <c r="TCQ20" s="352"/>
      <c r="TCR20" s="352"/>
      <c r="TCS20" s="352"/>
      <c r="TCT20" s="352"/>
      <c r="TCU20" s="352"/>
      <c r="TCV20" s="352"/>
      <c r="TCW20" s="352"/>
      <c r="TCX20" s="352"/>
      <c r="TCY20" s="352"/>
      <c r="TCZ20" s="352"/>
      <c r="TDA20" s="352"/>
      <c r="TDB20" s="352"/>
      <c r="TDC20" s="352"/>
      <c r="TDD20" s="352"/>
      <c r="TDE20" s="352"/>
      <c r="TDF20" s="352"/>
      <c r="TDG20" s="352"/>
      <c r="TDH20" s="352"/>
      <c r="TDI20" s="352"/>
      <c r="TDJ20" s="352"/>
      <c r="TDK20" s="352"/>
      <c r="TDL20" s="352"/>
      <c r="TDM20" s="352"/>
      <c r="TDN20" s="352"/>
      <c r="TDO20" s="352"/>
      <c r="TDP20" s="352"/>
      <c r="TDQ20" s="352"/>
      <c r="TDR20" s="352"/>
      <c r="TDS20" s="352"/>
      <c r="TDT20" s="352"/>
      <c r="TDU20" s="352"/>
      <c r="TDV20" s="352"/>
      <c r="TDW20" s="352"/>
      <c r="TDX20" s="352"/>
      <c r="TDY20" s="352"/>
      <c r="TDZ20" s="352"/>
      <c r="TEA20" s="352"/>
      <c r="TEB20" s="352"/>
      <c r="TEC20" s="352"/>
      <c r="TED20" s="352"/>
      <c r="TEE20" s="352"/>
      <c r="TEF20" s="352"/>
      <c r="TEG20" s="352"/>
      <c r="TEH20" s="352"/>
      <c r="TEI20" s="352"/>
      <c r="TEJ20" s="352"/>
      <c r="TEK20" s="352"/>
      <c r="TEL20" s="352"/>
      <c r="TEM20" s="352"/>
      <c r="TEN20" s="352"/>
      <c r="TEO20" s="352"/>
      <c r="TEP20" s="352"/>
      <c r="TEQ20" s="352"/>
      <c r="TER20" s="352"/>
      <c r="TES20" s="352"/>
      <c r="TET20" s="352"/>
      <c r="TEU20" s="352"/>
      <c r="TEV20" s="352"/>
      <c r="TEW20" s="352"/>
      <c r="TEX20" s="352"/>
      <c r="TEY20" s="352"/>
      <c r="TEZ20" s="352"/>
      <c r="TFA20" s="352"/>
      <c r="TFB20" s="352"/>
      <c r="TFC20" s="352"/>
      <c r="TFD20" s="352"/>
      <c r="TFE20" s="352"/>
      <c r="TFF20" s="352"/>
      <c r="TFG20" s="352"/>
      <c r="TFH20" s="352"/>
      <c r="TFI20" s="352"/>
      <c r="TFJ20" s="352"/>
      <c r="TFK20" s="352"/>
      <c r="TFL20" s="352"/>
      <c r="TFM20" s="352"/>
      <c r="TFN20" s="352"/>
      <c r="TFO20" s="352"/>
      <c r="TFP20" s="352"/>
      <c r="TFQ20" s="352"/>
      <c r="TFR20" s="352"/>
      <c r="TFS20" s="352"/>
      <c r="TFT20" s="352"/>
      <c r="TFU20" s="352"/>
      <c r="TFV20" s="352"/>
      <c r="TFW20" s="352"/>
      <c r="TFX20" s="352"/>
      <c r="TFY20" s="352"/>
      <c r="TFZ20" s="352"/>
      <c r="TGA20" s="352"/>
      <c r="TGB20" s="352"/>
      <c r="TGC20" s="352"/>
      <c r="TGD20" s="352"/>
      <c r="TGE20" s="352"/>
      <c r="TGF20" s="352"/>
      <c r="TGG20" s="352"/>
      <c r="TGH20" s="352"/>
      <c r="TGI20" s="352"/>
      <c r="TGJ20" s="352"/>
      <c r="TGK20" s="352"/>
      <c r="TGL20" s="352"/>
      <c r="TGM20" s="352"/>
      <c r="TGN20" s="352"/>
      <c r="TGO20" s="352"/>
      <c r="TGP20" s="352"/>
      <c r="TGQ20" s="352"/>
      <c r="TGR20" s="352"/>
      <c r="TGS20" s="352"/>
      <c r="TGT20" s="352"/>
      <c r="TGU20" s="352"/>
      <c r="TGV20" s="352"/>
      <c r="TGW20" s="352"/>
      <c r="TGX20" s="352"/>
      <c r="TGY20" s="352"/>
      <c r="TGZ20" s="352"/>
      <c r="THA20" s="352"/>
      <c r="THB20" s="352"/>
      <c r="THC20" s="352"/>
      <c r="THD20" s="352"/>
      <c r="THE20" s="352"/>
      <c r="THF20" s="352"/>
      <c r="THG20" s="352"/>
      <c r="THH20" s="352"/>
      <c r="THI20" s="352"/>
      <c r="THJ20" s="352"/>
      <c r="THK20" s="352"/>
      <c r="THL20" s="352"/>
      <c r="THM20" s="352"/>
      <c r="THN20" s="352"/>
      <c r="THO20" s="352"/>
      <c r="THP20" s="352"/>
      <c r="THQ20" s="352"/>
      <c r="THR20" s="352"/>
      <c r="THS20" s="352"/>
      <c r="THT20" s="352"/>
      <c r="THU20" s="352"/>
      <c r="THV20" s="352"/>
      <c r="THW20" s="352"/>
      <c r="THX20" s="352"/>
      <c r="THY20" s="352"/>
      <c r="THZ20" s="352"/>
      <c r="TIA20" s="352"/>
      <c r="TIB20" s="352"/>
      <c r="TIC20" s="352"/>
      <c r="TID20" s="352"/>
      <c r="TIE20" s="352"/>
      <c r="TIF20" s="352"/>
      <c r="TIG20" s="352"/>
      <c r="TIH20" s="352"/>
      <c r="TII20" s="352"/>
      <c r="TIJ20" s="352"/>
      <c r="TIK20" s="352"/>
      <c r="TIL20" s="352"/>
      <c r="TIM20" s="352"/>
      <c r="TIN20" s="352"/>
      <c r="TIO20" s="352"/>
      <c r="TIP20" s="352"/>
      <c r="TIQ20" s="352"/>
      <c r="TIR20" s="352"/>
      <c r="TIS20" s="352"/>
      <c r="TIT20" s="352"/>
      <c r="TIU20" s="352"/>
      <c r="TIV20" s="352"/>
      <c r="TIW20" s="352"/>
      <c r="TIX20" s="352"/>
      <c r="TIY20" s="352"/>
      <c r="TIZ20" s="352"/>
      <c r="TJA20" s="352"/>
      <c r="TJB20" s="352"/>
      <c r="TJC20" s="352"/>
      <c r="TJD20" s="352"/>
      <c r="TJE20" s="352"/>
      <c r="TJF20" s="352"/>
      <c r="TJG20" s="352"/>
      <c r="TJH20" s="352"/>
      <c r="TJI20" s="352"/>
      <c r="TJJ20" s="352"/>
      <c r="TJK20" s="352"/>
      <c r="TJL20" s="352"/>
      <c r="TJM20" s="352"/>
      <c r="TJN20" s="352"/>
      <c r="TJO20" s="352"/>
      <c r="TJP20" s="352"/>
      <c r="TJQ20" s="352"/>
      <c r="TJR20" s="352"/>
      <c r="TJS20" s="352"/>
      <c r="TJT20" s="352"/>
      <c r="TJU20" s="352"/>
      <c r="TJV20" s="352"/>
      <c r="TJW20" s="352"/>
      <c r="TJX20" s="352"/>
      <c r="TJY20" s="352"/>
      <c r="TJZ20" s="352"/>
      <c r="TKA20" s="352"/>
      <c r="TKB20" s="352"/>
      <c r="TKC20" s="352"/>
      <c r="TKD20" s="352"/>
      <c r="TKE20" s="352"/>
      <c r="TKF20" s="352"/>
      <c r="TKG20" s="352"/>
      <c r="TKH20" s="352"/>
      <c r="TKI20" s="352"/>
      <c r="TKJ20" s="352"/>
      <c r="TKK20" s="352"/>
      <c r="TKL20" s="352"/>
      <c r="TKM20" s="352"/>
      <c r="TKN20" s="352"/>
      <c r="TKO20" s="352"/>
      <c r="TKP20" s="352"/>
      <c r="TKQ20" s="352"/>
      <c r="TKR20" s="352"/>
      <c r="TKS20" s="352"/>
      <c r="TKT20" s="352"/>
      <c r="TKU20" s="352"/>
      <c r="TKV20" s="352"/>
      <c r="TKW20" s="352"/>
      <c r="TKX20" s="352"/>
      <c r="TKY20" s="352"/>
      <c r="TKZ20" s="352"/>
      <c r="TLA20" s="352"/>
      <c r="TLB20" s="352"/>
      <c r="TLC20" s="352"/>
      <c r="TLD20" s="352"/>
      <c r="TLE20" s="352"/>
      <c r="TLF20" s="352"/>
      <c r="TLG20" s="352"/>
      <c r="TLH20" s="352"/>
      <c r="TLI20" s="352"/>
      <c r="TLJ20" s="352"/>
      <c r="TLK20" s="352"/>
      <c r="TLL20" s="352"/>
      <c r="TLM20" s="352"/>
      <c r="TLN20" s="352"/>
      <c r="TLO20" s="352"/>
      <c r="TLP20" s="352"/>
      <c r="TLQ20" s="352"/>
      <c r="TLR20" s="352"/>
      <c r="TLS20" s="352"/>
      <c r="TLT20" s="352"/>
      <c r="TLU20" s="352"/>
      <c r="TLV20" s="352"/>
      <c r="TLW20" s="352"/>
      <c r="TLX20" s="352"/>
      <c r="TLY20" s="352"/>
      <c r="TLZ20" s="352"/>
      <c r="TMA20" s="352"/>
      <c r="TMB20" s="352"/>
      <c r="TMC20" s="352"/>
      <c r="TMD20" s="352"/>
      <c r="TME20" s="352"/>
      <c r="TMF20" s="352"/>
      <c r="TMG20" s="352"/>
      <c r="TMH20" s="352"/>
      <c r="TMI20" s="352"/>
      <c r="TMJ20" s="352"/>
      <c r="TMK20" s="352"/>
      <c r="TML20" s="352"/>
      <c r="TMM20" s="352"/>
      <c r="TMN20" s="352"/>
      <c r="TMO20" s="352"/>
      <c r="TMP20" s="352"/>
      <c r="TMQ20" s="352"/>
      <c r="TMR20" s="352"/>
      <c r="TMS20" s="352"/>
      <c r="TMT20" s="352"/>
      <c r="TMU20" s="352"/>
      <c r="TMV20" s="352"/>
      <c r="TMW20" s="352"/>
      <c r="TMX20" s="352"/>
      <c r="TMY20" s="352"/>
      <c r="TMZ20" s="352"/>
      <c r="TNA20" s="352"/>
      <c r="TNB20" s="352"/>
      <c r="TNC20" s="352"/>
      <c r="TND20" s="352"/>
      <c r="TNE20" s="352"/>
      <c r="TNF20" s="352"/>
      <c r="TNG20" s="352"/>
      <c r="TNH20" s="352"/>
      <c r="TNI20" s="352"/>
      <c r="TNJ20" s="352"/>
      <c r="TNK20" s="352"/>
      <c r="TNL20" s="352"/>
      <c r="TNM20" s="352"/>
      <c r="TNN20" s="352"/>
      <c r="TNO20" s="352"/>
      <c r="TNP20" s="352"/>
      <c r="TNQ20" s="352"/>
      <c r="TNR20" s="352"/>
      <c r="TNS20" s="352"/>
      <c r="TNT20" s="352"/>
      <c r="TNU20" s="352"/>
      <c r="TNV20" s="352"/>
      <c r="TNW20" s="352"/>
      <c r="TNX20" s="352"/>
      <c r="TNY20" s="352"/>
      <c r="TNZ20" s="352"/>
      <c r="TOA20" s="352"/>
      <c r="TOB20" s="352"/>
      <c r="TOC20" s="352"/>
      <c r="TOD20" s="352"/>
      <c r="TOE20" s="352"/>
      <c r="TOF20" s="352"/>
      <c r="TOG20" s="352"/>
      <c r="TOH20" s="352"/>
      <c r="TOI20" s="352"/>
      <c r="TOJ20" s="352"/>
      <c r="TOK20" s="352"/>
      <c r="TOL20" s="352"/>
      <c r="TOM20" s="352"/>
      <c r="TON20" s="352"/>
      <c r="TOO20" s="352"/>
      <c r="TOP20" s="352"/>
      <c r="TOQ20" s="352"/>
      <c r="TOR20" s="352"/>
      <c r="TOS20" s="352"/>
      <c r="TOT20" s="352"/>
      <c r="TOU20" s="352"/>
      <c r="TOV20" s="352"/>
      <c r="TOW20" s="352"/>
      <c r="TOX20" s="352"/>
      <c r="TOY20" s="352"/>
      <c r="TOZ20" s="352"/>
      <c r="TPA20" s="352"/>
      <c r="TPB20" s="352"/>
      <c r="TPC20" s="352"/>
      <c r="TPD20" s="352"/>
      <c r="TPE20" s="352"/>
      <c r="TPF20" s="352"/>
      <c r="TPG20" s="352"/>
      <c r="TPH20" s="352"/>
      <c r="TPI20" s="352"/>
      <c r="TPJ20" s="352"/>
      <c r="TPK20" s="352"/>
      <c r="TPL20" s="352"/>
      <c r="TPM20" s="352"/>
      <c r="TPN20" s="352"/>
      <c r="TPO20" s="352"/>
      <c r="TPP20" s="352"/>
      <c r="TPQ20" s="352"/>
      <c r="TPR20" s="352"/>
      <c r="TPS20" s="352"/>
      <c r="TPT20" s="352"/>
      <c r="TPU20" s="352"/>
      <c r="TPV20" s="352"/>
      <c r="TPW20" s="352"/>
      <c r="TPX20" s="352"/>
      <c r="TPY20" s="352"/>
      <c r="TPZ20" s="352"/>
      <c r="TQA20" s="352"/>
      <c r="TQB20" s="352"/>
      <c r="TQC20" s="352"/>
      <c r="TQD20" s="352"/>
      <c r="TQE20" s="352"/>
      <c r="TQF20" s="352"/>
      <c r="TQG20" s="352"/>
      <c r="TQH20" s="352"/>
      <c r="TQI20" s="352"/>
      <c r="TQJ20" s="352"/>
      <c r="TQK20" s="352"/>
      <c r="TQL20" s="352"/>
      <c r="TQM20" s="352"/>
      <c r="TQN20" s="352"/>
      <c r="TQO20" s="352"/>
      <c r="TQP20" s="352"/>
      <c r="TQQ20" s="352"/>
      <c r="TQR20" s="352"/>
      <c r="TQS20" s="352"/>
      <c r="TQT20" s="352"/>
      <c r="TQU20" s="352"/>
      <c r="TQV20" s="352"/>
      <c r="TQW20" s="352"/>
      <c r="TQX20" s="352"/>
      <c r="TQY20" s="352"/>
      <c r="TQZ20" s="352"/>
      <c r="TRA20" s="352"/>
      <c r="TRB20" s="352"/>
      <c r="TRC20" s="352"/>
      <c r="TRD20" s="352"/>
      <c r="TRE20" s="352"/>
      <c r="TRF20" s="352"/>
      <c r="TRG20" s="352"/>
      <c r="TRH20" s="352"/>
      <c r="TRI20" s="352"/>
      <c r="TRJ20" s="352"/>
      <c r="TRK20" s="352"/>
      <c r="TRL20" s="352"/>
      <c r="TRM20" s="352"/>
      <c r="TRN20" s="352"/>
      <c r="TRO20" s="352"/>
      <c r="TRP20" s="352"/>
      <c r="TRQ20" s="352"/>
      <c r="TRR20" s="352"/>
      <c r="TRS20" s="352"/>
      <c r="TRT20" s="352"/>
      <c r="TRU20" s="352"/>
      <c r="TRV20" s="352"/>
      <c r="TRW20" s="352"/>
      <c r="TRX20" s="352"/>
      <c r="TRY20" s="352"/>
      <c r="TRZ20" s="352"/>
      <c r="TSA20" s="352"/>
      <c r="TSB20" s="352"/>
      <c r="TSC20" s="352"/>
      <c r="TSD20" s="352"/>
      <c r="TSE20" s="352"/>
      <c r="TSF20" s="352"/>
      <c r="TSG20" s="352"/>
      <c r="TSH20" s="352"/>
      <c r="TSI20" s="352"/>
      <c r="TSJ20" s="352"/>
      <c r="TSK20" s="352"/>
      <c r="TSL20" s="352"/>
      <c r="TSM20" s="352"/>
      <c r="TSN20" s="352"/>
      <c r="TSO20" s="352"/>
      <c r="TSP20" s="352"/>
      <c r="TSQ20" s="352"/>
      <c r="TSR20" s="352"/>
      <c r="TSS20" s="352"/>
      <c r="TST20" s="352"/>
      <c r="TSU20" s="352"/>
      <c r="TSV20" s="352"/>
      <c r="TSW20" s="352"/>
      <c r="TSX20" s="352"/>
      <c r="TSY20" s="352"/>
      <c r="TSZ20" s="352"/>
      <c r="TTA20" s="352"/>
      <c r="TTB20" s="352"/>
      <c r="TTC20" s="352"/>
      <c r="TTD20" s="352"/>
      <c r="TTE20" s="352"/>
      <c r="TTF20" s="352"/>
      <c r="TTG20" s="352"/>
      <c r="TTH20" s="352"/>
      <c r="TTI20" s="352"/>
      <c r="TTJ20" s="352"/>
      <c r="TTK20" s="352"/>
      <c r="TTL20" s="352"/>
      <c r="TTM20" s="352"/>
      <c r="TTN20" s="352"/>
      <c r="TTO20" s="352"/>
      <c r="TTP20" s="352"/>
      <c r="TTQ20" s="352"/>
      <c r="TTR20" s="352"/>
      <c r="TTS20" s="352"/>
      <c r="TTT20" s="352"/>
      <c r="TTU20" s="352"/>
      <c r="TTV20" s="352"/>
      <c r="TTW20" s="352"/>
      <c r="TTX20" s="352"/>
      <c r="TTY20" s="352"/>
      <c r="TTZ20" s="352"/>
      <c r="TUA20" s="352"/>
      <c r="TUB20" s="352"/>
      <c r="TUC20" s="352"/>
      <c r="TUD20" s="352"/>
      <c r="TUE20" s="352"/>
      <c r="TUF20" s="352"/>
      <c r="TUG20" s="352"/>
      <c r="TUH20" s="352"/>
      <c r="TUI20" s="352"/>
      <c r="TUJ20" s="352"/>
      <c r="TUK20" s="352"/>
      <c r="TUL20" s="352"/>
      <c r="TUM20" s="352"/>
      <c r="TUN20" s="352"/>
      <c r="TUO20" s="352"/>
      <c r="TUP20" s="352"/>
      <c r="TUQ20" s="352"/>
      <c r="TUR20" s="352"/>
      <c r="TUS20" s="352"/>
      <c r="TUT20" s="352"/>
      <c r="TUU20" s="352"/>
      <c r="TUV20" s="352"/>
      <c r="TUW20" s="352"/>
      <c r="TUX20" s="352"/>
      <c r="TUY20" s="352"/>
      <c r="TUZ20" s="352"/>
      <c r="TVA20" s="352"/>
      <c r="TVB20" s="352"/>
      <c r="TVC20" s="352"/>
      <c r="TVD20" s="352"/>
      <c r="TVE20" s="352"/>
      <c r="TVF20" s="352"/>
      <c r="TVG20" s="352"/>
      <c r="TVH20" s="352"/>
      <c r="TVI20" s="352"/>
      <c r="TVJ20" s="352"/>
      <c r="TVK20" s="352"/>
      <c r="TVL20" s="352"/>
      <c r="TVM20" s="352"/>
      <c r="TVN20" s="352"/>
      <c r="TVO20" s="352"/>
      <c r="TVP20" s="352"/>
      <c r="TVQ20" s="352"/>
      <c r="TVR20" s="352"/>
      <c r="TVS20" s="352"/>
      <c r="TVT20" s="352"/>
      <c r="TVU20" s="352"/>
      <c r="TVV20" s="352"/>
      <c r="TVW20" s="352"/>
      <c r="TVX20" s="352"/>
      <c r="TVY20" s="352"/>
      <c r="TVZ20" s="352"/>
      <c r="TWA20" s="352"/>
      <c r="TWB20" s="352"/>
      <c r="TWC20" s="352"/>
      <c r="TWD20" s="352"/>
      <c r="TWE20" s="352"/>
      <c r="TWF20" s="352"/>
      <c r="TWG20" s="352"/>
      <c r="TWH20" s="352"/>
      <c r="TWI20" s="352"/>
      <c r="TWJ20" s="352"/>
      <c r="TWK20" s="352"/>
      <c r="TWL20" s="352"/>
      <c r="TWM20" s="352"/>
      <c r="TWN20" s="352"/>
      <c r="TWO20" s="352"/>
      <c r="TWP20" s="352"/>
      <c r="TWQ20" s="352"/>
      <c r="TWR20" s="352"/>
      <c r="TWS20" s="352"/>
      <c r="TWT20" s="352"/>
      <c r="TWU20" s="352"/>
      <c r="TWV20" s="352"/>
      <c r="TWW20" s="352"/>
      <c r="TWX20" s="352"/>
      <c r="TWY20" s="352"/>
      <c r="TWZ20" s="352"/>
      <c r="TXA20" s="352"/>
      <c r="TXB20" s="352"/>
      <c r="TXC20" s="352"/>
      <c r="TXD20" s="352"/>
      <c r="TXE20" s="352"/>
      <c r="TXF20" s="352"/>
      <c r="TXG20" s="352"/>
      <c r="TXH20" s="352"/>
      <c r="TXI20" s="352"/>
      <c r="TXJ20" s="352"/>
      <c r="TXK20" s="352"/>
      <c r="TXL20" s="352"/>
      <c r="TXM20" s="352"/>
      <c r="TXN20" s="352"/>
      <c r="TXO20" s="352"/>
      <c r="TXP20" s="352"/>
      <c r="TXQ20" s="352"/>
      <c r="TXR20" s="352"/>
      <c r="TXS20" s="352"/>
      <c r="TXT20" s="352"/>
      <c r="TXU20" s="352"/>
      <c r="TXV20" s="352"/>
      <c r="TXW20" s="352"/>
      <c r="TXX20" s="352"/>
      <c r="TXY20" s="352"/>
      <c r="TXZ20" s="352"/>
      <c r="TYA20" s="352"/>
      <c r="TYB20" s="352"/>
      <c r="TYC20" s="352"/>
      <c r="TYD20" s="352"/>
      <c r="TYE20" s="352"/>
      <c r="TYF20" s="352"/>
      <c r="TYG20" s="352"/>
      <c r="TYH20" s="352"/>
      <c r="TYI20" s="352"/>
      <c r="TYJ20" s="352"/>
      <c r="TYK20" s="352"/>
      <c r="TYL20" s="352"/>
      <c r="TYM20" s="352"/>
      <c r="TYN20" s="352"/>
      <c r="TYO20" s="352"/>
      <c r="TYP20" s="352"/>
      <c r="TYQ20" s="352"/>
      <c r="TYR20" s="352"/>
      <c r="TYS20" s="352"/>
      <c r="TYT20" s="352"/>
      <c r="TYU20" s="352"/>
      <c r="TYV20" s="352"/>
      <c r="TYW20" s="352"/>
      <c r="TYX20" s="352"/>
      <c r="TYY20" s="352"/>
      <c r="TYZ20" s="352"/>
      <c r="TZA20" s="352"/>
      <c r="TZB20" s="352"/>
      <c r="TZC20" s="352"/>
      <c r="TZD20" s="352"/>
      <c r="TZE20" s="352"/>
      <c r="TZF20" s="352"/>
      <c r="TZG20" s="352"/>
      <c r="TZH20" s="352"/>
      <c r="TZI20" s="352"/>
      <c r="TZJ20" s="352"/>
      <c r="TZK20" s="352"/>
      <c r="TZL20" s="352"/>
      <c r="TZM20" s="352"/>
      <c r="TZN20" s="352"/>
      <c r="TZO20" s="352"/>
      <c r="TZP20" s="352"/>
      <c r="TZQ20" s="352"/>
      <c r="TZR20" s="352"/>
      <c r="TZS20" s="352"/>
      <c r="TZT20" s="352"/>
      <c r="TZU20" s="352"/>
      <c r="TZV20" s="352"/>
      <c r="TZW20" s="352"/>
      <c r="TZX20" s="352"/>
      <c r="TZY20" s="352"/>
      <c r="TZZ20" s="352"/>
      <c r="UAA20" s="352"/>
      <c r="UAB20" s="352"/>
      <c r="UAC20" s="352"/>
      <c r="UAD20" s="352"/>
      <c r="UAE20" s="352"/>
      <c r="UAF20" s="352"/>
      <c r="UAG20" s="352"/>
      <c r="UAH20" s="352"/>
      <c r="UAI20" s="352"/>
      <c r="UAJ20" s="352"/>
      <c r="UAK20" s="352"/>
      <c r="UAL20" s="352"/>
      <c r="UAM20" s="352"/>
      <c r="UAN20" s="352"/>
      <c r="UAO20" s="352"/>
      <c r="UAP20" s="352"/>
      <c r="UAQ20" s="352"/>
      <c r="UAR20" s="352"/>
      <c r="UAS20" s="352"/>
      <c r="UAT20" s="352"/>
      <c r="UAU20" s="352"/>
      <c r="UAV20" s="352"/>
      <c r="UAW20" s="352"/>
      <c r="UAX20" s="352"/>
      <c r="UAY20" s="352"/>
      <c r="UAZ20" s="352"/>
      <c r="UBA20" s="352"/>
      <c r="UBB20" s="352"/>
      <c r="UBC20" s="352"/>
      <c r="UBD20" s="352"/>
      <c r="UBE20" s="352"/>
      <c r="UBF20" s="352"/>
      <c r="UBG20" s="352"/>
      <c r="UBH20" s="352"/>
      <c r="UBI20" s="352"/>
      <c r="UBJ20" s="352"/>
      <c r="UBK20" s="352"/>
      <c r="UBL20" s="352"/>
      <c r="UBM20" s="352"/>
      <c r="UBN20" s="352"/>
      <c r="UBO20" s="352"/>
      <c r="UBP20" s="352"/>
      <c r="UBQ20" s="352"/>
      <c r="UBR20" s="352"/>
      <c r="UBS20" s="352"/>
      <c r="UBT20" s="352"/>
      <c r="UBU20" s="352"/>
      <c r="UBV20" s="352"/>
      <c r="UBW20" s="352"/>
      <c r="UBX20" s="352"/>
      <c r="UBY20" s="352"/>
      <c r="UBZ20" s="352"/>
      <c r="UCA20" s="352"/>
      <c r="UCB20" s="352"/>
      <c r="UCC20" s="352"/>
      <c r="UCD20" s="352"/>
      <c r="UCE20" s="352"/>
      <c r="UCF20" s="352"/>
      <c r="UCG20" s="352"/>
      <c r="UCH20" s="352"/>
      <c r="UCI20" s="352"/>
      <c r="UCJ20" s="352"/>
      <c r="UCK20" s="352"/>
      <c r="UCL20" s="352"/>
      <c r="UCM20" s="352"/>
      <c r="UCN20" s="352"/>
      <c r="UCO20" s="352"/>
      <c r="UCP20" s="352"/>
      <c r="UCQ20" s="352"/>
      <c r="UCR20" s="352"/>
      <c r="UCS20" s="352"/>
      <c r="UCT20" s="352"/>
      <c r="UCU20" s="352"/>
      <c r="UCV20" s="352"/>
      <c r="UCW20" s="352"/>
      <c r="UCX20" s="352"/>
      <c r="UCY20" s="352"/>
      <c r="UCZ20" s="352"/>
      <c r="UDA20" s="352"/>
      <c r="UDB20" s="352"/>
      <c r="UDC20" s="352"/>
      <c r="UDD20" s="352"/>
      <c r="UDE20" s="352"/>
      <c r="UDF20" s="352"/>
      <c r="UDG20" s="352"/>
      <c r="UDH20" s="352"/>
      <c r="UDI20" s="352"/>
      <c r="UDJ20" s="352"/>
      <c r="UDK20" s="352"/>
      <c r="UDL20" s="352"/>
      <c r="UDM20" s="352"/>
      <c r="UDN20" s="352"/>
      <c r="UDO20" s="352"/>
      <c r="UDP20" s="352"/>
      <c r="UDQ20" s="352"/>
      <c r="UDR20" s="352"/>
      <c r="UDS20" s="352"/>
      <c r="UDT20" s="352"/>
      <c r="UDU20" s="352"/>
      <c r="UDV20" s="352"/>
      <c r="UDW20" s="352"/>
      <c r="UDX20" s="352"/>
      <c r="UDY20" s="352"/>
      <c r="UDZ20" s="352"/>
      <c r="UEA20" s="352"/>
      <c r="UEB20" s="352"/>
      <c r="UEC20" s="352"/>
      <c r="UED20" s="352"/>
      <c r="UEE20" s="352"/>
      <c r="UEF20" s="352"/>
      <c r="UEG20" s="352"/>
      <c r="UEH20" s="352"/>
      <c r="UEI20" s="352"/>
      <c r="UEJ20" s="352"/>
      <c r="UEK20" s="352"/>
      <c r="UEL20" s="352"/>
      <c r="UEM20" s="352"/>
      <c r="UEN20" s="352"/>
      <c r="UEO20" s="352"/>
      <c r="UEP20" s="352"/>
      <c r="UEQ20" s="352"/>
      <c r="UER20" s="352"/>
      <c r="UES20" s="352"/>
      <c r="UET20" s="352"/>
      <c r="UEU20" s="352"/>
      <c r="UEV20" s="352"/>
      <c r="UEW20" s="352"/>
      <c r="UEX20" s="352"/>
      <c r="UEY20" s="352"/>
      <c r="UEZ20" s="352"/>
      <c r="UFA20" s="352"/>
      <c r="UFB20" s="352"/>
      <c r="UFC20" s="352"/>
      <c r="UFD20" s="352"/>
      <c r="UFE20" s="352"/>
      <c r="UFF20" s="352"/>
      <c r="UFG20" s="352"/>
      <c r="UFH20" s="352"/>
      <c r="UFI20" s="352"/>
      <c r="UFJ20" s="352"/>
      <c r="UFK20" s="352"/>
      <c r="UFL20" s="352"/>
      <c r="UFM20" s="352"/>
      <c r="UFN20" s="352"/>
      <c r="UFO20" s="352"/>
      <c r="UFP20" s="352"/>
      <c r="UFQ20" s="352"/>
      <c r="UFR20" s="352"/>
      <c r="UFS20" s="352"/>
      <c r="UFT20" s="352"/>
      <c r="UFU20" s="352"/>
      <c r="UFV20" s="352"/>
      <c r="UFW20" s="352"/>
      <c r="UFX20" s="352"/>
      <c r="UFY20" s="352"/>
      <c r="UFZ20" s="352"/>
      <c r="UGA20" s="352"/>
      <c r="UGB20" s="352"/>
      <c r="UGC20" s="352"/>
      <c r="UGD20" s="352"/>
      <c r="UGE20" s="352"/>
      <c r="UGF20" s="352"/>
      <c r="UGG20" s="352"/>
      <c r="UGH20" s="352"/>
      <c r="UGI20" s="352"/>
      <c r="UGJ20" s="352"/>
      <c r="UGK20" s="352"/>
      <c r="UGL20" s="352"/>
      <c r="UGM20" s="352"/>
      <c r="UGN20" s="352"/>
      <c r="UGO20" s="352"/>
      <c r="UGP20" s="352"/>
      <c r="UGQ20" s="352"/>
      <c r="UGR20" s="352"/>
      <c r="UGS20" s="352"/>
      <c r="UGT20" s="352"/>
      <c r="UGU20" s="352"/>
      <c r="UGV20" s="352"/>
      <c r="UGW20" s="352"/>
      <c r="UGX20" s="352"/>
      <c r="UGY20" s="352"/>
      <c r="UGZ20" s="352"/>
      <c r="UHA20" s="352"/>
      <c r="UHB20" s="352"/>
      <c r="UHC20" s="352"/>
      <c r="UHD20" s="352"/>
      <c r="UHE20" s="352"/>
      <c r="UHF20" s="352"/>
      <c r="UHG20" s="352"/>
      <c r="UHH20" s="352"/>
      <c r="UHI20" s="352"/>
      <c r="UHJ20" s="352"/>
      <c r="UHK20" s="352"/>
      <c r="UHL20" s="352"/>
      <c r="UHM20" s="352"/>
      <c r="UHN20" s="352"/>
      <c r="UHO20" s="352"/>
      <c r="UHP20" s="352"/>
      <c r="UHQ20" s="352"/>
      <c r="UHR20" s="352"/>
      <c r="UHS20" s="352"/>
      <c r="UHT20" s="352"/>
      <c r="UHU20" s="352"/>
      <c r="UHV20" s="352"/>
      <c r="UHW20" s="352"/>
      <c r="UHX20" s="352"/>
      <c r="UHY20" s="352"/>
      <c r="UHZ20" s="352"/>
      <c r="UIA20" s="352"/>
      <c r="UIB20" s="352"/>
      <c r="UIC20" s="352"/>
      <c r="UID20" s="352"/>
      <c r="UIE20" s="352"/>
      <c r="UIF20" s="352"/>
      <c r="UIG20" s="352"/>
      <c r="UIH20" s="352"/>
      <c r="UII20" s="352"/>
      <c r="UIJ20" s="352"/>
      <c r="UIK20" s="352"/>
      <c r="UIL20" s="352"/>
      <c r="UIM20" s="352"/>
      <c r="UIN20" s="352"/>
      <c r="UIO20" s="352"/>
      <c r="UIP20" s="352"/>
      <c r="UIQ20" s="352"/>
      <c r="UIR20" s="352"/>
      <c r="UIS20" s="352"/>
      <c r="UIT20" s="352"/>
      <c r="UIU20" s="352"/>
      <c r="UIV20" s="352"/>
      <c r="UIW20" s="352"/>
      <c r="UIX20" s="352"/>
      <c r="UIY20" s="352"/>
      <c r="UIZ20" s="352"/>
      <c r="UJA20" s="352"/>
      <c r="UJB20" s="352"/>
      <c r="UJC20" s="352"/>
      <c r="UJD20" s="352"/>
      <c r="UJE20" s="352"/>
      <c r="UJF20" s="352"/>
      <c r="UJG20" s="352"/>
      <c r="UJH20" s="352"/>
      <c r="UJI20" s="352"/>
      <c r="UJJ20" s="352"/>
      <c r="UJK20" s="352"/>
      <c r="UJL20" s="352"/>
      <c r="UJM20" s="352"/>
      <c r="UJN20" s="352"/>
      <c r="UJO20" s="352"/>
      <c r="UJP20" s="352"/>
      <c r="UJQ20" s="352"/>
      <c r="UJR20" s="352"/>
      <c r="UJS20" s="352"/>
      <c r="UJT20" s="352"/>
      <c r="UJU20" s="352"/>
      <c r="UJV20" s="352"/>
      <c r="UJW20" s="352"/>
      <c r="UJX20" s="352"/>
      <c r="UJY20" s="352"/>
      <c r="UJZ20" s="352"/>
      <c r="UKA20" s="352"/>
      <c r="UKB20" s="352"/>
      <c r="UKC20" s="352"/>
      <c r="UKD20" s="352"/>
      <c r="UKE20" s="352"/>
      <c r="UKF20" s="352"/>
      <c r="UKG20" s="352"/>
      <c r="UKH20" s="352"/>
      <c r="UKI20" s="352"/>
      <c r="UKJ20" s="352"/>
      <c r="UKK20" s="352"/>
      <c r="UKL20" s="352"/>
      <c r="UKM20" s="352"/>
      <c r="UKN20" s="352"/>
      <c r="UKO20" s="352"/>
      <c r="UKP20" s="352"/>
      <c r="UKQ20" s="352"/>
      <c r="UKR20" s="352"/>
      <c r="UKS20" s="352"/>
      <c r="UKT20" s="352"/>
      <c r="UKU20" s="352"/>
      <c r="UKV20" s="352"/>
      <c r="UKW20" s="352"/>
      <c r="UKX20" s="352"/>
      <c r="UKY20" s="352"/>
      <c r="UKZ20" s="352"/>
      <c r="ULA20" s="352"/>
      <c r="ULB20" s="352"/>
      <c r="ULC20" s="352"/>
      <c r="ULD20" s="352"/>
      <c r="ULE20" s="352"/>
      <c r="ULF20" s="352"/>
      <c r="ULG20" s="352"/>
      <c r="ULH20" s="352"/>
      <c r="ULI20" s="352"/>
      <c r="ULJ20" s="352"/>
      <c r="ULK20" s="352"/>
      <c r="ULL20" s="352"/>
      <c r="ULM20" s="352"/>
      <c r="ULN20" s="352"/>
      <c r="ULO20" s="352"/>
      <c r="ULP20" s="352"/>
      <c r="ULQ20" s="352"/>
      <c r="ULR20" s="352"/>
      <c r="ULS20" s="352"/>
      <c r="ULT20" s="352"/>
      <c r="ULU20" s="352"/>
      <c r="ULV20" s="352"/>
      <c r="ULW20" s="352"/>
      <c r="ULX20" s="352"/>
      <c r="ULY20" s="352"/>
      <c r="ULZ20" s="352"/>
      <c r="UMA20" s="352"/>
      <c r="UMB20" s="352"/>
      <c r="UMC20" s="352"/>
      <c r="UMD20" s="352"/>
      <c r="UME20" s="352"/>
      <c r="UMF20" s="352"/>
      <c r="UMG20" s="352"/>
      <c r="UMH20" s="352"/>
      <c r="UMI20" s="352"/>
      <c r="UMJ20" s="352"/>
      <c r="UMK20" s="352"/>
      <c r="UML20" s="352"/>
      <c r="UMM20" s="352"/>
      <c r="UMN20" s="352"/>
      <c r="UMO20" s="352"/>
      <c r="UMP20" s="352"/>
      <c r="UMQ20" s="352"/>
      <c r="UMR20" s="352"/>
      <c r="UMS20" s="352"/>
      <c r="UMT20" s="352"/>
      <c r="UMU20" s="352"/>
      <c r="UMV20" s="352"/>
      <c r="UMW20" s="352"/>
      <c r="UMX20" s="352"/>
      <c r="UMY20" s="352"/>
      <c r="UMZ20" s="352"/>
      <c r="UNA20" s="352"/>
      <c r="UNB20" s="352"/>
      <c r="UNC20" s="352"/>
      <c r="UND20" s="352"/>
      <c r="UNE20" s="352"/>
      <c r="UNF20" s="352"/>
      <c r="UNG20" s="352"/>
      <c r="UNH20" s="352"/>
      <c r="UNI20" s="352"/>
      <c r="UNJ20" s="352"/>
      <c r="UNK20" s="352"/>
      <c r="UNL20" s="352"/>
      <c r="UNM20" s="352"/>
      <c r="UNN20" s="352"/>
      <c r="UNO20" s="352"/>
      <c r="UNP20" s="352"/>
      <c r="UNQ20" s="352"/>
      <c r="UNR20" s="352"/>
      <c r="UNS20" s="352"/>
      <c r="UNT20" s="352"/>
      <c r="UNU20" s="352"/>
      <c r="UNV20" s="352"/>
      <c r="UNW20" s="352"/>
      <c r="UNX20" s="352"/>
      <c r="UNY20" s="352"/>
      <c r="UNZ20" s="352"/>
      <c r="UOA20" s="352"/>
      <c r="UOB20" s="352"/>
      <c r="UOC20" s="352"/>
      <c r="UOD20" s="352"/>
      <c r="UOE20" s="352"/>
      <c r="UOF20" s="352"/>
      <c r="UOG20" s="352"/>
      <c r="UOH20" s="352"/>
      <c r="UOI20" s="352"/>
      <c r="UOJ20" s="352"/>
      <c r="UOK20" s="352"/>
      <c r="UOL20" s="352"/>
      <c r="UOM20" s="352"/>
      <c r="UON20" s="352"/>
      <c r="UOO20" s="352"/>
      <c r="UOP20" s="352"/>
      <c r="UOQ20" s="352"/>
      <c r="UOR20" s="352"/>
      <c r="UOS20" s="352"/>
      <c r="UOT20" s="352"/>
      <c r="UOU20" s="352"/>
      <c r="UOV20" s="352"/>
      <c r="UOW20" s="352"/>
      <c r="UOX20" s="352"/>
      <c r="UOY20" s="352"/>
      <c r="UOZ20" s="352"/>
      <c r="UPA20" s="352"/>
      <c r="UPB20" s="352"/>
      <c r="UPC20" s="352"/>
      <c r="UPD20" s="352"/>
      <c r="UPE20" s="352"/>
      <c r="UPF20" s="352"/>
      <c r="UPG20" s="352"/>
      <c r="UPH20" s="352"/>
      <c r="UPI20" s="352"/>
      <c r="UPJ20" s="352"/>
      <c r="UPK20" s="352"/>
      <c r="UPL20" s="352"/>
      <c r="UPM20" s="352"/>
      <c r="UPN20" s="352"/>
      <c r="UPO20" s="352"/>
      <c r="UPP20" s="352"/>
      <c r="UPQ20" s="352"/>
      <c r="UPR20" s="352"/>
      <c r="UPS20" s="352"/>
      <c r="UPT20" s="352"/>
      <c r="UPU20" s="352"/>
      <c r="UPV20" s="352"/>
      <c r="UPW20" s="352"/>
      <c r="UPX20" s="352"/>
      <c r="UPY20" s="352"/>
      <c r="UPZ20" s="352"/>
      <c r="UQA20" s="352"/>
      <c r="UQB20" s="352"/>
      <c r="UQC20" s="352"/>
      <c r="UQD20" s="352"/>
      <c r="UQE20" s="352"/>
      <c r="UQF20" s="352"/>
      <c r="UQG20" s="352"/>
      <c r="UQH20" s="352"/>
      <c r="UQI20" s="352"/>
      <c r="UQJ20" s="352"/>
      <c r="UQK20" s="352"/>
      <c r="UQL20" s="352"/>
      <c r="UQM20" s="352"/>
      <c r="UQN20" s="352"/>
      <c r="UQO20" s="352"/>
      <c r="UQP20" s="352"/>
      <c r="UQQ20" s="352"/>
      <c r="UQR20" s="352"/>
      <c r="UQS20" s="352"/>
      <c r="UQT20" s="352"/>
      <c r="UQU20" s="352"/>
      <c r="UQV20" s="352"/>
      <c r="UQW20" s="352"/>
      <c r="UQX20" s="352"/>
      <c r="UQY20" s="352"/>
      <c r="UQZ20" s="352"/>
      <c r="URA20" s="352"/>
      <c r="URB20" s="352"/>
      <c r="URC20" s="352"/>
      <c r="URD20" s="352"/>
      <c r="URE20" s="352"/>
      <c r="URF20" s="352"/>
      <c r="URG20" s="352"/>
      <c r="URH20" s="352"/>
      <c r="URI20" s="352"/>
      <c r="URJ20" s="352"/>
      <c r="URK20" s="352"/>
      <c r="URL20" s="352"/>
      <c r="URM20" s="352"/>
      <c r="URN20" s="352"/>
      <c r="URO20" s="352"/>
      <c r="URP20" s="352"/>
      <c r="URQ20" s="352"/>
      <c r="URR20" s="352"/>
      <c r="URS20" s="352"/>
      <c r="URT20" s="352"/>
      <c r="URU20" s="352"/>
      <c r="URV20" s="352"/>
      <c r="URW20" s="352"/>
      <c r="URX20" s="352"/>
      <c r="URY20" s="352"/>
      <c r="URZ20" s="352"/>
      <c r="USA20" s="352"/>
      <c r="USB20" s="352"/>
      <c r="USC20" s="352"/>
      <c r="USD20" s="352"/>
      <c r="USE20" s="352"/>
      <c r="USF20" s="352"/>
      <c r="USG20" s="352"/>
      <c r="USH20" s="352"/>
      <c r="USI20" s="352"/>
      <c r="USJ20" s="352"/>
      <c r="USK20" s="352"/>
      <c r="USL20" s="352"/>
      <c r="USM20" s="352"/>
      <c r="USN20" s="352"/>
      <c r="USO20" s="352"/>
      <c r="USP20" s="352"/>
      <c r="USQ20" s="352"/>
      <c r="USR20" s="352"/>
      <c r="USS20" s="352"/>
      <c r="UST20" s="352"/>
      <c r="USU20" s="352"/>
      <c r="USV20" s="352"/>
      <c r="USW20" s="352"/>
      <c r="USX20" s="352"/>
      <c r="USY20" s="352"/>
      <c r="USZ20" s="352"/>
      <c r="UTA20" s="352"/>
      <c r="UTB20" s="352"/>
      <c r="UTC20" s="352"/>
      <c r="UTD20" s="352"/>
      <c r="UTE20" s="352"/>
      <c r="UTF20" s="352"/>
      <c r="UTG20" s="352"/>
      <c r="UTH20" s="352"/>
      <c r="UTI20" s="352"/>
      <c r="UTJ20" s="352"/>
      <c r="UTK20" s="352"/>
      <c r="UTL20" s="352"/>
      <c r="UTM20" s="352"/>
      <c r="UTN20" s="352"/>
      <c r="UTO20" s="352"/>
      <c r="UTP20" s="352"/>
      <c r="UTQ20" s="352"/>
      <c r="UTR20" s="352"/>
      <c r="UTS20" s="352"/>
      <c r="UTT20" s="352"/>
      <c r="UTU20" s="352"/>
      <c r="UTV20" s="352"/>
      <c r="UTW20" s="352"/>
      <c r="UTX20" s="352"/>
      <c r="UTY20" s="352"/>
      <c r="UTZ20" s="352"/>
      <c r="UUA20" s="352"/>
      <c r="UUB20" s="352"/>
      <c r="UUC20" s="352"/>
      <c r="UUD20" s="352"/>
      <c r="UUE20" s="352"/>
      <c r="UUF20" s="352"/>
      <c r="UUG20" s="352"/>
      <c r="UUH20" s="352"/>
      <c r="UUI20" s="352"/>
      <c r="UUJ20" s="352"/>
      <c r="UUK20" s="352"/>
      <c r="UUL20" s="352"/>
      <c r="UUM20" s="352"/>
      <c r="UUN20" s="352"/>
      <c r="UUO20" s="352"/>
      <c r="UUP20" s="352"/>
      <c r="UUQ20" s="352"/>
      <c r="UUR20" s="352"/>
      <c r="UUS20" s="352"/>
      <c r="UUT20" s="352"/>
      <c r="UUU20" s="352"/>
      <c r="UUV20" s="352"/>
      <c r="UUW20" s="352"/>
      <c r="UUX20" s="352"/>
      <c r="UUY20" s="352"/>
      <c r="UUZ20" s="352"/>
      <c r="UVA20" s="352"/>
      <c r="UVB20" s="352"/>
      <c r="UVC20" s="352"/>
      <c r="UVD20" s="352"/>
      <c r="UVE20" s="352"/>
      <c r="UVF20" s="352"/>
      <c r="UVG20" s="352"/>
      <c r="UVH20" s="352"/>
      <c r="UVI20" s="352"/>
      <c r="UVJ20" s="352"/>
      <c r="UVK20" s="352"/>
      <c r="UVL20" s="352"/>
      <c r="UVM20" s="352"/>
      <c r="UVN20" s="352"/>
      <c r="UVO20" s="352"/>
      <c r="UVP20" s="352"/>
      <c r="UVQ20" s="352"/>
      <c r="UVR20" s="352"/>
      <c r="UVS20" s="352"/>
      <c r="UVT20" s="352"/>
      <c r="UVU20" s="352"/>
      <c r="UVV20" s="352"/>
      <c r="UVW20" s="352"/>
      <c r="UVX20" s="352"/>
      <c r="UVY20" s="352"/>
      <c r="UVZ20" s="352"/>
      <c r="UWA20" s="352"/>
      <c r="UWB20" s="352"/>
      <c r="UWC20" s="352"/>
      <c r="UWD20" s="352"/>
      <c r="UWE20" s="352"/>
      <c r="UWF20" s="352"/>
      <c r="UWG20" s="352"/>
      <c r="UWH20" s="352"/>
      <c r="UWI20" s="352"/>
      <c r="UWJ20" s="352"/>
      <c r="UWK20" s="352"/>
      <c r="UWL20" s="352"/>
      <c r="UWM20" s="352"/>
      <c r="UWN20" s="352"/>
      <c r="UWO20" s="352"/>
      <c r="UWP20" s="352"/>
      <c r="UWQ20" s="352"/>
      <c r="UWR20" s="352"/>
      <c r="UWS20" s="352"/>
      <c r="UWT20" s="352"/>
      <c r="UWU20" s="352"/>
      <c r="UWV20" s="352"/>
      <c r="UWW20" s="352"/>
      <c r="UWX20" s="352"/>
      <c r="UWY20" s="352"/>
      <c r="UWZ20" s="352"/>
      <c r="UXA20" s="352"/>
      <c r="UXB20" s="352"/>
      <c r="UXC20" s="352"/>
      <c r="UXD20" s="352"/>
      <c r="UXE20" s="352"/>
      <c r="UXF20" s="352"/>
      <c r="UXG20" s="352"/>
      <c r="UXH20" s="352"/>
      <c r="UXI20" s="352"/>
      <c r="UXJ20" s="352"/>
      <c r="UXK20" s="352"/>
      <c r="UXL20" s="352"/>
      <c r="UXM20" s="352"/>
      <c r="UXN20" s="352"/>
      <c r="UXO20" s="352"/>
      <c r="UXP20" s="352"/>
      <c r="UXQ20" s="352"/>
      <c r="UXR20" s="352"/>
      <c r="UXS20" s="352"/>
      <c r="UXT20" s="352"/>
      <c r="UXU20" s="352"/>
      <c r="UXV20" s="352"/>
      <c r="UXW20" s="352"/>
      <c r="UXX20" s="352"/>
      <c r="UXY20" s="352"/>
      <c r="UXZ20" s="352"/>
      <c r="UYA20" s="352"/>
      <c r="UYB20" s="352"/>
      <c r="UYC20" s="352"/>
      <c r="UYD20" s="352"/>
      <c r="UYE20" s="352"/>
      <c r="UYF20" s="352"/>
      <c r="UYG20" s="352"/>
      <c r="UYH20" s="352"/>
      <c r="UYI20" s="352"/>
      <c r="UYJ20" s="352"/>
      <c r="UYK20" s="352"/>
      <c r="UYL20" s="352"/>
      <c r="UYM20" s="352"/>
      <c r="UYN20" s="352"/>
      <c r="UYO20" s="352"/>
      <c r="UYP20" s="352"/>
      <c r="UYQ20" s="352"/>
      <c r="UYR20" s="352"/>
      <c r="UYS20" s="352"/>
      <c r="UYT20" s="352"/>
      <c r="UYU20" s="352"/>
      <c r="UYV20" s="352"/>
      <c r="UYW20" s="352"/>
      <c r="UYX20" s="352"/>
      <c r="UYY20" s="352"/>
      <c r="UYZ20" s="352"/>
      <c r="UZA20" s="352"/>
      <c r="UZB20" s="352"/>
      <c r="UZC20" s="352"/>
      <c r="UZD20" s="352"/>
      <c r="UZE20" s="352"/>
      <c r="UZF20" s="352"/>
      <c r="UZG20" s="352"/>
      <c r="UZH20" s="352"/>
      <c r="UZI20" s="352"/>
      <c r="UZJ20" s="352"/>
      <c r="UZK20" s="352"/>
      <c r="UZL20" s="352"/>
      <c r="UZM20" s="352"/>
      <c r="UZN20" s="352"/>
      <c r="UZO20" s="352"/>
      <c r="UZP20" s="352"/>
      <c r="UZQ20" s="352"/>
      <c r="UZR20" s="352"/>
      <c r="UZS20" s="352"/>
      <c r="UZT20" s="352"/>
      <c r="UZU20" s="352"/>
      <c r="UZV20" s="352"/>
      <c r="UZW20" s="352"/>
      <c r="UZX20" s="352"/>
      <c r="UZY20" s="352"/>
      <c r="UZZ20" s="352"/>
      <c r="VAA20" s="352"/>
      <c r="VAB20" s="352"/>
      <c r="VAC20" s="352"/>
      <c r="VAD20" s="352"/>
      <c r="VAE20" s="352"/>
      <c r="VAF20" s="352"/>
      <c r="VAG20" s="352"/>
      <c r="VAH20" s="352"/>
      <c r="VAI20" s="352"/>
      <c r="VAJ20" s="352"/>
      <c r="VAK20" s="352"/>
      <c r="VAL20" s="352"/>
      <c r="VAM20" s="352"/>
      <c r="VAN20" s="352"/>
      <c r="VAO20" s="352"/>
      <c r="VAP20" s="352"/>
      <c r="VAQ20" s="352"/>
      <c r="VAR20" s="352"/>
      <c r="VAS20" s="352"/>
      <c r="VAT20" s="352"/>
      <c r="VAU20" s="352"/>
      <c r="VAV20" s="352"/>
      <c r="VAW20" s="352"/>
      <c r="VAX20" s="352"/>
      <c r="VAY20" s="352"/>
      <c r="VAZ20" s="352"/>
      <c r="VBA20" s="352"/>
      <c r="VBB20" s="352"/>
      <c r="VBC20" s="352"/>
      <c r="VBD20" s="352"/>
      <c r="VBE20" s="352"/>
      <c r="VBF20" s="352"/>
      <c r="VBG20" s="352"/>
      <c r="VBH20" s="352"/>
      <c r="VBI20" s="352"/>
      <c r="VBJ20" s="352"/>
      <c r="VBK20" s="352"/>
      <c r="VBL20" s="352"/>
      <c r="VBM20" s="352"/>
      <c r="VBN20" s="352"/>
      <c r="VBO20" s="352"/>
      <c r="VBP20" s="352"/>
      <c r="VBQ20" s="352"/>
      <c r="VBR20" s="352"/>
      <c r="VBS20" s="352"/>
      <c r="VBT20" s="352"/>
      <c r="VBU20" s="352"/>
      <c r="VBV20" s="352"/>
      <c r="VBW20" s="352"/>
      <c r="VBX20" s="352"/>
      <c r="VBY20" s="352"/>
      <c r="VBZ20" s="352"/>
      <c r="VCA20" s="352"/>
      <c r="VCB20" s="352"/>
      <c r="VCC20" s="352"/>
      <c r="VCD20" s="352"/>
      <c r="VCE20" s="352"/>
      <c r="VCF20" s="352"/>
      <c r="VCG20" s="352"/>
      <c r="VCH20" s="352"/>
      <c r="VCI20" s="352"/>
      <c r="VCJ20" s="352"/>
      <c r="VCK20" s="352"/>
      <c r="VCL20" s="352"/>
      <c r="VCM20" s="352"/>
      <c r="VCN20" s="352"/>
      <c r="VCO20" s="352"/>
      <c r="VCP20" s="352"/>
      <c r="VCQ20" s="352"/>
      <c r="VCR20" s="352"/>
      <c r="VCS20" s="352"/>
      <c r="VCT20" s="352"/>
      <c r="VCU20" s="352"/>
      <c r="VCV20" s="352"/>
      <c r="VCW20" s="352"/>
      <c r="VCX20" s="352"/>
      <c r="VCY20" s="352"/>
      <c r="VCZ20" s="352"/>
      <c r="VDA20" s="352"/>
      <c r="VDB20" s="352"/>
      <c r="VDC20" s="352"/>
      <c r="VDD20" s="352"/>
      <c r="VDE20" s="352"/>
      <c r="VDF20" s="352"/>
      <c r="VDG20" s="352"/>
      <c r="VDH20" s="352"/>
      <c r="VDI20" s="352"/>
      <c r="VDJ20" s="352"/>
      <c r="VDK20" s="352"/>
      <c r="VDL20" s="352"/>
      <c r="VDM20" s="352"/>
      <c r="VDN20" s="352"/>
      <c r="VDO20" s="352"/>
      <c r="VDP20" s="352"/>
      <c r="VDQ20" s="352"/>
      <c r="VDR20" s="352"/>
      <c r="VDS20" s="352"/>
      <c r="VDT20" s="352"/>
      <c r="VDU20" s="352"/>
      <c r="VDV20" s="352"/>
      <c r="VDW20" s="352"/>
      <c r="VDX20" s="352"/>
      <c r="VDY20" s="352"/>
      <c r="VDZ20" s="352"/>
      <c r="VEA20" s="352"/>
      <c r="VEB20" s="352"/>
      <c r="VEC20" s="352"/>
      <c r="VED20" s="352"/>
      <c r="VEE20" s="352"/>
      <c r="VEF20" s="352"/>
      <c r="VEG20" s="352"/>
      <c r="VEH20" s="352"/>
      <c r="VEI20" s="352"/>
      <c r="VEJ20" s="352"/>
      <c r="VEK20" s="352"/>
      <c r="VEL20" s="352"/>
      <c r="VEM20" s="352"/>
      <c r="VEN20" s="352"/>
      <c r="VEO20" s="352"/>
      <c r="VEP20" s="352"/>
      <c r="VEQ20" s="352"/>
      <c r="VER20" s="352"/>
      <c r="VES20" s="352"/>
      <c r="VET20" s="352"/>
      <c r="VEU20" s="352"/>
      <c r="VEV20" s="352"/>
      <c r="VEW20" s="352"/>
      <c r="VEX20" s="352"/>
      <c r="VEY20" s="352"/>
      <c r="VEZ20" s="352"/>
      <c r="VFA20" s="352"/>
      <c r="VFB20" s="352"/>
      <c r="VFC20" s="352"/>
      <c r="VFD20" s="352"/>
      <c r="VFE20" s="352"/>
      <c r="VFF20" s="352"/>
      <c r="VFG20" s="352"/>
      <c r="VFH20" s="352"/>
      <c r="VFI20" s="352"/>
      <c r="VFJ20" s="352"/>
      <c r="VFK20" s="352"/>
      <c r="VFL20" s="352"/>
      <c r="VFM20" s="352"/>
      <c r="VFN20" s="352"/>
      <c r="VFO20" s="352"/>
      <c r="VFP20" s="352"/>
      <c r="VFQ20" s="352"/>
      <c r="VFR20" s="352"/>
      <c r="VFS20" s="352"/>
      <c r="VFT20" s="352"/>
      <c r="VFU20" s="352"/>
      <c r="VFV20" s="352"/>
      <c r="VFW20" s="352"/>
      <c r="VFX20" s="352"/>
      <c r="VFY20" s="352"/>
      <c r="VFZ20" s="352"/>
      <c r="VGA20" s="352"/>
      <c r="VGB20" s="352"/>
      <c r="VGC20" s="352"/>
      <c r="VGD20" s="352"/>
      <c r="VGE20" s="352"/>
      <c r="VGF20" s="352"/>
      <c r="VGG20" s="352"/>
      <c r="VGH20" s="352"/>
      <c r="VGI20" s="352"/>
      <c r="VGJ20" s="352"/>
      <c r="VGK20" s="352"/>
      <c r="VGL20" s="352"/>
      <c r="VGM20" s="352"/>
      <c r="VGN20" s="352"/>
      <c r="VGO20" s="352"/>
      <c r="VGP20" s="352"/>
      <c r="VGQ20" s="352"/>
      <c r="VGR20" s="352"/>
      <c r="VGS20" s="352"/>
      <c r="VGT20" s="352"/>
      <c r="VGU20" s="352"/>
      <c r="VGV20" s="352"/>
      <c r="VGW20" s="352"/>
      <c r="VGX20" s="352"/>
      <c r="VGY20" s="352"/>
      <c r="VGZ20" s="352"/>
      <c r="VHA20" s="352"/>
      <c r="VHB20" s="352"/>
      <c r="VHC20" s="352"/>
      <c r="VHD20" s="352"/>
      <c r="VHE20" s="352"/>
      <c r="VHF20" s="352"/>
      <c r="VHG20" s="352"/>
      <c r="VHH20" s="352"/>
      <c r="VHI20" s="352"/>
      <c r="VHJ20" s="352"/>
      <c r="VHK20" s="352"/>
      <c r="VHL20" s="352"/>
      <c r="VHM20" s="352"/>
      <c r="VHN20" s="352"/>
      <c r="VHO20" s="352"/>
      <c r="VHP20" s="352"/>
      <c r="VHQ20" s="352"/>
      <c r="VHR20" s="352"/>
      <c r="VHS20" s="352"/>
      <c r="VHT20" s="352"/>
      <c r="VHU20" s="352"/>
      <c r="VHV20" s="352"/>
      <c r="VHW20" s="352"/>
      <c r="VHX20" s="352"/>
      <c r="VHY20" s="352"/>
      <c r="VHZ20" s="352"/>
      <c r="VIA20" s="352"/>
      <c r="VIB20" s="352"/>
      <c r="VIC20" s="352"/>
      <c r="VID20" s="352"/>
      <c r="VIE20" s="352"/>
      <c r="VIF20" s="352"/>
      <c r="VIG20" s="352"/>
      <c r="VIH20" s="352"/>
      <c r="VII20" s="352"/>
      <c r="VIJ20" s="352"/>
      <c r="VIK20" s="352"/>
      <c r="VIL20" s="352"/>
      <c r="VIM20" s="352"/>
      <c r="VIN20" s="352"/>
      <c r="VIO20" s="352"/>
      <c r="VIP20" s="352"/>
      <c r="VIQ20" s="352"/>
      <c r="VIR20" s="352"/>
      <c r="VIS20" s="352"/>
      <c r="VIT20" s="352"/>
      <c r="VIU20" s="352"/>
      <c r="VIV20" s="352"/>
      <c r="VIW20" s="352"/>
      <c r="VIX20" s="352"/>
      <c r="VIY20" s="352"/>
      <c r="VIZ20" s="352"/>
      <c r="VJA20" s="352"/>
      <c r="VJB20" s="352"/>
      <c r="VJC20" s="352"/>
      <c r="VJD20" s="352"/>
      <c r="VJE20" s="352"/>
      <c r="VJF20" s="352"/>
      <c r="VJG20" s="352"/>
      <c r="VJH20" s="352"/>
      <c r="VJI20" s="352"/>
      <c r="VJJ20" s="352"/>
      <c r="VJK20" s="352"/>
      <c r="VJL20" s="352"/>
      <c r="VJM20" s="352"/>
      <c r="VJN20" s="352"/>
      <c r="VJO20" s="352"/>
      <c r="VJP20" s="352"/>
      <c r="VJQ20" s="352"/>
      <c r="VJR20" s="352"/>
      <c r="VJS20" s="352"/>
      <c r="VJT20" s="352"/>
      <c r="VJU20" s="352"/>
      <c r="VJV20" s="352"/>
      <c r="VJW20" s="352"/>
      <c r="VJX20" s="352"/>
      <c r="VJY20" s="352"/>
      <c r="VJZ20" s="352"/>
      <c r="VKA20" s="352"/>
      <c r="VKB20" s="352"/>
      <c r="VKC20" s="352"/>
      <c r="VKD20" s="352"/>
      <c r="VKE20" s="352"/>
      <c r="VKF20" s="352"/>
      <c r="VKG20" s="352"/>
      <c r="VKH20" s="352"/>
      <c r="VKI20" s="352"/>
      <c r="VKJ20" s="352"/>
      <c r="VKK20" s="352"/>
      <c r="VKL20" s="352"/>
      <c r="VKM20" s="352"/>
      <c r="VKN20" s="352"/>
      <c r="VKO20" s="352"/>
      <c r="VKP20" s="352"/>
      <c r="VKQ20" s="352"/>
      <c r="VKR20" s="352"/>
      <c r="VKS20" s="352"/>
      <c r="VKT20" s="352"/>
      <c r="VKU20" s="352"/>
      <c r="VKV20" s="352"/>
      <c r="VKW20" s="352"/>
      <c r="VKX20" s="352"/>
      <c r="VKY20" s="352"/>
      <c r="VKZ20" s="352"/>
      <c r="VLA20" s="352"/>
      <c r="VLB20" s="352"/>
      <c r="VLC20" s="352"/>
      <c r="VLD20" s="352"/>
      <c r="VLE20" s="352"/>
      <c r="VLF20" s="352"/>
      <c r="VLG20" s="352"/>
      <c r="VLH20" s="352"/>
      <c r="VLI20" s="352"/>
      <c r="VLJ20" s="352"/>
      <c r="VLK20" s="352"/>
      <c r="VLL20" s="352"/>
      <c r="VLM20" s="352"/>
      <c r="VLN20" s="352"/>
      <c r="VLO20" s="352"/>
      <c r="VLP20" s="352"/>
      <c r="VLQ20" s="352"/>
      <c r="VLR20" s="352"/>
      <c r="VLS20" s="352"/>
      <c r="VLT20" s="352"/>
      <c r="VLU20" s="352"/>
      <c r="VLV20" s="352"/>
      <c r="VLW20" s="352"/>
      <c r="VLX20" s="352"/>
      <c r="VLY20" s="352"/>
      <c r="VLZ20" s="352"/>
      <c r="VMA20" s="352"/>
      <c r="VMB20" s="352"/>
      <c r="VMC20" s="352"/>
      <c r="VMD20" s="352"/>
      <c r="VME20" s="352"/>
      <c r="VMF20" s="352"/>
      <c r="VMG20" s="352"/>
      <c r="VMH20" s="352"/>
      <c r="VMI20" s="352"/>
      <c r="VMJ20" s="352"/>
      <c r="VMK20" s="352"/>
      <c r="VML20" s="352"/>
      <c r="VMM20" s="352"/>
      <c r="VMN20" s="352"/>
      <c r="VMO20" s="352"/>
      <c r="VMP20" s="352"/>
      <c r="VMQ20" s="352"/>
      <c r="VMR20" s="352"/>
      <c r="VMS20" s="352"/>
      <c r="VMT20" s="352"/>
      <c r="VMU20" s="352"/>
      <c r="VMV20" s="352"/>
      <c r="VMW20" s="352"/>
      <c r="VMX20" s="352"/>
      <c r="VMY20" s="352"/>
      <c r="VMZ20" s="352"/>
      <c r="VNA20" s="352"/>
      <c r="VNB20" s="352"/>
      <c r="VNC20" s="352"/>
      <c r="VND20" s="352"/>
      <c r="VNE20" s="352"/>
      <c r="VNF20" s="352"/>
      <c r="VNG20" s="352"/>
      <c r="VNH20" s="352"/>
      <c r="VNI20" s="352"/>
      <c r="VNJ20" s="352"/>
      <c r="VNK20" s="352"/>
      <c r="VNL20" s="352"/>
      <c r="VNM20" s="352"/>
      <c r="VNN20" s="352"/>
      <c r="VNO20" s="352"/>
      <c r="VNP20" s="352"/>
      <c r="VNQ20" s="352"/>
      <c r="VNR20" s="352"/>
      <c r="VNS20" s="352"/>
      <c r="VNT20" s="352"/>
      <c r="VNU20" s="352"/>
      <c r="VNV20" s="352"/>
      <c r="VNW20" s="352"/>
      <c r="VNX20" s="352"/>
      <c r="VNY20" s="352"/>
      <c r="VNZ20" s="352"/>
      <c r="VOA20" s="352"/>
      <c r="VOB20" s="352"/>
      <c r="VOC20" s="352"/>
      <c r="VOD20" s="352"/>
      <c r="VOE20" s="352"/>
      <c r="VOF20" s="352"/>
      <c r="VOG20" s="352"/>
      <c r="VOH20" s="352"/>
      <c r="VOI20" s="352"/>
      <c r="VOJ20" s="352"/>
      <c r="VOK20" s="352"/>
      <c r="VOL20" s="352"/>
      <c r="VOM20" s="352"/>
      <c r="VON20" s="352"/>
      <c r="VOO20" s="352"/>
      <c r="VOP20" s="352"/>
      <c r="VOQ20" s="352"/>
      <c r="VOR20" s="352"/>
      <c r="VOS20" s="352"/>
      <c r="VOT20" s="352"/>
      <c r="VOU20" s="352"/>
      <c r="VOV20" s="352"/>
      <c r="VOW20" s="352"/>
      <c r="VOX20" s="352"/>
      <c r="VOY20" s="352"/>
      <c r="VOZ20" s="352"/>
      <c r="VPA20" s="352"/>
      <c r="VPB20" s="352"/>
      <c r="VPC20" s="352"/>
      <c r="VPD20" s="352"/>
      <c r="VPE20" s="352"/>
      <c r="VPF20" s="352"/>
      <c r="VPG20" s="352"/>
      <c r="VPH20" s="352"/>
      <c r="VPI20" s="352"/>
      <c r="VPJ20" s="352"/>
      <c r="VPK20" s="352"/>
      <c r="VPL20" s="352"/>
      <c r="VPM20" s="352"/>
      <c r="VPN20" s="352"/>
      <c r="VPO20" s="352"/>
      <c r="VPP20" s="352"/>
      <c r="VPQ20" s="352"/>
      <c r="VPR20" s="352"/>
      <c r="VPS20" s="352"/>
      <c r="VPT20" s="352"/>
      <c r="VPU20" s="352"/>
      <c r="VPV20" s="352"/>
      <c r="VPW20" s="352"/>
      <c r="VPX20" s="352"/>
      <c r="VPY20" s="352"/>
      <c r="VPZ20" s="352"/>
      <c r="VQA20" s="352"/>
      <c r="VQB20" s="352"/>
      <c r="VQC20" s="352"/>
      <c r="VQD20" s="352"/>
      <c r="VQE20" s="352"/>
      <c r="VQF20" s="352"/>
      <c r="VQG20" s="352"/>
      <c r="VQH20" s="352"/>
      <c r="VQI20" s="352"/>
      <c r="VQJ20" s="352"/>
      <c r="VQK20" s="352"/>
      <c r="VQL20" s="352"/>
      <c r="VQM20" s="352"/>
      <c r="VQN20" s="352"/>
      <c r="VQO20" s="352"/>
      <c r="VQP20" s="352"/>
      <c r="VQQ20" s="352"/>
      <c r="VQR20" s="352"/>
      <c r="VQS20" s="352"/>
      <c r="VQT20" s="352"/>
      <c r="VQU20" s="352"/>
      <c r="VQV20" s="352"/>
      <c r="VQW20" s="352"/>
      <c r="VQX20" s="352"/>
      <c r="VQY20" s="352"/>
      <c r="VQZ20" s="352"/>
      <c r="VRA20" s="352"/>
      <c r="VRB20" s="352"/>
      <c r="VRC20" s="352"/>
      <c r="VRD20" s="352"/>
      <c r="VRE20" s="352"/>
      <c r="VRF20" s="352"/>
      <c r="VRG20" s="352"/>
      <c r="VRH20" s="352"/>
      <c r="VRI20" s="352"/>
      <c r="VRJ20" s="352"/>
      <c r="VRK20" s="352"/>
      <c r="VRL20" s="352"/>
      <c r="VRM20" s="352"/>
      <c r="VRN20" s="352"/>
      <c r="VRO20" s="352"/>
      <c r="VRP20" s="352"/>
      <c r="VRQ20" s="352"/>
      <c r="VRR20" s="352"/>
      <c r="VRS20" s="352"/>
      <c r="VRT20" s="352"/>
      <c r="VRU20" s="352"/>
      <c r="VRV20" s="352"/>
      <c r="VRW20" s="352"/>
      <c r="VRX20" s="352"/>
      <c r="VRY20" s="352"/>
      <c r="VRZ20" s="352"/>
      <c r="VSA20" s="352"/>
      <c r="VSB20" s="352"/>
      <c r="VSC20" s="352"/>
      <c r="VSD20" s="352"/>
      <c r="VSE20" s="352"/>
      <c r="VSF20" s="352"/>
      <c r="VSG20" s="352"/>
      <c r="VSH20" s="352"/>
      <c r="VSI20" s="352"/>
      <c r="VSJ20" s="352"/>
      <c r="VSK20" s="352"/>
      <c r="VSL20" s="352"/>
      <c r="VSM20" s="352"/>
      <c r="VSN20" s="352"/>
      <c r="VSO20" s="352"/>
      <c r="VSP20" s="352"/>
      <c r="VSQ20" s="352"/>
      <c r="VSR20" s="352"/>
      <c r="VSS20" s="352"/>
      <c r="VST20" s="352"/>
      <c r="VSU20" s="352"/>
      <c r="VSV20" s="352"/>
      <c r="VSW20" s="352"/>
      <c r="VSX20" s="352"/>
      <c r="VSY20" s="352"/>
      <c r="VSZ20" s="352"/>
      <c r="VTA20" s="352"/>
      <c r="VTB20" s="352"/>
      <c r="VTC20" s="352"/>
      <c r="VTD20" s="352"/>
      <c r="VTE20" s="352"/>
      <c r="VTF20" s="352"/>
      <c r="VTG20" s="352"/>
      <c r="VTH20" s="352"/>
      <c r="VTI20" s="352"/>
      <c r="VTJ20" s="352"/>
      <c r="VTK20" s="352"/>
      <c r="VTL20" s="352"/>
      <c r="VTM20" s="352"/>
      <c r="VTN20" s="352"/>
      <c r="VTO20" s="352"/>
      <c r="VTP20" s="352"/>
      <c r="VTQ20" s="352"/>
      <c r="VTR20" s="352"/>
      <c r="VTS20" s="352"/>
      <c r="VTT20" s="352"/>
      <c r="VTU20" s="352"/>
      <c r="VTV20" s="352"/>
      <c r="VTW20" s="352"/>
      <c r="VTX20" s="352"/>
      <c r="VTY20" s="352"/>
      <c r="VTZ20" s="352"/>
      <c r="VUA20" s="352"/>
      <c r="VUB20" s="352"/>
      <c r="VUC20" s="352"/>
      <c r="VUD20" s="352"/>
      <c r="VUE20" s="352"/>
      <c r="VUF20" s="352"/>
      <c r="VUG20" s="352"/>
      <c r="VUH20" s="352"/>
      <c r="VUI20" s="352"/>
      <c r="VUJ20" s="352"/>
      <c r="VUK20" s="352"/>
      <c r="VUL20" s="352"/>
      <c r="VUM20" s="352"/>
      <c r="VUN20" s="352"/>
      <c r="VUO20" s="352"/>
      <c r="VUP20" s="352"/>
      <c r="VUQ20" s="352"/>
      <c r="VUR20" s="352"/>
      <c r="VUS20" s="352"/>
      <c r="VUT20" s="352"/>
      <c r="VUU20" s="352"/>
      <c r="VUV20" s="352"/>
      <c r="VUW20" s="352"/>
      <c r="VUX20" s="352"/>
      <c r="VUY20" s="352"/>
      <c r="VUZ20" s="352"/>
      <c r="VVA20" s="352"/>
      <c r="VVB20" s="352"/>
      <c r="VVC20" s="352"/>
      <c r="VVD20" s="352"/>
      <c r="VVE20" s="352"/>
      <c r="VVF20" s="352"/>
      <c r="VVG20" s="352"/>
      <c r="VVH20" s="352"/>
      <c r="VVI20" s="352"/>
      <c r="VVJ20" s="352"/>
      <c r="VVK20" s="352"/>
      <c r="VVL20" s="352"/>
      <c r="VVM20" s="352"/>
      <c r="VVN20" s="352"/>
      <c r="VVO20" s="352"/>
      <c r="VVP20" s="352"/>
      <c r="VVQ20" s="352"/>
      <c r="VVR20" s="352"/>
      <c r="VVS20" s="352"/>
      <c r="VVT20" s="352"/>
      <c r="VVU20" s="352"/>
      <c r="VVV20" s="352"/>
      <c r="VVW20" s="352"/>
      <c r="VVX20" s="352"/>
      <c r="VVY20" s="352"/>
      <c r="VVZ20" s="352"/>
      <c r="VWA20" s="352"/>
      <c r="VWB20" s="352"/>
      <c r="VWC20" s="352"/>
      <c r="VWD20" s="352"/>
      <c r="VWE20" s="352"/>
      <c r="VWF20" s="352"/>
      <c r="VWG20" s="352"/>
      <c r="VWH20" s="352"/>
      <c r="VWI20" s="352"/>
      <c r="VWJ20" s="352"/>
      <c r="VWK20" s="352"/>
      <c r="VWL20" s="352"/>
      <c r="VWM20" s="352"/>
      <c r="VWN20" s="352"/>
      <c r="VWO20" s="352"/>
      <c r="VWP20" s="352"/>
      <c r="VWQ20" s="352"/>
      <c r="VWR20" s="352"/>
      <c r="VWS20" s="352"/>
      <c r="VWT20" s="352"/>
      <c r="VWU20" s="352"/>
      <c r="VWV20" s="352"/>
      <c r="VWW20" s="352"/>
      <c r="VWX20" s="352"/>
      <c r="VWY20" s="352"/>
      <c r="VWZ20" s="352"/>
      <c r="VXA20" s="352"/>
      <c r="VXB20" s="352"/>
      <c r="VXC20" s="352"/>
      <c r="VXD20" s="352"/>
      <c r="VXE20" s="352"/>
      <c r="VXF20" s="352"/>
      <c r="VXG20" s="352"/>
      <c r="VXH20" s="352"/>
      <c r="VXI20" s="352"/>
      <c r="VXJ20" s="352"/>
      <c r="VXK20" s="352"/>
      <c r="VXL20" s="352"/>
      <c r="VXM20" s="352"/>
      <c r="VXN20" s="352"/>
      <c r="VXO20" s="352"/>
      <c r="VXP20" s="352"/>
      <c r="VXQ20" s="352"/>
      <c r="VXR20" s="352"/>
      <c r="VXS20" s="352"/>
      <c r="VXT20" s="352"/>
      <c r="VXU20" s="352"/>
      <c r="VXV20" s="352"/>
      <c r="VXW20" s="352"/>
      <c r="VXX20" s="352"/>
      <c r="VXY20" s="352"/>
      <c r="VXZ20" s="352"/>
      <c r="VYA20" s="352"/>
      <c r="VYB20" s="352"/>
      <c r="VYC20" s="352"/>
      <c r="VYD20" s="352"/>
      <c r="VYE20" s="352"/>
      <c r="VYF20" s="352"/>
      <c r="VYG20" s="352"/>
      <c r="VYH20" s="352"/>
      <c r="VYI20" s="352"/>
      <c r="VYJ20" s="352"/>
      <c r="VYK20" s="352"/>
      <c r="VYL20" s="352"/>
      <c r="VYM20" s="352"/>
      <c r="VYN20" s="352"/>
      <c r="VYO20" s="352"/>
      <c r="VYP20" s="352"/>
      <c r="VYQ20" s="352"/>
      <c r="VYR20" s="352"/>
      <c r="VYS20" s="352"/>
      <c r="VYT20" s="352"/>
      <c r="VYU20" s="352"/>
      <c r="VYV20" s="352"/>
      <c r="VYW20" s="352"/>
      <c r="VYX20" s="352"/>
      <c r="VYY20" s="352"/>
      <c r="VYZ20" s="352"/>
      <c r="VZA20" s="352"/>
      <c r="VZB20" s="352"/>
      <c r="VZC20" s="352"/>
      <c r="VZD20" s="352"/>
      <c r="VZE20" s="352"/>
      <c r="VZF20" s="352"/>
      <c r="VZG20" s="352"/>
      <c r="VZH20" s="352"/>
      <c r="VZI20" s="352"/>
      <c r="VZJ20" s="352"/>
      <c r="VZK20" s="352"/>
      <c r="VZL20" s="352"/>
      <c r="VZM20" s="352"/>
      <c r="VZN20" s="352"/>
      <c r="VZO20" s="352"/>
      <c r="VZP20" s="352"/>
      <c r="VZQ20" s="352"/>
      <c r="VZR20" s="352"/>
      <c r="VZS20" s="352"/>
      <c r="VZT20" s="352"/>
      <c r="VZU20" s="352"/>
      <c r="VZV20" s="352"/>
      <c r="VZW20" s="352"/>
      <c r="VZX20" s="352"/>
      <c r="VZY20" s="352"/>
      <c r="VZZ20" s="352"/>
      <c r="WAA20" s="352"/>
      <c r="WAB20" s="352"/>
      <c r="WAC20" s="352"/>
      <c r="WAD20" s="352"/>
      <c r="WAE20" s="352"/>
      <c r="WAF20" s="352"/>
      <c r="WAG20" s="352"/>
      <c r="WAH20" s="352"/>
      <c r="WAI20" s="352"/>
      <c r="WAJ20" s="352"/>
      <c r="WAK20" s="352"/>
      <c r="WAL20" s="352"/>
      <c r="WAM20" s="352"/>
      <c r="WAN20" s="352"/>
      <c r="WAO20" s="352"/>
      <c r="WAP20" s="352"/>
      <c r="WAQ20" s="352"/>
      <c r="WAR20" s="352"/>
      <c r="WAS20" s="352"/>
      <c r="WAT20" s="352"/>
      <c r="WAU20" s="352"/>
      <c r="WAV20" s="352"/>
      <c r="WAW20" s="352"/>
      <c r="WAX20" s="352"/>
      <c r="WAY20" s="352"/>
      <c r="WAZ20" s="352"/>
      <c r="WBA20" s="352"/>
      <c r="WBB20" s="352"/>
      <c r="WBC20" s="352"/>
      <c r="WBD20" s="352"/>
      <c r="WBE20" s="352"/>
      <c r="WBF20" s="352"/>
      <c r="WBG20" s="352"/>
      <c r="WBH20" s="352"/>
      <c r="WBI20" s="352"/>
      <c r="WBJ20" s="352"/>
      <c r="WBK20" s="352"/>
      <c r="WBL20" s="352"/>
      <c r="WBM20" s="352"/>
      <c r="WBN20" s="352"/>
      <c r="WBO20" s="352"/>
      <c r="WBP20" s="352"/>
      <c r="WBQ20" s="352"/>
      <c r="WBR20" s="352"/>
      <c r="WBS20" s="352"/>
      <c r="WBT20" s="352"/>
      <c r="WBU20" s="352"/>
      <c r="WBV20" s="352"/>
      <c r="WBW20" s="352"/>
      <c r="WBX20" s="352"/>
      <c r="WBY20" s="352"/>
      <c r="WBZ20" s="352"/>
      <c r="WCA20" s="352"/>
      <c r="WCB20" s="352"/>
      <c r="WCC20" s="352"/>
      <c r="WCD20" s="352"/>
      <c r="WCE20" s="352"/>
      <c r="WCF20" s="352"/>
      <c r="WCG20" s="352"/>
      <c r="WCH20" s="352"/>
      <c r="WCI20" s="352"/>
      <c r="WCJ20" s="352"/>
      <c r="WCK20" s="352"/>
      <c r="WCL20" s="352"/>
      <c r="WCM20" s="352"/>
      <c r="WCN20" s="352"/>
      <c r="WCO20" s="352"/>
      <c r="WCP20" s="352"/>
      <c r="WCQ20" s="352"/>
      <c r="WCR20" s="352"/>
      <c r="WCS20" s="352"/>
      <c r="WCT20" s="352"/>
      <c r="WCU20" s="352"/>
      <c r="WCV20" s="352"/>
      <c r="WCW20" s="352"/>
      <c r="WCX20" s="352"/>
      <c r="WCY20" s="352"/>
      <c r="WCZ20" s="352"/>
      <c r="WDA20" s="352"/>
      <c r="WDB20" s="352"/>
      <c r="WDC20" s="352"/>
      <c r="WDD20" s="352"/>
      <c r="WDE20" s="352"/>
      <c r="WDF20" s="352"/>
      <c r="WDG20" s="352"/>
      <c r="WDH20" s="352"/>
      <c r="WDI20" s="352"/>
      <c r="WDJ20" s="352"/>
      <c r="WDK20" s="352"/>
      <c r="WDL20" s="352"/>
      <c r="WDM20" s="352"/>
      <c r="WDN20" s="352"/>
      <c r="WDO20" s="352"/>
      <c r="WDP20" s="352"/>
      <c r="WDQ20" s="352"/>
      <c r="WDR20" s="352"/>
      <c r="WDS20" s="352"/>
      <c r="WDT20" s="352"/>
      <c r="WDU20" s="352"/>
      <c r="WDV20" s="352"/>
      <c r="WDW20" s="352"/>
      <c r="WDX20" s="352"/>
      <c r="WDY20" s="352"/>
      <c r="WDZ20" s="352"/>
      <c r="WEA20" s="352"/>
      <c r="WEB20" s="352"/>
      <c r="WEC20" s="352"/>
      <c r="WED20" s="352"/>
      <c r="WEE20" s="352"/>
      <c r="WEF20" s="352"/>
      <c r="WEG20" s="352"/>
      <c r="WEH20" s="352"/>
      <c r="WEI20" s="352"/>
      <c r="WEJ20" s="352"/>
      <c r="WEK20" s="352"/>
      <c r="WEL20" s="352"/>
      <c r="WEM20" s="352"/>
      <c r="WEN20" s="352"/>
      <c r="WEO20" s="352"/>
      <c r="WEP20" s="352"/>
      <c r="WEQ20" s="352"/>
      <c r="WER20" s="352"/>
      <c r="WES20" s="352"/>
      <c r="WET20" s="352"/>
      <c r="WEU20" s="352"/>
      <c r="WEV20" s="352"/>
      <c r="WEW20" s="352"/>
      <c r="WEX20" s="352"/>
      <c r="WEY20" s="352"/>
      <c r="WEZ20" s="352"/>
      <c r="WFA20" s="352"/>
      <c r="WFB20" s="352"/>
      <c r="WFC20" s="352"/>
      <c r="WFD20" s="352"/>
      <c r="WFE20" s="352"/>
      <c r="WFF20" s="352"/>
      <c r="WFG20" s="352"/>
      <c r="WFH20" s="352"/>
      <c r="WFI20" s="352"/>
      <c r="WFJ20" s="352"/>
      <c r="WFK20" s="352"/>
      <c r="WFL20" s="352"/>
      <c r="WFM20" s="352"/>
      <c r="WFN20" s="352"/>
      <c r="WFO20" s="352"/>
      <c r="WFP20" s="352"/>
      <c r="WFQ20" s="352"/>
      <c r="WFR20" s="352"/>
      <c r="WFS20" s="352"/>
      <c r="WFT20" s="352"/>
      <c r="WFU20" s="352"/>
      <c r="WFV20" s="352"/>
      <c r="WFW20" s="352"/>
      <c r="WFX20" s="352"/>
      <c r="WFY20" s="352"/>
      <c r="WFZ20" s="352"/>
      <c r="WGA20" s="352"/>
      <c r="WGB20" s="352"/>
      <c r="WGC20" s="352"/>
      <c r="WGD20" s="352"/>
      <c r="WGE20" s="352"/>
      <c r="WGF20" s="352"/>
      <c r="WGG20" s="352"/>
      <c r="WGH20" s="352"/>
      <c r="WGI20" s="352"/>
      <c r="WGJ20" s="352"/>
      <c r="WGK20" s="352"/>
      <c r="WGL20" s="352"/>
      <c r="WGM20" s="352"/>
      <c r="WGN20" s="352"/>
      <c r="WGO20" s="352"/>
      <c r="WGP20" s="352"/>
      <c r="WGQ20" s="352"/>
      <c r="WGR20" s="352"/>
      <c r="WGS20" s="352"/>
      <c r="WGT20" s="352"/>
      <c r="WGU20" s="352"/>
      <c r="WGV20" s="352"/>
      <c r="WGW20" s="352"/>
      <c r="WGX20" s="352"/>
      <c r="WGY20" s="352"/>
      <c r="WGZ20" s="352"/>
      <c r="WHA20" s="352"/>
      <c r="WHB20" s="352"/>
      <c r="WHC20" s="352"/>
      <c r="WHD20" s="352"/>
      <c r="WHE20" s="352"/>
      <c r="WHF20" s="352"/>
      <c r="WHG20" s="352"/>
      <c r="WHH20" s="352"/>
      <c r="WHI20" s="352"/>
      <c r="WHJ20" s="352"/>
      <c r="WHK20" s="352"/>
      <c r="WHL20" s="352"/>
      <c r="WHM20" s="352"/>
      <c r="WHN20" s="352"/>
      <c r="WHO20" s="352"/>
      <c r="WHP20" s="352"/>
      <c r="WHQ20" s="352"/>
      <c r="WHR20" s="352"/>
      <c r="WHS20" s="352"/>
      <c r="WHT20" s="352"/>
      <c r="WHU20" s="352"/>
      <c r="WHV20" s="352"/>
      <c r="WHW20" s="352"/>
      <c r="WHX20" s="352"/>
      <c r="WHY20" s="352"/>
      <c r="WHZ20" s="352"/>
      <c r="WIA20" s="352"/>
      <c r="WIB20" s="352"/>
      <c r="WIC20" s="352"/>
      <c r="WID20" s="352"/>
      <c r="WIE20" s="352"/>
      <c r="WIF20" s="352"/>
      <c r="WIG20" s="352"/>
      <c r="WIH20" s="352"/>
      <c r="WII20" s="352"/>
      <c r="WIJ20" s="352"/>
      <c r="WIK20" s="352"/>
      <c r="WIL20" s="352"/>
      <c r="WIM20" s="352"/>
      <c r="WIN20" s="352"/>
      <c r="WIO20" s="352"/>
      <c r="WIP20" s="352"/>
      <c r="WIQ20" s="352"/>
      <c r="WIR20" s="352"/>
      <c r="WIS20" s="352"/>
      <c r="WIT20" s="352"/>
      <c r="WIU20" s="352"/>
      <c r="WIV20" s="352"/>
      <c r="WIW20" s="352"/>
      <c r="WIX20" s="352"/>
      <c r="WIY20" s="352"/>
      <c r="WIZ20" s="352"/>
      <c r="WJA20" s="352"/>
      <c r="WJB20" s="352"/>
      <c r="WJC20" s="352"/>
      <c r="WJD20" s="352"/>
      <c r="WJE20" s="352"/>
      <c r="WJF20" s="352"/>
      <c r="WJG20" s="352"/>
      <c r="WJH20" s="352"/>
      <c r="WJI20" s="352"/>
      <c r="WJJ20" s="352"/>
      <c r="WJK20" s="352"/>
      <c r="WJL20" s="352"/>
      <c r="WJM20" s="352"/>
      <c r="WJN20" s="352"/>
      <c r="WJO20" s="352"/>
      <c r="WJP20" s="352"/>
      <c r="WJQ20" s="352"/>
      <c r="WJR20" s="352"/>
      <c r="WJS20" s="352"/>
      <c r="WJT20" s="352"/>
      <c r="WJU20" s="352"/>
      <c r="WJV20" s="352"/>
      <c r="WJW20" s="352"/>
      <c r="WJX20" s="352"/>
      <c r="WJY20" s="352"/>
      <c r="WJZ20" s="352"/>
      <c r="WKA20" s="352"/>
      <c r="WKB20" s="352"/>
      <c r="WKC20" s="352"/>
      <c r="WKD20" s="352"/>
      <c r="WKE20" s="352"/>
      <c r="WKF20" s="352"/>
      <c r="WKG20" s="352"/>
      <c r="WKH20" s="352"/>
      <c r="WKI20" s="352"/>
      <c r="WKJ20" s="352"/>
      <c r="WKK20" s="352"/>
      <c r="WKL20" s="352"/>
      <c r="WKM20" s="352"/>
      <c r="WKN20" s="352"/>
      <c r="WKO20" s="352"/>
      <c r="WKP20" s="352"/>
      <c r="WKQ20" s="352"/>
      <c r="WKR20" s="352"/>
      <c r="WKS20" s="352"/>
      <c r="WKT20" s="352"/>
      <c r="WKU20" s="352"/>
      <c r="WKV20" s="352"/>
      <c r="WKW20" s="352"/>
      <c r="WKX20" s="352"/>
      <c r="WKY20" s="352"/>
      <c r="WKZ20" s="352"/>
      <c r="WLA20" s="352"/>
      <c r="WLB20" s="352"/>
      <c r="WLC20" s="352"/>
      <c r="WLD20" s="352"/>
      <c r="WLE20" s="352"/>
      <c r="WLF20" s="352"/>
      <c r="WLG20" s="352"/>
      <c r="WLH20" s="352"/>
      <c r="WLI20" s="352"/>
      <c r="WLJ20" s="352"/>
      <c r="WLK20" s="352"/>
      <c r="WLL20" s="352"/>
      <c r="WLM20" s="352"/>
      <c r="WLN20" s="352"/>
      <c r="WLO20" s="352"/>
      <c r="WLP20" s="352"/>
      <c r="WLQ20" s="352"/>
      <c r="WLR20" s="352"/>
      <c r="WLS20" s="352"/>
      <c r="WLT20" s="352"/>
      <c r="WLU20" s="352"/>
      <c r="WLV20" s="352"/>
      <c r="WLW20" s="352"/>
      <c r="WLX20" s="352"/>
      <c r="WLY20" s="352"/>
      <c r="WLZ20" s="352"/>
      <c r="WMA20" s="352"/>
      <c r="WMB20" s="352"/>
      <c r="WMC20" s="352"/>
      <c r="WMD20" s="352"/>
      <c r="WME20" s="352"/>
      <c r="WMF20" s="352"/>
      <c r="WMG20" s="352"/>
      <c r="WMH20" s="352"/>
      <c r="WMI20" s="352"/>
      <c r="WMJ20" s="352"/>
      <c r="WMK20" s="352"/>
      <c r="WML20" s="352"/>
      <c r="WMM20" s="352"/>
      <c r="WMN20" s="352"/>
      <c r="WMO20" s="352"/>
      <c r="WMP20" s="352"/>
      <c r="WMQ20" s="352"/>
      <c r="WMR20" s="352"/>
      <c r="WMS20" s="352"/>
      <c r="WMT20" s="352"/>
      <c r="WMU20" s="352"/>
      <c r="WMV20" s="352"/>
      <c r="WMW20" s="352"/>
      <c r="WMX20" s="352"/>
      <c r="WMY20" s="352"/>
      <c r="WMZ20" s="352"/>
      <c r="WNA20" s="352"/>
      <c r="WNB20" s="352"/>
      <c r="WNC20" s="352"/>
      <c r="WND20" s="352"/>
      <c r="WNE20" s="352"/>
      <c r="WNF20" s="352"/>
      <c r="WNG20" s="352"/>
      <c r="WNH20" s="352"/>
      <c r="WNI20" s="352"/>
      <c r="WNJ20" s="352"/>
      <c r="WNK20" s="352"/>
      <c r="WNL20" s="352"/>
      <c r="WNM20" s="352"/>
      <c r="WNN20" s="352"/>
      <c r="WNO20" s="352"/>
      <c r="WNP20" s="352"/>
      <c r="WNQ20" s="352"/>
      <c r="WNR20" s="352"/>
      <c r="WNS20" s="352"/>
      <c r="WNT20" s="352"/>
      <c r="WNU20" s="352"/>
      <c r="WNV20" s="352"/>
      <c r="WNW20" s="352"/>
      <c r="WNX20" s="352"/>
      <c r="WNY20" s="352"/>
      <c r="WNZ20" s="352"/>
      <c r="WOA20" s="352"/>
      <c r="WOB20" s="352"/>
      <c r="WOC20" s="352"/>
      <c r="WOD20" s="352"/>
      <c r="WOE20" s="352"/>
      <c r="WOF20" s="352"/>
      <c r="WOG20" s="352"/>
      <c r="WOH20" s="352"/>
      <c r="WOI20" s="352"/>
      <c r="WOJ20" s="352"/>
      <c r="WOK20" s="352"/>
      <c r="WOL20" s="352"/>
      <c r="WOM20" s="352"/>
      <c r="WON20" s="352"/>
      <c r="WOO20" s="352"/>
      <c r="WOP20" s="352"/>
      <c r="WOQ20" s="352"/>
      <c r="WOR20" s="352"/>
      <c r="WOS20" s="352"/>
      <c r="WOT20" s="352"/>
      <c r="WOU20" s="352"/>
      <c r="WOV20" s="352"/>
      <c r="WOW20" s="352"/>
      <c r="WOX20" s="352"/>
      <c r="WOY20" s="352"/>
      <c r="WOZ20" s="352"/>
      <c r="WPA20" s="352"/>
      <c r="WPB20" s="352"/>
      <c r="WPC20" s="352"/>
      <c r="WPD20" s="352"/>
      <c r="WPE20" s="352"/>
      <c r="WPF20" s="352"/>
      <c r="WPG20" s="352"/>
      <c r="WPH20" s="352"/>
      <c r="WPI20" s="352"/>
      <c r="WPJ20" s="352"/>
      <c r="WPK20" s="352"/>
      <c r="WPL20" s="352"/>
      <c r="WPM20" s="352"/>
      <c r="WPN20" s="352"/>
      <c r="WPO20" s="352"/>
      <c r="WPP20" s="352"/>
      <c r="WPQ20" s="352"/>
      <c r="WPR20" s="352"/>
      <c r="WPS20" s="352"/>
      <c r="WPT20" s="352"/>
      <c r="WPU20" s="352"/>
      <c r="WPV20" s="352"/>
      <c r="WPW20" s="352"/>
      <c r="WPX20" s="352"/>
      <c r="WPY20" s="352"/>
      <c r="WPZ20" s="352"/>
      <c r="WQA20" s="352"/>
      <c r="WQB20" s="352"/>
      <c r="WQC20" s="352"/>
      <c r="WQD20" s="352"/>
      <c r="WQE20" s="352"/>
      <c r="WQF20" s="352"/>
      <c r="WQG20" s="352"/>
      <c r="WQH20" s="352"/>
      <c r="WQI20" s="352"/>
      <c r="WQJ20" s="352"/>
      <c r="WQK20" s="352"/>
      <c r="WQL20" s="352"/>
      <c r="WQM20" s="352"/>
      <c r="WQN20" s="352"/>
      <c r="WQO20" s="352"/>
      <c r="WQP20" s="352"/>
      <c r="WQQ20" s="352"/>
      <c r="WQR20" s="352"/>
      <c r="WQS20" s="352"/>
      <c r="WQT20" s="352"/>
      <c r="WQU20" s="352"/>
      <c r="WQV20" s="352"/>
      <c r="WQW20" s="352"/>
      <c r="WQX20" s="352"/>
      <c r="WQY20" s="352"/>
      <c r="WQZ20" s="352"/>
      <c r="WRA20" s="352"/>
      <c r="WRB20" s="352"/>
      <c r="WRC20" s="352"/>
      <c r="WRD20" s="352"/>
      <c r="WRE20" s="352"/>
      <c r="WRF20" s="352"/>
      <c r="WRG20" s="352"/>
      <c r="WRH20" s="352"/>
      <c r="WRI20" s="352"/>
      <c r="WRJ20" s="352"/>
      <c r="WRK20" s="352"/>
      <c r="WRL20" s="352"/>
      <c r="WRM20" s="352"/>
      <c r="WRN20" s="352"/>
      <c r="WRO20" s="352"/>
      <c r="WRP20" s="352"/>
      <c r="WRQ20" s="352"/>
      <c r="WRR20" s="352"/>
      <c r="WRS20" s="352"/>
      <c r="WRT20" s="352"/>
      <c r="WRU20" s="352"/>
      <c r="WRV20" s="352"/>
      <c r="WRW20" s="352"/>
      <c r="WRX20" s="352"/>
      <c r="WRY20" s="352"/>
      <c r="WRZ20" s="352"/>
      <c r="WSA20" s="352"/>
      <c r="WSB20" s="352"/>
      <c r="WSC20" s="352"/>
      <c r="WSD20" s="352"/>
      <c r="WSE20" s="352"/>
      <c r="WSF20" s="352"/>
      <c r="WSG20" s="352"/>
      <c r="WSH20" s="352"/>
      <c r="WSI20" s="352"/>
      <c r="WSJ20" s="352"/>
      <c r="WSK20" s="352"/>
      <c r="WSL20" s="352"/>
      <c r="WSM20" s="352"/>
      <c r="WSN20" s="352"/>
      <c r="WSO20" s="352"/>
      <c r="WSP20" s="352"/>
      <c r="WSQ20" s="352"/>
      <c r="WSR20" s="352"/>
      <c r="WSS20" s="352"/>
      <c r="WST20" s="352"/>
      <c r="WSU20" s="352"/>
      <c r="WSV20" s="352"/>
      <c r="WSW20" s="352"/>
      <c r="WSX20" s="352"/>
      <c r="WSY20" s="352"/>
      <c r="WSZ20" s="352"/>
      <c r="WTA20" s="352"/>
      <c r="WTB20" s="352"/>
      <c r="WTC20" s="352"/>
      <c r="WTD20" s="352"/>
      <c r="WTE20" s="352"/>
      <c r="WTF20" s="352"/>
      <c r="WTG20" s="352"/>
      <c r="WTH20" s="352"/>
      <c r="WTI20" s="352"/>
      <c r="WTJ20" s="352"/>
      <c r="WTK20" s="352"/>
      <c r="WTL20" s="352"/>
      <c r="WTM20" s="352"/>
      <c r="WTN20" s="352"/>
      <c r="WTO20" s="352"/>
      <c r="WTP20" s="352"/>
      <c r="WTQ20" s="352"/>
      <c r="WTR20" s="352"/>
      <c r="WTS20" s="352"/>
      <c r="WTT20" s="352"/>
      <c r="WTU20" s="352"/>
      <c r="WTV20" s="352"/>
      <c r="WTW20" s="352"/>
      <c r="WTX20" s="352"/>
      <c r="WTY20" s="352"/>
      <c r="WTZ20" s="352"/>
      <c r="WUA20" s="352"/>
      <c r="WUB20" s="352"/>
      <c r="WUC20" s="352"/>
      <c r="WUD20" s="352"/>
      <c r="WUE20" s="352"/>
      <c r="WUF20" s="352"/>
      <c r="WUG20" s="352"/>
      <c r="WUH20" s="352"/>
      <c r="WUI20" s="352"/>
      <c r="WUJ20" s="352"/>
      <c r="WUK20" s="352"/>
      <c r="WUL20" s="352"/>
      <c r="WUM20" s="352"/>
      <c r="WUN20" s="352"/>
      <c r="WUO20" s="352"/>
      <c r="WUP20" s="352"/>
      <c r="WUQ20" s="352"/>
      <c r="WUR20" s="352"/>
      <c r="WUS20" s="352"/>
      <c r="WUT20" s="352"/>
      <c r="WUU20" s="352"/>
      <c r="WUV20" s="352"/>
      <c r="WUW20" s="352"/>
      <c r="WUX20" s="352"/>
      <c r="WUY20" s="352"/>
      <c r="WUZ20" s="352"/>
      <c r="WVA20" s="352"/>
      <c r="WVB20" s="352"/>
      <c r="WVC20" s="352"/>
      <c r="WVD20" s="352"/>
      <c r="WVE20" s="352"/>
      <c r="WVF20" s="352"/>
      <c r="WVG20" s="352"/>
      <c r="WVH20" s="352"/>
      <c r="WVI20" s="352"/>
      <c r="WVJ20" s="352"/>
      <c r="WVK20" s="352"/>
      <c r="WVL20" s="352"/>
      <c r="WVM20" s="352"/>
      <c r="WVN20" s="352"/>
      <c r="WVO20" s="352"/>
      <c r="WVP20" s="352"/>
      <c r="WVQ20" s="352"/>
      <c r="WVR20" s="352"/>
      <c r="WVS20" s="352"/>
      <c r="WVT20" s="352"/>
      <c r="WVU20" s="352"/>
      <c r="WVV20" s="352"/>
      <c r="WVW20" s="352"/>
      <c r="WVX20" s="352"/>
      <c r="WVY20" s="352"/>
      <c r="WVZ20" s="352"/>
      <c r="WWA20" s="352"/>
      <c r="WWB20" s="352"/>
      <c r="WWC20" s="352"/>
      <c r="WWD20" s="352"/>
      <c r="WWE20" s="352"/>
      <c r="WWF20" s="352"/>
      <c r="WWG20" s="352"/>
      <c r="WWH20" s="352"/>
      <c r="WWI20" s="352"/>
      <c r="WWJ20" s="352"/>
      <c r="WWK20" s="352"/>
      <c r="WWL20" s="352"/>
      <c r="WWM20" s="352"/>
      <c r="WWN20" s="352"/>
      <c r="WWO20" s="352"/>
      <c r="WWP20" s="352"/>
      <c r="WWQ20" s="352"/>
      <c r="WWR20" s="352"/>
      <c r="WWS20" s="352"/>
      <c r="WWT20" s="352"/>
      <c r="WWU20" s="352"/>
      <c r="WWV20" s="352"/>
      <c r="WWW20" s="352"/>
      <c r="WWX20" s="352"/>
      <c r="WWY20" s="352"/>
      <c r="WWZ20" s="352"/>
      <c r="WXA20" s="352"/>
      <c r="WXB20" s="352"/>
      <c r="WXC20" s="352"/>
      <c r="WXD20" s="352"/>
      <c r="WXE20" s="352"/>
      <c r="WXF20" s="352"/>
      <c r="WXG20" s="352"/>
      <c r="WXH20" s="352"/>
      <c r="WXI20" s="352"/>
      <c r="WXJ20" s="352"/>
      <c r="WXK20" s="352"/>
      <c r="WXL20" s="352"/>
      <c r="WXM20" s="352"/>
      <c r="WXN20" s="352"/>
      <c r="WXO20" s="352"/>
      <c r="WXP20" s="352"/>
      <c r="WXQ20" s="352"/>
      <c r="WXR20" s="352"/>
      <c r="WXS20" s="352"/>
      <c r="WXT20" s="352"/>
      <c r="WXU20" s="352"/>
      <c r="WXV20" s="352"/>
      <c r="WXW20" s="352"/>
      <c r="WXX20" s="352"/>
      <c r="WXY20" s="352"/>
      <c r="WXZ20" s="352"/>
      <c r="WYA20" s="352"/>
      <c r="WYB20" s="352"/>
      <c r="WYC20" s="352"/>
      <c r="WYD20" s="352"/>
      <c r="WYE20" s="352"/>
      <c r="WYF20" s="352"/>
      <c r="WYG20" s="352"/>
      <c r="WYH20" s="352"/>
      <c r="WYI20" s="352"/>
      <c r="WYJ20" s="352"/>
      <c r="WYK20" s="352"/>
      <c r="WYL20" s="352"/>
      <c r="WYM20" s="352"/>
      <c r="WYN20" s="352"/>
      <c r="WYO20" s="352"/>
      <c r="WYP20" s="352"/>
      <c r="WYQ20" s="352"/>
      <c r="WYR20" s="352"/>
      <c r="WYS20" s="352"/>
      <c r="WYT20" s="352"/>
      <c r="WYU20" s="352"/>
      <c r="WYV20" s="352"/>
      <c r="WYW20" s="352"/>
      <c r="WYX20" s="352"/>
      <c r="WYY20" s="352"/>
      <c r="WYZ20" s="352"/>
      <c r="WZA20" s="352"/>
      <c r="WZB20" s="352"/>
      <c r="WZC20" s="352"/>
      <c r="WZD20" s="352"/>
      <c r="WZE20" s="352"/>
      <c r="WZF20" s="352"/>
      <c r="WZG20" s="352"/>
      <c r="WZH20" s="352"/>
      <c r="WZI20" s="352"/>
      <c r="WZJ20" s="352"/>
      <c r="WZK20" s="352"/>
      <c r="WZL20" s="352"/>
      <c r="WZM20" s="352"/>
      <c r="WZN20" s="352"/>
      <c r="WZO20" s="352"/>
      <c r="WZP20" s="352"/>
      <c r="WZQ20" s="352"/>
      <c r="WZR20" s="352"/>
      <c r="WZS20" s="352"/>
      <c r="WZT20" s="352"/>
      <c r="WZU20" s="352"/>
      <c r="WZV20" s="352"/>
      <c r="WZW20" s="352"/>
      <c r="WZX20" s="352"/>
      <c r="WZY20" s="352"/>
      <c r="WZZ20" s="352"/>
      <c r="XAA20" s="352"/>
      <c r="XAB20" s="352"/>
      <c r="XAC20" s="352"/>
      <c r="XAD20" s="352"/>
      <c r="XAE20" s="352"/>
      <c r="XAF20" s="352"/>
      <c r="XAG20" s="352"/>
      <c r="XAH20" s="352"/>
      <c r="XAI20" s="352"/>
      <c r="XAJ20" s="352"/>
      <c r="XAK20" s="352"/>
      <c r="XAL20" s="352"/>
      <c r="XAM20" s="352"/>
      <c r="XAN20" s="352"/>
      <c r="XAO20" s="352"/>
      <c r="XAP20" s="352"/>
      <c r="XAQ20" s="352"/>
      <c r="XAR20" s="352"/>
      <c r="XAS20" s="352"/>
      <c r="XAT20" s="352"/>
      <c r="XAU20" s="352"/>
      <c r="XAV20" s="352"/>
      <c r="XAW20" s="352"/>
      <c r="XAX20" s="352"/>
      <c r="XAY20" s="352"/>
      <c r="XAZ20" s="352"/>
      <c r="XBA20" s="352"/>
      <c r="XBB20" s="352"/>
      <c r="XBC20" s="352"/>
      <c r="XBD20" s="352"/>
      <c r="XBE20" s="352"/>
      <c r="XBF20" s="352"/>
      <c r="XBG20" s="352"/>
      <c r="XBH20" s="352"/>
      <c r="XBI20" s="352"/>
      <c r="XBJ20" s="352"/>
      <c r="XBK20" s="352"/>
      <c r="XBL20" s="352"/>
      <c r="XBM20" s="352"/>
      <c r="XBN20" s="352"/>
      <c r="XBO20" s="352"/>
      <c r="XBP20" s="352"/>
      <c r="XBQ20" s="352"/>
      <c r="XBR20" s="352"/>
      <c r="XBS20" s="352"/>
      <c r="XBT20" s="352"/>
      <c r="XBU20" s="352"/>
      <c r="XBV20" s="352"/>
      <c r="XBW20" s="352"/>
      <c r="XBX20" s="352"/>
      <c r="XBY20" s="352"/>
      <c r="XBZ20" s="352"/>
      <c r="XCA20" s="352"/>
      <c r="XCB20" s="352"/>
      <c r="XCC20" s="352"/>
      <c r="XCD20" s="352"/>
      <c r="XCE20" s="352"/>
      <c r="XCF20" s="352"/>
      <c r="XCG20" s="352"/>
      <c r="XCH20" s="352"/>
      <c r="XCI20" s="352"/>
      <c r="XCJ20" s="352"/>
      <c r="XCK20" s="352"/>
      <c r="XCL20" s="352"/>
      <c r="XCM20" s="352"/>
      <c r="XCN20" s="352"/>
      <c r="XCO20" s="352"/>
      <c r="XCP20" s="352"/>
      <c r="XCQ20" s="352"/>
      <c r="XCR20" s="352"/>
      <c r="XCS20" s="352"/>
      <c r="XCT20" s="352"/>
      <c r="XCU20" s="352"/>
      <c r="XCV20" s="352"/>
      <c r="XCW20" s="352"/>
      <c r="XCX20" s="352"/>
      <c r="XCY20" s="352"/>
      <c r="XCZ20" s="352"/>
      <c r="XDA20" s="352"/>
      <c r="XDB20" s="352"/>
      <c r="XDC20" s="352"/>
      <c r="XDD20" s="352"/>
      <c r="XDE20" s="352"/>
      <c r="XDF20" s="352"/>
      <c r="XDG20" s="352"/>
      <c r="XDH20" s="352"/>
      <c r="XDI20" s="352"/>
      <c r="XDJ20" s="352"/>
      <c r="XDK20" s="352"/>
      <c r="XDL20" s="352"/>
      <c r="XDM20" s="352"/>
      <c r="XDN20" s="352"/>
      <c r="XDO20" s="352"/>
      <c r="XDP20" s="352"/>
      <c r="XDQ20" s="352"/>
      <c r="XDR20" s="352"/>
      <c r="XDS20" s="352"/>
      <c r="XDT20" s="352"/>
      <c r="XDU20" s="352"/>
      <c r="XDV20" s="352"/>
      <c r="XDW20" s="352"/>
      <c r="XDX20" s="352"/>
      <c r="XDY20" s="352"/>
      <c r="XDZ20" s="352"/>
      <c r="XEA20" s="352"/>
      <c r="XEB20" s="352"/>
      <c r="XEC20" s="352"/>
      <c r="XED20" s="352"/>
      <c r="XEE20" s="352"/>
      <c r="XEF20" s="352"/>
      <c r="XEG20" s="352"/>
      <c r="XEH20" s="352"/>
      <c r="XEI20" s="352"/>
      <c r="XEJ20" s="352"/>
      <c r="XEK20" s="352"/>
      <c r="XEL20" s="352"/>
      <c r="XEM20" s="352"/>
      <c r="XEN20" s="352"/>
      <c r="XEO20" s="352"/>
      <c r="XEP20" s="352"/>
      <c r="XEQ20" s="352"/>
      <c r="XER20" s="352"/>
      <c r="XES20" s="352"/>
      <c r="XET20" s="352"/>
      <c r="XEU20" s="352"/>
      <c r="XEV20" s="352"/>
      <c r="XEW20" s="352"/>
      <c r="XEX20" s="352"/>
      <c r="XEY20" s="352"/>
      <c r="XEZ20" s="352"/>
      <c r="XFA20" s="352"/>
      <c r="XFB20" s="352"/>
      <c r="XFC20" s="352"/>
    </row>
    <row r="21" spans="1:8">
      <c r="A21" s="352" t="s">
        <v>1227</v>
      </c>
      <c r="B21" s="372">
        <f>B17</f>
        <v>291.6</v>
      </c>
      <c r="C21" s="372">
        <f t="shared" ref="C21:G21" si="9">C17</f>
        <v>306.18</v>
      </c>
      <c r="D21" s="372">
        <f t="shared" si="9"/>
        <v>321.489</v>
      </c>
      <c r="E21" s="372">
        <f t="shared" si="9"/>
        <v>337.56345</v>
      </c>
      <c r="F21" s="372">
        <f t="shared" si="9"/>
        <v>354.4416225</v>
      </c>
      <c r="G21" s="372">
        <f t="shared" si="9"/>
        <v>354.4416225</v>
      </c>
      <c r="H21" s="372" t="e">
        <f>#REF!</f>
        <v>#REF!</v>
      </c>
    </row>
    <row r="22" spans="1:8">
      <c r="A22" s="352" t="s">
        <v>1228</v>
      </c>
      <c r="B22" s="372">
        <f>B15+B18</f>
        <v>107.64</v>
      </c>
      <c r="C22" s="372">
        <f t="shared" ref="C22:G22" si="10">C15+C18</f>
        <v>113.022</v>
      </c>
      <c r="D22" s="372">
        <f t="shared" si="10"/>
        <v>118.6731</v>
      </c>
      <c r="E22" s="372">
        <f t="shared" si="10"/>
        <v>124.606755</v>
      </c>
      <c r="F22" s="372">
        <f t="shared" si="10"/>
        <v>130.83709275</v>
      </c>
      <c r="G22" s="372">
        <f t="shared" si="10"/>
        <v>130.83709275</v>
      </c>
      <c r="H22" s="372" t="e">
        <f>#REF!+#REF!</f>
        <v>#REF!</v>
      </c>
    </row>
    <row r="23" spans="1:8">
      <c r="A23" s="352" t="s">
        <v>1229</v>
      </c>
      <c r="B23" s="372">
        <f>B16</f>
        <v>18</v>
      </c>
      <c r="C23" s="372">
        <f t="shared" ref="C23:G23" si="11">C16</f>
        <v>18.9</v>
      </c>
      <c r="D23" s="372">
        <f t="shared" si="11"/>
        <v>19.845</v>
      </c>
      <c r="E23" s="372">
        <f t="shared" si="11"/>
        <v>20.83725</v>
      </c>
      <c r="F23" s="372">
        <f t="shared" si="11"/>
        <v>21.8791125</v>
      </c>
      <c r="G23" s="372">
        <f t="shared" si="11"/>
        <v>21.8791125</v>
      </c>
      <c r="H23" s="372" t="e">
        <f>H15</f>
        <v>#REF!</v>
      </c>
    </row>
    <row r="24" spans="1:8">
      <c r="A24" s="353" t="s">
        <v>157</v>
      </c>
      <c r="B24" s="372">
        <f t="shared" ref="B24:H24" si="12">SUM(B21:B23)</f>
        <v>417.24</v>
      </c>
      <c r="C24" s="372">
        <f t="shared" si="12"/>
        <v>438.102</v>
      </c>
      <c r="D24" s="372">
        <f t="shared" si="12"/>
        <v>460.0071</v>
      </c>
      <c r="E24" s="372">
        <f t="shared" si="12"/>
        <v>483.007455</v>
      </c>
      <c r="F24" s="372">
        <f t="shared" si="12"/>
        <v>507.15782775</v>
      </c>
      <c r="G24" s="372">
        <f t="shared" si="12"/>
        <v>507.15782775</v>
      </c>
      <c r="H24" s="372" t="e">
        <f t="shared" si="12"/>
        <v>#REF!</v>
      </c>
    </row>
  </sheetData>
  <mergeCells count="1">
    <mergeCell ref="A1:H1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selection activeCell="B7" sqref="B7:T15"/>
    </sheetView>
  </sheetViews>
  <sheetFormatPr defaultColWidth="9" defaultRowHeight="14.25"/>
  <cols>
    <col min="1" max="1" width="2.6" style="228" customWidth="1"/>
    <col min="2" max="2" width="12.9" style="228" customWidth="1"/>
    <col min="3" max="12" width="6.6" style="228" hidden="1" customWidth="1"/>
    <col min="13" max="13" width="7.1" style="228" hidden="1" customWidth="1"/>
    <col min="14" max="14" width="6.9" style="228" hidden="1" customWidth="1"/>
    <col min="15" max="15" width="10.4" style="228" customWidth="1"/>
    <col min="16" max="16" width="8.4" style="228" customWidth="1"/>
    <col min="17" max="18" width="10.1" style="228" customWidth="1"/>
    <col min="19" max="19" width="11" style="228" customWidth="1"/>
    <col min="20" max="20" width="10.4" style="228" customWidth="1"/>
    <col min="21" max="21" width="15.7" style="228" customWidth="1"/>
    <col min="22" max="23" width="9" style="228"/>
    <col min="24" max="24" width="11.1" style="228" customWidth="1"/>
    <col min="25" max="257" width="9" style="228"/>
    <col min="258" max="258" width="2.6" style="228" customWidth="1"/>
    <col min="259" max="259" width="12.9" style="228" customWidth="1"/>
    <col min="260" max="271" width="9" style="228" hidden="1" customWidth="1"/>
    <col min="272" max="276" width="13.4" style="228" customWidth="1"/>
    <col min="277" max="277" width="23.4" style="228" customWidth="1"/>
    <col min="278" max="279" width="9" style="228"/>
    <col min="280" max="280" width="11.1" style="228" customWidth="1"/>
    <col min="281" max="513" width="9" style="228"/>
    <col min="514" max="514" width="2.6" style="228" customWidth="1"/>
    <col min="515" max="515" width="12.9" style="228" customWidth="1"/>
    <col min="516" max="527" width="9" style="228" hidden="1" customWidth="1"/>
    <col min="528" max="532" width="13.4" style="228" customWidth="1"/>
    <col min="533" max="533" width="23.4" style="228" customWidth="1"/>
    <col min="534" max="535" width="9" style="228"/>
    <col min="536" max="536" width="11.1" style="228" customWidth="1"/>
    <col min="537" max="769" width="9" style="228"/>
    <col min="770" max="770" width="2.6" style="228" customWidth="1"/>
    <col min="771" max="771" width="12.9" style="228" customWidth="1"/>
    <col min="772" max="783" width="9" style="228" hidden="1" customWidth="1"/>
    <col min="784" max="788" width="13.4" style="228" customWidth="1"/>
    <col min="789" max="789" width="23.4" style="228" customWidth="1"/>
    <col min="790" max="791" width="9" style="228"/>
    <col min="792" max="792" width="11.1" style="228" customWidth="1"/>
    <col min="793" max="1025" width="9" style="228"/>
    <col min="1026" max="1026" width="2.6" style="228" customWidth="1"/>
    <col min="1027" max="1027" width="12.9" style="228" customWidth="1"/>
    <col min="1028" max="1039" width="9" style="228" hidden="1" customWidth="1"/>
    <col min="1040" max="1044" width="13.4" style="228" customWidth="1"/>
    <col min="1045" max="1045" width="23.4" style="228" customWidth="1"/>
    <col min="1046" max="1047" width="9" style="228"/>
    <col min="1048" max="1048" width="11.1" style="228" customWidth="1"/>
    <col min="1049" max="1281" width="9" style="228"/>
    <col min="1282" max="1282" width="2.6" style="228" customWidth="1"/>
    <col min="1283" max="1283" width="12.9" style="228" customWidth="1"/>
    <col min="1284" max="1295" width="9" style="228" hidden="1" customWidth="1"/>
    <col min="1296" max="1300" width="13.4" style="228" customWidth="1"/>
    <col min="1301" max="1301" width="23.4" style="228" customWidth="1"/>
    <col min="1302" max="1303" width="9" style="228"/>
    <col min="1304" max="1304" width="11.1" style="228" customWidth="1"/>
    <col min="1305" max="1537" width="9" style="228"/>
    <col min="1538" max="1538" width="2.6" style="228" customWidth="1"/>
    <col min="1539" max="1539" width="12.9" style="228" customWidth="1"/>
    <col min="1540" max="1551" width="9" style="228" hidden="1" customWidth="1"/>
    <col min="1552" max="1556" width="13.4" style="228" customWidth="1"/>
    <col min="1557" max="1557" width="23.4" style="228" customWidth="1"/>
    <col min="1558" max="1559" width="9" style="228"/>
    <col min="1560" max="1560" width="11.1" style="228" customWidth="1"/>
    <col min="1561" max="1793" width="9" style="228"/>
    <col min="1794" max="1794" width="2.6" style="228" customWidth="1"/>
    <col min="1795" max="1795" width="12.9" style="228" customWidth="1"/>
    <col min="1796" max="1807" width="9" style="228" hidden="1" customWidth="1"/>
    <col min="1808" max="1812" width="13.4" style="228" customWidth="1"/>
    <col min="1813" max="1813" width="23.4" style="228" customWidth="1"/>
    <col min="1814" max="1815" width="9" style="228"/>
    <col min="1816" max="1816" width="11.1" style="228" customWidth="1"/>
    <col min="1817" max="2049" width="9" style="228"/>
    <col min="2050" max="2050" width="2.6" style="228" customWidth="1"/>
    <col min="2051" max="2051" width="12.9" style="228" customWidth="1"/>
    <col min="2052" max="2063" width="9" style="228" hidden="1" customWidth="1"/>
    <col min="2064" max="2068" width="13.4" style="228" customWidth="1"/>
    <col min="2069" max="2069" width="23.4" style="228" customWidth="1"/>
    <col min="2070" max="2071" width="9" style="228"/>
    <col min="2072" max="2072" width="11.1" style="228" customWidth="1"/>
    <col min="2073" max="2305" width="9" style="228"/>
    <col min="2306" max="2306" width="2.6" style="228" customWidth="1"/>
    <col min="2307" max="2307" width="12.9" style="228" customWidth="1"/>
    <col min="2308" max="2319" width="9" style="228" hidden="1" customWidth="1"/>
    <col min="2320" max="2324" width="13.4" style="228" customWidth="1"/>
    <col min="2325" max="2325" width="23.4" style="228" customWidth="1"/>
    <col min="2326" max="2327" width="9" style="228"/>
    <col min="2328" max="2328" width="11.1" style="228" customWidth="1"/>
    <col min="2329" max="2561" width="9" style="228"/>
    <col min="2562" max="2562" width="2.6" style="228" customWidth="1"/>
    <col min="2563" max="2563" width="12.9" style="228" customWidth="1"/>
    <col min="2564" max="2575" width="9" style="228" hidden="1" customWidth="1"/>
    <col min="2576" max="2580" width="13.4" style="228" customWidth="1"/>
    <col min="2581" max="2581" width="23.4" style="228" customWidth="1"/>
    <col min="2582" max="2583" width="9" style="228"/>
    <col min="2584" max="2584" width="11.1" style="228" customWidth="1"/>
    <col min="2585" max="2817" width="9" style="228"/>
    <col min="2818" max="2818" width="2.6" style="228" customWidth="1"/>
    <col min="2819" max="2819" width="12.9" style="228" customWidth="1"/>
    <col min="2820" max="2831" width="9" style="228" hidden="1" customWidth="1"/>
    <col min="2832" max="2836" width="13.4" style="228" customWidth="1"/>
    <col min="2837" max="2837" width="23.4" style="228" customWidth="1"/>
    <col min="2838" max="2839" width="9" style="228"/>
    <col min="2840" max="2840" width="11.1" style="228" customWidth="1"/>
    <col min="2841" max="3073" width="9" style="228"/>
    <col min="3074" max="3074" width="2.6" style="228" customWidth="1"/>
    <col min="3075" max="3075" width="12.9" style="228" customWidth="1"/>
    <col min="3076" max="3087" width="9" style="228" hidden="1" customWidth="1"/>
    <col min="3088" max="3092" width="13.4" style="228" customWidth="1"/>
    <col min="3093" max="3093" width="23.4" style="228" customWidth="1"/>
    <col min="3094" max="3095" width="9" style="228"/>
    <col min="3096" max="3096" width="11.1" style="228" customWidth="1"/>
    <col min="3097" max="3329" width="9" style="228"/>
    <col min="3330" max="3330" width="2.6" style="228" customWidth="1"/>
    <col min="3331" max="3331" width="12.9" style="228" customWidth="1"/>
    <col min="3332" max="3343" width="9" style="228" hidden="1" customWidth="1"/>
    <col min="3344" max="3348" width="13.4" style="228" customWidth="1"/>
    <col min="3349" max="3349" width="23.4" style="228" customWidth="1"/>
    <col min="3350" max="3351" width="9" style="228"/>
    <col min="3352" max="3352" width="11.1" style="228" customWidth="1"/>
    <col min="3353" max="3585" width="9" style="228"/>
    <col min="3586" max="3586" width="2.6" style="228" customWidth="1"/>
    <col min="3587" max="3587" width="12.9" style="228" customWidth="1"/>
    <col min="3588" max="3599" width="9" style="228" hidden="1" customWidth="1"/>
    <col min="3600" max="3604" width="13.4" style="228" customWidth="1"/>
    <col min="3605" max="3605" width="23.4" style="228" customWidth="1"/>
    <col min="3606" max="3607" width="9" style="228"/>
    <col min="3608" max="3608" width="11.1" style="228" customWidth="1"/>
    <col min="3609" max="3841" width="9" style="228"/>
    <col min="3842" max="3842" width="2.6" style="228" customWidth="1"/>
    <col min="3843" max="3843" width="12.9" style="228" customWidth="1"/>
    <col min="3844" max="3855" width="9" style="228" hidden="1" customWidth="1"/>
    <col min="3856" max="3860" width="13.4" style="228" customWidth="1"/>
    <col min="3861" max="3861" width="23.4" style="228" customWidth="1"/>
    <col min="3862" max="3863" width="9" style="228"/>
    <col min="3864" max="3864" width="11.1" style="228" customWidth="1"/>
    <col min="3865" max="4097" width="9" style="228"/>
    <col min="4098" max="4098" width="2.6" style="228" customWidth="1"/>
    <col min="4099" max="4099" width="12.9" style="228" customWidth="1"/>
    <col min="4100" max="4111" width="9" style="228" hidden="1" customWidth="1"/>
    <col min="4112" max="4116" width="13.4" style="228" customWidth="1"/>
    <col min="4117" max="4117" width="23.4" style="228" customWidth="1"/>
    <col min="4118" max="4119" width="9" style="228"/>
    <col min="4120" max="4120" width="11.1" style="228" customWidth="1"/>
    <col min="4121" max="4353" width="9" style="228"/>
    <col min="4354" max="4354" width="2.6" style="228" customWidth="1"/>
    <col min="4355" max="4355" width="12.9" style="228" customWidth="1"/>
    <col min="4356" max="4367" width="9" style="228" hidden="1" customWidth="1"/>
    <col min="4368" max="4372" width="13.4" style="228" customWidth="1"/>
    <col min="4373" max="4373" width="23.4" style="228" customWidth="1"/>
    <col min="4374" max="4375" width="9" style="228"/>
    <col min="4376" max="4376" width="11.1" style="228" customWidth="1"/>
    <col min="4377" max="4609" width="9" style="228"/>
    <col min="4610" max="4610" width="2.6" style="228" customWidth="1"/>
    <col min="4611" max="4611" width="12.9" style="228" customWidth="1"/>
    <col min="4612" max="4623" width="9" style="228" hidden="1" customWidth="1"/>
    <col min="4624" max="4628" width="13.4" style="228" customWidth="1"/>
    <col min="4629" max="4629" width="23.4" style="228" customWidth="1"/>
    <col min="4630" max="4631" width="9" style="228"/>
    <col min="4632" max="4632" width="11.1" style="228" customWidth="1"/>
    <col min="4633" max="4865" width="9" style="228"/>
    <col min="4866" max="4866" width="2.6" style="228" customWidth="1"/>
    <col min="4867" max="4867" width="12.9" style="228" customWidth="1"/>
    <col min="4868" max="4879" width="9" style="228" hidden="1" customWidth="1"/>
    <col min="4880" max="4884" width="13.4" style="228" customWidth="1"/>
    <col min="4885" max="4885" width="23.4" style="228" customWidth="1"/>
    <col min="4886" max="4887" width="9" style="228"/>
    <col min="4888" max="4888" width="11.1" style="228" customWidth="1"/>
    <col min="4889" max="5121" width="9" style="228"/>
    <col min="5122" max="5122" width="2.6" style="228" customWidth="1"/>
    <col min="5123" max="5123" width="12.9" style="228" customWidth="1"/>
    <col min="5124" max="5135" width="9" style="228" hidden="1" customWidth="1"/>
    <col min="5136" max="5140" width="13.4" style="228" customWidth="1"/>
    <col min="5141" max="5141" width="23.4" style="228" customWidth="1"/>
    <col min="5142" max="5143" width="9" style="228"/>
    <col min="5144" max="5144" width="11.1" style="228" customWidth="1"/>
    <col min="5145" max="5377" width="9" style="228"/>
    <col min="5378" max="5378" width="2.6" style="228" customWidth="1"/>
    <col min="5379" max="5379" width="12.9" style="228" customWidth="1"/>
    <col min="5380" max="5391" width="9" style="228" hidden="1" customWidth="1"/>
    <col min="5392" max="5396" width="13.4" style="228" customWidth="1"/>
    <col min="5397" max="5397" width="23.4" style="228" customWidth="1"/>
    <col min="5398" max="5399" width="9" style="228"/>
    <col min="5400" max="5400" width="11.1" style="228" customWidth="1"/>
    <col min="5401" max="5633" width="9" style="228"/>
    <col min="5634" max="5634" width="2.6" style="228" customWidth="1"/>
    <col min="5635" max="5635" width="12.9" style="228" customWidth="1"/>
    <col min="5636" max="5647" width="9" style="228" hidden="1" customWidth="1"/>
    <col min="5648" max="5652" width="13.4" style="228" customWidth="1"/>
    <col min="5653" max="5653" width="23.4" style="228" customWidth="1"/>
    <col min="5654" max="5655" width="9" style="228"/>
    <col min="5656" max="5656" width="11.1" style="228" customWidth="1"/>
    <col min="5657" max="5889" width="9" style="228"/>
    <col min="5890" max="5890" width="2.6" style="228" customWidth="1"/>
    <col min="5891" max="5891" width="12.9" style="228" customWidth="1"/>
    <col min="5892" max="5903" width="9" style="228" hidden="1" customWidth="1"/>
    <col min="5904" max="5908" width="13.4" style="228" customWidth="1"/>
    <col min="5909" max="5909" width="23.4" style="228" customWidth="1"/>
    <col min="5910" max="5911" width="9" style="228"/>
    <col min="5912" max="5912" width="11.1" style="228" customWidth="1"/>
    <col min="5913" max="6145" width="9" style="228"/>
    <col min="6146" max="6146" width="2.6" style="228" customWidth="1"/>
    <col min="6147" max="6147" width="12.9" style="228" customWidth="1"/>
    <col min="6148" max="6159" width="9" style="228" hidden="1" customWidth="1"/>
    <col min="6160" max="6164" width="13.4" style="228" customWidth="1"/>
    <col min="6165" max="6165" width="23.4" style="228" customWidth="1"/>
    <col min="6166" max="6167" width="9" style="228"/>
    <col min="6168" max="6168" width="11.1" style="228" customWidth="1"/>
    <col min="6169" max="6401" width="9" style="228"/>
    <col min="6402" max="6402" width="2.6" style="228" customWidth="1"/>
    <col min="6403" max="6403" width="12.9" style="228" customWidth="1"/>
    <col min="6404" max="6415" width="9" style="228" hidden="1" customWidth="1"/>
    <col min="6416" max="6420" width="13.4" style="228" customWidth="1"/>
    <col min="6421" max="6421" width="23.4" style="228" customWidth="1"/>
    <col min="6422" max="6423" width="9" style="228"/>
    <col min="6424" max="6424" width="11.1" style="228" customWidth="1"/>
    <col min="6425" max="6657" width="9" style="228"/>
    <col min="6658" max="6658" width="2.6" style="228" customWidth="1"/>
    <col min="6659" max="6659" width="12.9" style="228" customWidth="1"/>
    <col min="6660" max="6671" width="9" style="228" hidden="1" customWidth="1"/>
    <col min="6672" max="6676" width="13.4" style="228" customWidth="1"/>
    <col min="6677" max="6677" width="23.4" style="228" customWidth="1"/>
    <col min="6678" max="6679" width="9" style="228"/>
    <col min="6680" max="6680" width="11.1" style="228" customWidth="1"/>
    <col min="6681" max="6913" width="9" style="228"/>
    <col min="6914" max="6914" width="2.6" style="228" customWidth="1"/>
    <col min="6915" max="6915" width="12.9" style="228" customWidth="1"/>
    <col min="6916" max="6927" width="9" style="228" hidden="1" customWidth="1"/>
    <col min="6928" max="6932" width="13.4" style="228" customWidth="1"/>
    <col min="6933" max="6933" width="23.4" style="228" customWidth="1"/>
    <col min="6934" max="6935" width="9" style="228"/>
    <col min="6936" max="6936" width="11.1" style="228" customWidth="1"/>
    <col min="6937" max="7169" width="9" style="228"/>
    <col min="7170" max="7170" width="2.6" style="228" customWidth="1"/>
    <col min="7171" max="7171" width="12.9" style="228" customWidth="1"/>
    <col min="7172" max="7183" width="9" style="228" hidden="1" customWidth="1"/>
    <col min="7184" max="7188" width="13.4" style="228" customWidth="1"/>
    <col min="7189" max="7189" width="23.4" style="228" customWidth="1"/>
    <col min="7190" max="7191" width="9" style="228"/>
    <col min="7192" max="7192" width="11.1" style="228" customWidth="1"/>
    <col min="7193" max="7425" width="9" style="228"/>
    <col min="7426" max="7426" width="2.6" style="228" customWidth="1"/>
    <col min="7427" max="7427" width="12.9" style="228" customWidth="1"/>
    <col min="7428" max="7439" width="9" style="228" hidden="1" customWidth="1"/>
    <col min="7440" max="7444" width="13.4" style="228" customWidth="1"/>
    <col min="7445" max="7445" width="23.4" style="228" customWidth="1"/>
    <col min="7446" max="7447" width="9" style="228"/>
    <col min="7448" max="7448" width="11.1" style="228" customWidth="1"/>
    <col min="7449" max="7681" width="9" style="228"/>
    <col min="7682" max="7682" width="2.6" style="228" customWidth="1"/>
    <col min="7683" max="7683" width="12.9" style="228" customWidth="1"/>
    <col min="7684" max="7695" width="9" style="228" hidden="1" customWidth="1"/>
    <col min="7696" max="7700" width="13.4" style="228" customWidth="1"/>
    <col min="7701" max="7701" width="23.4" style="228" customWidth="1"/>
    <col min="7702" max="7703" width="9" style="228"/>
    <col min="7704" max="7704" width="11.1" style="228" customWidth="1"/>
    <col min="7705" max="7937" width="9" style="228"/>
    <col min="7938" max="7938" width="2.6" style="228" customWidth="1"/>
    <col min="7939" max="7939" width="12.9" style="228" customWidth="1"/>
    <col min="7940" max="7951" width="9" style="228" hidden="1" customWidth="1"/>
    <col min="7952" max="7956" width="13.4" style="228" customWidth="1"/>
    <col min="7957" max="7957" width="23.4" style="228" customWidth="1"/>
    <col min="7958" max="7959" width="9" style="228"/>
    <col min="7960" max="7960" width="11.1" style="228" customWidth="1"/>
    <col min="7961" max="8193" width="9" style="228"/>
    <col min="8194" max="8194" width="2.6" style="228" customWidth="1"/>
    <col min="8195" max="8195" width="12.9" style="228" customWidth="1"/>
    <col min="8196" max="8207" width="9" style="228" hidden="1" customWidth="1"/>
    <col min="8208" max="8212" width="13.4" style="228" customWidth="1"/>
    <col min="8213" max="8213" width="23.4" style="228" customWidth="1"/>
    <col min="8214" max="8215" width="9" style="228"/>
    <col min="8216" max="8216" width="11.1" style="228" customWidth="1"/>
    <col min="8217" max="8449" width="9" style="228"/>
    <col min="8450" max="8450" width="2.6" style="228" customWidth="1"/>
    <col min="8451" max="8451" width="12.9" style="228" customWidth="1"/>
    <col min="8452" max="8463" width="9" style="228" hidden="1" customWidth="1"/>
    <col min="8464" max="8468" width="13.4" style="228" customWidth="1"/>
    <col min="8469" max="8469" width="23.4" style="228" customWidth="1"/>
    <col min="8470" max="8471" width="9" style="228"/>
    <col min="8472" max="8472" width="11.1" style="228" customWidth="1"/>
    <col min="8473" max="8705" width="9" style="228"/>
    <col min="8706" max="8706" width="2.6" style="228" customWidth="1"/>
    <col min="8707" max="8707" width="12.9" style="228" customWidth="1"/>
    <col min="8708" max="8719" width="9" style="228" hidden="1" customWidth="1"/>
    <col min="8720" max="8724" width="13.4" style="228" customWidth="1"/>
    <col min="8725" max="8725" width="23.4" style="228" customWidth="1"/>
    <col min="8726" max="8727" width="9" style="228"/>
    <col min="8728" max="8728" width="11.1" style="228" customWidth="1"/>
    <col min="8729" max="8961" width="9" style="228"/>
    <col min="8962" max="8962" width="2.6" style="228" customWidth="1"/>
    <col min="8963" max="8963" width="12.9" style="228" customWidth="1"/>
    <col min="8964" max="8975" width="9" style="228" hidden="1" customWidth="1"/>
    <col min="8976" max="8980" width="13.4" style="228" customWidth="1"/>
    <col min="8981" max="8981" width="23.4" style="228" customWidth="1"/>
    <col min="8982" max="8983" width="9" style="228"/>
    <col min="8984" max="8984" width="11.1" style="228" customWidth="1"/>
    <col min="8985" max="9217" width="9" style="228"/>
    <col min="9218" max="9218" width="2.6" style="228" customWidth="1"/>
    <col min="9219" max="9219" width="12.9" style="228" customWidth="1"/>
    <col min="9220" max="9231" width="9" style="228" hidden="1" customWidth="1"/>
    <col min="9232" max="9236" width="13.4" style="228" customWidth="1"/>
    <col min="9237" max="9237" width="23.4" style="228" customWidth="1"/>
    <col min="9238" max="9239" width="9" style="228"/>
    <col min="9240" max="9240" width="11.1" style="228" customWidth="1"/>
    <col min="9241" max="9473" width="9" style="228"/>
    <col min="9474" max="9474" width="2.6" style="228" customWidth="1"/>
    <col min="9475" max="9475" width="12.9" style="228" customWidth="1"/>
    <col min="9476" max="9487" width="9" style="228" hidden="1" customWidth="1"/>
    <col min="9488" max="9492" width="13.4" style="228" customWidth="1"/>
    <col min="9493" max="9493" width="23.4" style="228" customWidth="1"/>
    <col min="9494" max="9495" width="9" style="228"/>
    <col min="9496" max="9496" width="11.1" style="228" customWidth="1"/>
    <col min="9497" max="9729" width="9" style="228"/>
    <col min="9730" max="9730" width="2.6" style="228" customWidth="1"/>
    <col min="9731" max="9731" width="12.9" style="228" customWidth="1"/>
    <col min="9732" max="9743" width="9" style="228" hidden="1" customWidth="1"/>
    <col min="9744" max="9748" width="13.4" style="228" customWidth="1"/>
    <col min="9749" max="9749" width="23.4" style="228" customWidth="1"/>
    <col min="9750" max="9751" width="9" style="228"/>
    <col min="9752" max="9752" width="11.1" style="228" customWidth="1"/>
    <col min="9753" max="9985" width="9" style="228"/>
    <col min="9986" max="9986" width="2.6" style="228" customWidth="1"/>
    <col min="9987" max="9987" width="12.9" style="228" customWidth="1"/>
    <col min="9988" max="9999" width="9" style="228" hidden="1" customWidth="1"/>
    <col min="10000" max="10004" width="13.4" style="228" customWidth="1"/>
    <col min="10005" max="10005" width="23.4" style="228" customWidth="1"/>
    <col min="10006" max="10007" width="9" style="228"/>
    <col min="10008" max="10008" width="11.1" style="228" customWidth="1"/>
    <col min="10009" max="10241" width="9" style="228"/>
    <col min="10242" max="10242" width="2.6" style="228" customWidth="1"/>
    <col min="10243" max="10243" width="12.9" style="228" customWidth="1"/>
    <col min="10244" max="10255" width="9" style="228" hidden="1" customWidth="1"/>
    <col min="10256" max="10260" width="13.4" style="228" customWidth="1"/>
    <col min="10261" max="10261" width="23.4" style="228" customWidth="1"/>
    <col min="10262" max="10263" width="9" style="228"/>
    <col min="10264" max="10264" width="11.1" style="228" customWidth="1"/>
    <col min="10265" max="10497" width="9" style="228"/>
    <col min="10498" max="10498" width="2.6" style="228" customWidth="1"/>
    <col min="10499" max="10499" width="12.9" style="228" customWidth="1"/>
    <col min="10500" max="10511" width="9" style="228" hidden="1" customWidth="1"/>
    <col min="10512" max="10516" width="13.4" style="228" customWidth="1"/>
    <col min="10517" max="10517" width="23.4" style="228" customWidth="1"/>
    <col min="10518" max="10519" width="9" style="228"/>
    <col min="10520" max="10520" width="11.1" style="228" customWidth="1"/>
    <col min="10521" max="10753" width="9" style="228"/>
    <col min="10754" max="10754" width="2.6" style="228" customWidth="1"/>
    <col min="10755" max="10755" width="12.9" style="228" customWidth="1"/>
    <col min="10756" max="10767" width="9" style="228" hidden="1" customWidth="1"/>
    <col min="10768" max="10772" width="13.4" style="228" customWidth="1"/>
    <col min="10773" max="10773" width="23.4" style="228" customWidth="1"/>
    <col min="10774" max="10775" width="9" style="228"/>
    <col min="10776" max="10776" width="11.1" style="228" customWidth="1"/>
    <col min="10777" max="11009" width="9" style="228"/>
    <col min="11010" max="11010" width="2.6" style="228" customWidth="1"/>
    <col min="11011" max="11011" width="12.9" style="228" customWidth="1"/>
    <col min="11012" max="11023" width="9" style="228" hidden="1" customWidth="1"/>
    <col min="11024" max="11028" width="13.4" style="228" customWidth="1"/>
    <col min="11029" max="11029" width="23.4" style="228" customWidth="1"/>
    <col min="11030" max="11031" width="9" style="228"/>
    <col min="11032" max="11032" width="11.1" style="228" customWidth="1"/>
    <col min="11033" max="11265" width="9" style="228"/>
    <col min="11266" max="11266" width="2.6" style="228" customWidth="1"/>
    <col min="11267" max="11267" width="12.9" style="228" customWidth="1"/>
    <col min="11268" max="11279" width="9" style="228" hidden="1" customWidth="1"/>
    <col min="11280" max="11284" width="13.4" style="228" customWidth="1"/>
    <col min="11285" max="11285" width="23.4" style="228" customWidth="1"/>
    <col min="11286" max="11287" width="9" style="228"/>
    <col min="11288" max="11288" width="11.1" style="228" customWidth="1"/>
    <col min="11289" max="11521" width="9" style="228"/>
    <col min="11522" max="11522" width="2.6" style="228" customWidth="1"/>
    <col min="11523" max="11523" width="12.9" style="228" customWidth="1"/>
    <col min="11524" max="11535" width="9" style="228" hidden="1" customWidth="1"/>
    <col min="11536" max="11540" width="13.4" style="228" customWidth="1"/>
    <col min="11541" max="11541" width="23.4" style="228" customWidth="1"/>
    <col min="11542" max="11543" width="9" style="228"/>
    <col min="11544" max="11544" width="11.1" style="228" customWidth="1"/>
    <col min="11545" max="11777" width="9" style="228"/>
    <col min="11778" max="11778" width="2.6" style="228" customWidth="1"/>
    <col min="11779" max="11779" width="12.9" style="228" customWidth="1"/>
    <col min="11780" max="11791" width="9" style="228" hidden="1" customWidth="1"/>
    <col min="11792" max="11796" width="13.4" style="228" customWidth="1"/>
    <col min="11797" max="11797" width="23.4" style="228" customWidth="1"/>
    <col min="11798" max="11799" width="9" style="228"/>
    <col min="11800" max="11800" width="11.1" style="228" customWidth="1"/>
    <col min="11801" max="12033" width="9" style="228"/>
    <col min="12034" max="12034" width="2.6" style="228" customWidth="1"/>
    <col min="12035" max="12035" width="12.9" style="228" customWidth="1"/>
    <col min="12036" max="12047" width="9" style="228" hidden="1" customWidth="1"/>
    <col min="12048" max="12052" width="13.4" style="228" customWidth="1"/>
    <col min="12053" max="12053" width="23.4" style="228" customWidth="1"/>
    <col min="12054" max="12055" width="9" style="228"/>
    <col min="12056" max="12056" width="11.1" style="228" customWidth="1"/>
    <col min="12057" max="12289" width="9" style="228"/>
    <col min="12290" max="12290" width="2.6" style="228" customWidth="1"/>
    <col min="12291" max="12291" width="12.9" style="228" customWidth="1"/>
    <col min="12292" max="12303" width="9" style="228" hidden="1" customWidth="1"/>
    <col min="12304" max="12308" width="13.4" style="228" customWidth="1"/>
    <col min="12309" max="12309" width="23.4" style="228" customWidth="1"/>
    <col min="12310" max="12311" width="9" style="228"/>
    <col min="12312" max="12312" width="11.1" style="228" customWidth="1"/>
    <col min="12313" max="12545" width="9" style="228"/>
    <col min="12546" max="12546" width="2.6" style="228" customWidth="1"/>
    <col min="12547" max="12547" width="12.9" style="228" customWidth="1"/>
    <col min="12548" max="12559" width="9" style="228" hidden="1" customWidth="1"/>
    <col min="12560" max="12564" width="13.4" style="228" customWidth="1"/>
    <col min="12565" max="12565" width="23.4" style="228" customWidth="1"/>
    <col min="12566" max="12567" width="9" style="228"/>
    <col min="12568" max="12568" width="11.1" style="228" customWidth="1"/>
    <col min="12569" max="12801" width="9" style="228"/>
    <col min="12802" max="12802" width="2.6" style="228" customWidth="1"/>
    <col min="12803" max="12803" width="12.9" style="228" customWidth="1"/>
    <col min="12804" max="12815" width="9" style="228" hidden="1" customWidth="1"/>
    <col min="12816" max="12820" width="13.4" style="228" customWidth="1"/>
    <col min="12821" max="12821" width="23.4" style="228" customWidth="1"/>
    <col min="12822" max="12823" width="9" style="228"/>
    <col min="12824" max="12824" width="11.1" style="228" customWidth="1"/>
    <col min="12825" max="13057" width="9" style="228"/>
    <col min="13058" max="13058" width="2.6" style="228" customWidth="1"/>
    <col min="13059" max="13059" width="12.9" style="228" customWidth="1"/>
    <col min="13060" max="13071" width="9" style="228" hidden="1" customWidth="1"/>
    <col min="13072" max="13076" width="13.4" style="228" customWidth="1"/>
    <col min="13077" max="13077" width="23.4" style="228" customWidth="1"/>
    <col min="13078" max="13079" width="9" style="228"/>
    <col min="13080" max="13080" width="11.1" style="228" customWidth="1"/>
    <col min="13081" max="13313" width="9" style="228"/>
    <col min="13314" max="13314" width="2.6" style="228" customWidth="1"/>
    <col min="13315" max="13315" width="12.9" style="228" customWidth="1"/>
    <col min="13316" max="13327" width="9" style="228" hidden="1" customWidth="1"/>
    <col min="13328" max="13332" width="13.4" style="228" customWidth="1"/>
    <col min="13333" max="13333" width="23.4" style="228" customWidth="1"/>
    <col min="13334" max="13335" width="9" style="228"/>
    <col min="13336" max="13336" width="11.1" style="228" customWidth="1"/>
    <col min="13337" max="13569" width="9" style="228"/>
    <col min="13570" max="13570" width="2.6" style="228" customWidth="1"/>
    <col min="13571" max="13571" width="12.9" style="228" customWidth="1"/>
    <col min="13572" max="13583" width="9" style="228" hidden="1" customWidth="1"/>
    <col min="13584" max="13588" width="13.4" style="228" customWidth="1"/>
    <col min="13589" max="13589" width="23.4" style="228" customWidth="1"/>
    <col min="13590" max="13591" width="9" style="228"/>
    <col min="13592" max="13592" width="11.1" style="228" customWidth="1"/>
    <col min="13593" max="13825" width="9" style="228"/>
    <col min="13826" max="13826" width="2.6" style="228" customWidth="1"/>
    <col min="13827" max="13827" width="12.9" style="228" customWidth="1"/>
    <col min="13828" max="13839" width="9" style="228" hidden="1" customWidth="1"/>
    <col min="13840" max="13844" width="13.4" style="228" customWidth="1"/>
    <col min="13845" max="13845" width="23.4" style="228" customWidth="1"/>
    <col min="13846" max="13847" width="9" style="228"/>
    <col min="13848" max="13848" width="11.1" style="228" customWidth="1"/>
    <col min="13849" max="14081" width="9" style="228"/>
    <col min="14082" max="14082" width="2.6" style="228" customWidth="1"/>
    <col min="14083" max="14083" width="12.9" style="228" customWidth="1"/>
    <col min="14084" max="14095" width="9" style="228" hidden="1" customWidth="1"/>
    <col min="14096" max="14100" width="13.4" style="228" customWidth="1"/>
    <col min="14101" max="14101" width="23.4" style="228" customWidth="1"/>
    <col min="14102" max="14103" width="9" style="228"/>
    <col min="14104" max="14104" width="11.1" style="228" customWidth="1"/>
    <col min="14105" max="14337" width="9" style="228"/>
    <col min="14338" max="14338" width="2.6" style="228" customWidth="1"/>
    <col min="14339" max="14339" width="12.9" style="228" customWidth="1"/>
    <col min="14340" max="14351" width="9" style="228" hidden="1" customWidth="1"/>
    <col min="14352" max="14356" width="13.4" style="228" customWidth="1"/>
    <col min="14357" max="14357" width="23.4" style="228" customWidth="1"/>
    <col min="14358" max="14359" width="9" style="228"/>
    <col min="14360" max="14360" width="11.1" style="228" customWidth="1"/>
    <col min="14361" max="14593" width="9" style="228"/>
    <col min="14594" max="14594" width="2.6" style="228" customWidth="1"/>
    <col min="14595" max="14595" width="12.9" style="228" customWidth="1"/>
    <col min="14596" max="14607" width="9" style="228" hidden="1" customWidth="1"/>
    <col min="14608" max="14612" width="13.4" style="228" customWidth="1"/>
    <col min="14613" max="14613" width="23.4" style="228" customWidth="1"/>
    <col min="14614" max="14615" width="9" style="228"/>
    <col min="14616" max="14616" width="11.1" style="228" customWidth="1"/>
    <col min="14617" max="14849" width="9" style="228"/>
    <col min="14850" max="14850" width="2.6" style="228" customWidth="1"/>
    <col min="14851" max="14851" width="12.9" style="228" customWidth="1"/>
    <col min="14852" max="14863" width="9" style="228" hidden="1" customWidth="1"/>
    <col min="14864" max="14868" width="13.4" style="228" customWidth="1"/>
    <col min="14869" max="14869" width="23.4" style="228" customWidth="1"/>
    <col min="14870" max="14871" width="9" style="228"/>
    <col min="14872" max="14872" width="11.1" style="228" customWidth="1"/>
    <col min="14873" max="15105" width="9" style="228"/>
    <col min="15106" max="15106" width="2.6" style="228" customWidth="1"/>
    <col min="15107" max="15107" width="12.9" style="228" customWidth="1"/>
    <col min="15108" max="15119" width="9" style="228" hidden="1" customWidth="1"/>
    <col min="15120" max="15124" width="13.4" style="228" customWidth="1"/>
    <col min="15125" max="15125" width="23.4" style="228" customWidth="1"/>
    <col min="15126" max="15127" width="9" style="228"/>
    <col min="15128" max="15128" width="11.1" style="228" customWidth="1"/>
    <col min="15129" max="15361" width="9" style="228"/>
    <col min="15362" max="15362" width="2.6" style="228" customWidth="1"/>
    <col min="15363" max="15363" width="12.9" style="228" customWidth="1"/>
    <col min="15364" max="15375" width="9" style="228" hidden="1" customWidth="1"/>
    <col min="15376" max="15380" width="13.4" style="228" customWidth="1"/>
    <col min="15381" max="15381" width="23.4" style="228" customWidth="1"/>
    <col min="15382" max="15383" width="9" style="228"/>
    <col min="15384" max="15384" width="11.1" style="228" customWidth="1"/>
    <col min="15385" max="15617" width="9" style="228"/>
    <col min="15618" max="15618" width="2.6" style="228" customWidth="1"/>
    <col min="15619" max="15619" width="12.9" style="228" customWidth="1"/>
    <col min="15620" max="15631" width="9" style="228" hidden="1" customWidth="1"/>
    <col min="15632" max="15636" width="13.4" style="228" customWidth="1"/>
    <col min="15637" max="15637" width="23.4" style="228" customWidth="1"/>
    <col min="15638" max="15639" width="9" style="228"/>
    <col min="15640" max="15640" width="11.1" style="228" customWidth="1"/>
    <col min="15641" max="15873" width="9" style="228"/>
    <col min="15874" max="15874" width="2.6" style="228" customWidth="1"/>
    <col min="15875" max="15875" width="12.9" style="228" customWidth="1"/>
    <col min="15876" max="15887" width="9" style="228" hidden="1" customWidth="1"/>
    <col min="15888" max="15892" width="13.4" style="228" customWidth="1"/>
    <col min="15893" max="15893" width="23.4" style="228" customWidth="1"/>
    <col min="15894" max="15895" width="9" style="228"/>
    <col min="15896" max="15896" width="11.1" style="228" customWidth="1"/>
    <col min="15897" max="16129" width="9" style="228"/>
    <col min="16130" max="16130" width="2.6" style="228" customWidth="1"/>
    <col min="16131" max="16131" width="12.9" style="228" customWidth="1"/>
    <col min="16132" max="16143" width="9" style="228" hidden="1" customWidth="1"/>
    <col min="16144" max="16148" width="13.4" style="228" customWidth="1"/>
    <col min="16149" max="16149" width="23.4" style="228" customWidth="1"/>
    <col min="16150" max="16151" width="9" style="228"/>
    <col min="16152" max="16152" width="11.1" style="228" customWidth="1"/>
    <col min="16153" max="16384" width="9" style="228"/>
  </cols>
  <sheetData>
    <row r="1" s="188" customFormat="1" ht="20.25" spans="1:21">
      <c r="A1" s="229"/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328" t="s">
        <v>1230</v>
      </c>
      <c r="N1" s="329"/>
      <c r="O1" s="231" t="s">
        <v>378</v>
      </c>
      <c r="P1" s="231"/>
      <c r="Q1" s="231"/>
      <c r="R1" s="231"/>
      <c r="S1" s="231"/>
      <c r="T1" s="231"/>
      <c r="U1" s="247"/>
    </row>
    <row r="2" s="188" customFormat="1" spans="1:22">
      <c r="A2" s="232"/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V2" s="248"/>
    </row>
    <row r="3" s="227" customFormat="1" ht="17.25" spans="1:23">
      <c r="A3" s="233" t="s">
        <v>1231</v>
      </c>
      <c r="B3" s="233"/>
      <c r="C3" s="314"/>
      <c r="D3" s="314"/>
      <c r="E3" s="232"/>
      <c r="F3" s="314"/>
      <c r="G3" s="314"/>
      <c r="H3" s="314"/>
      <c r="I3" s="314"/>
      <c r="J3" s="330" t="s">
        <v>1232</v>
      </c>
      <c r="K3" s="331"/>
      <c r="L3" s="331"/>
      <c r="M3" s="331"/>
      <c r="N3" s="331"/>
      <c r="U3" s="247"/>
      <c r="V3" s="249"/>
      <c r="W3" s="250"/>
    </row>
    <row r="4" s="227" customFormat="1" ht="21" customHeight="1" spans="1:21">
      <c r="A4" s="315" t="s">
        <v>29</v>
      </c>
      <c r="B4" s="235" t="s">
        <v>195</v>
      </c>
      <c r="C4" s="235" t="s">
        <v>1233</v>
      </c>
      <c r="D4" s="235"/>
      <c r="E4" s="235" t="s">
        <v>1233</v>
      </c>
      <c r="F4" s="235"/>
      <c r="G4" s="235" t="s">
        <v>1233</v>
      </c>
      <c r="H4" s="235"/>
      <c r="I4" s="235" t="s">
        <v>1233</v>
      </c>
      <c r="J4" s="235"/>
      <c r="K4" s="235" t="s">
        <v>1233</v>
      </c>
      <c r="L4" s="235"/>
      <c r="M4" s="235" t="s">
        <v>1234</v>
      </c>
      <c r="N4" s="332" t="s">
        <v>1092</v>
      </c>
      <c r="O4" s="236" t="s">
        <v>247</v>
      </c>
      <c r="P4" s="235" t="s">
        <v>248</v>
      </c>
      <c r="Q4" s="235" t="s">
        <v>249</v>
      </c>
      <c r="R4" s="235" t="s">
        <v>250</v>
      </c>
      <c r="S4" s="235" t="s">
        <v>251</v>
      </c>
      <c r="T4" s="235" t="s">
        <v>1218</v>
      </c>
      <c r="U4" s="344" t="s">
        <v>1235</v>
      </c>
    </row>
    <row r="5" s="227" customFormat="1" ht="12" hidden="1" customHeight="1" spans="1:21">
      <c r="A5" s="316"/>
      <c r="B5" s="238"/>
      <c r="C5" s="238" t="s">
        <v>226</v>
      </c>
      <c r="D5" s="238" t="s">
        <v>1236</v>
      </c>
      <c r="E5" s="238" t="s">
        <v>226</v>
      </c>
      <c r="F5" s="238" t="s">
        <v>1236</v>
      </c>
      <c r="G5" s="238" t="s">
        <v>226</v>
      </c>
      <c r="H5" s="238" t="s">
        <v>1236</v>
      </c>
      <c r="I5" s="238" t="s">
        <v>226</v>
      </c>
      <c r="J5" s="238" t="s">
        <v>1236</v>
      </c>
      <c r="K5" s="238" t="s">
        <v>226</v>
      </c>
      <c r="L5" s="238" t="s">
        <v>1236</v>
      </c>
      <c r="M5" s="238"/>
      <c r="N5" s="333"/>
      <c r="O5" s="238" t="s">
        <v>226</v>
      </c>
      <c r="P5" s="238" t="s">
        <v>226</v>
      </c>
      <c r="Q5" s="238" t="s">
        <v>226</v>
      </c>
      <c r="R5" s="238" t="s">
        <v>226</v>
      </c>
      <c r="S5" s="238" t="s">
        <v>226</v>
      </c>
      <c r="T5" s="238" t="s">
        <v>226</v>
      </c>
      <c r="U5" s="345"/>
    </row>
    <row r="6" s="227" customFormat="1" ht="12" hidden="1" customHeight="1" spans="1:21">
      <c r="A6" s="316"/>
      <c r="B6" s="238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333"/>
      <c r="O6" s="238"/>
      <c r="P6" s="238"/>
      <c r="Q6" s="238"/>
      <c r="R6" s="238"/>
      <c r="S6" s="238"/>
      <c r="T6" s="238"/>
      <c r="U6" s="345"/>
    </row>
    <row r="7" s="227" customFormat="1" ht="12" spans="1:21">
      <c r="A7" s="316">
        <v>1</v>
      </c>
      <c r="B7" s="317" t="s">
        <v>1237</v>
      </c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334"/>
      <c r="N7" s="334"/>
      <c r="O7" s="335">
        <f>人员费用表!B23</f>
        <v>18</v>
      </c>
      <c r="P7" s="335">
        <f>人员费用表!C23</f>
        <v>18.9</v>
      </c>
      <c r="Q7" s="335">
        <f>人员费用表!D23</f>
        <v>19.845</v>
      </c>
      <c r="R7" s="335">
        <f>人员费用表!E23</f>
        <v>20.83725</v>
      </c>
      <c r="S7" s="335">
        <f>人员费用表!F23</f>
        <v>21.8791125</v>
      </c>
      <c r="T7" s="335">
        <f>人员费用表!G23</f>
        <v>21.8791125</v>
      </c>
      <c r="U7" s="346"/>
    </row>
    <row r="8" s="227" customFormat="1" ht="12" spans="1:22">
      <c r="A8" s="316">
        <v>2</v>
      </c>
      <c r="B8" s="317" t="s">
        <v>1238</v>
      </c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334"/>
      <c r="N8" s="334"/>
      <c r="O8" s="335">
        <f>人员费用表!B6*$V$8</f>
        <v>12</v>
      </c>
      <c r="P8" s="335">
        <f>人员费用表!C6*$V$8</f>
        <v>12</v>
      </c>
      <c r="Q8" s="335">
        <f>人员费用表!D6*$V$8</f>
        <v>12</v>
      </c>
      <c r="R8" s="335">
        <f>人员费用表!E6*$V$8</f>
        <v>12</v>
      </c>
      <c r="S8" s="335">
        <f>人员费用表!F6*$V$8</f>
        <v>12</v>
      </c>
      <c r="T8" s="335">
        <f>人员费用表!G6*$V$8</f>
        <v>12</v>
      </c>
      <c r="U8" s="347" t="s">
        <v>1239</v>
      </c>
      <c r="V8" s="335">
        <v>2</v>
      </c>
    </row>
    <row r="9" s="227" customFormat="1" ht="12" spans="1:22">
      <c r="A9" s="316">
        <v>3</v>
      </c>
      <c r="B9" s="317" t="s">
        <v>1240</v>
      </c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334"/>
      <c r="N9" s="334"/>
      <c r="O9" s="335">
        <f>收入预测表!C9*销售费用!$V$9</f>
        <v>13.75585</v>
      </c>
      <c r="P9" s="335">
        <f>收入预测表!D9*销售费用!$V$9</f>
        <v>16.50702</v>
      </c>
      <c r="Q9" s="335">
        <f>收入预测表!E9*销售费用!$V$9</f>
        <v>19.4782836</v>
      </c>
      <c r="R9" s="335">
        <f>收入预测表!F9*销售费用!$V$9</f>
        <v>22.40002614</v>
      </c>
      <c r="S9" s="335">
        <f>收入预测表!G9*销售费用!$V$9</f>
        <v>24.640028754</v>
      </c>
      <c r="T9" s="335">
        <f>收入预测表!H9*销售费用!$V$9</f>
        <v>24.640028754</v>
      </c>
      <c r="U9" s="347" t="s">
        <v>1241</v>
      </c>
      <c r="V9" s="255">
        <v>0.005</v>
      </c>
    </row>
    <row r="10" s="227" customFormat="1" ht="12" spans="1:22">
      <c r="A10" s="316">
        <v>4</v>
      </c>
      <c r="B10" s="242" t="s">
        <v>1242</v>
      </c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36"/>
      <c r="N10" s="336"/>
      <c r="O10" s="335">
        <f>收入预测表!C9*销售费用!$V$10</f>
        <v>5.50234</v>
      </c>
      <c r="P10" s="335">
        <f>收入预测表!D9*销售费用!$V$10</f>
        <v>6.602808</v>
      </c>
      <c r="Q10" s="335">
        <f>收入预测表!E9*销售费用!$V$10</f>
        <v>7.79131344</v>
      </c>
      <c r="R10" s="335">
        <f>收入预测表!F9*销售费用!$V$10</f>
        <v>8.960010456</v>
      </c>
      <c r="S10" s="335">
        <f>收入预测表!G9*销售费用!$V$10</f>
        <v>9.8560115016</v>
      </c>
      <c r="T10" s="335">
        <f>收入预测表!H9*销售费用!$V$10</f>
        <v>9.8560115016</v>
      </c>
      <c r="U10" s="347" t="s">
        <v>1243</v>
      </c>
      <c r="V10" s="255">
        <v>0.002</v>
      </c>
    </row>
    <row r="11" s="227" customFormat="1" ht="12" hidden="1" spans="1:21">
      <c r="A11" s="316"/>
      <c r="B11" s="242"/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36"/>
      <c r="N11" s="336"/>
      <c r="O11" s="335">
        <f>收入预测表!C12*销售费用!$V$8</f>
        <v>0</v>
      </c>
      <c r="P11" s="337"/>
      <c r="Q11" s="337"/>
      <c r="R11" s="337"/>
      <c r="S11" s="337"/>
      <c r="T11" s="337"/>
      <c r="U11" s="348"/>
    </row>
    <row r="12" s="227" customFormat="1" ht="12" hidden="1" spans="1:21">
      <c r="A12" s="319"/>
      <c r="B12" s="242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36"/>
      <c r="N12" s="336"/>
      <c r="O12" s="335">
        <f>收入预测表!C13*销售费用!$V$8</f>
        <v>0</v>
      </c>
      <c r="P12" s="337"/>
      <c r="Q12" s="337"/>
      <c r="R12" s="337"/>
      <c r="S12" s="337"/>
      <c r="T12" s="337"/>
      <c r="U12" s="348"/>
    </row>
    <row r="13" s="227" customFormat="1" ht="12" hidden="1" spans="1:21">
      <c r="A13" s="319"/>
      <c r="B13" s="242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36"/>
      <c r="N13" s="336"/>
      <c r="O13" s="335">
        <f>收入预测表!C14*销售费用!$V$8</f>
        <v>0</v>
      </c>
      <c r="P13" s="337"/>
      <c r="Q13" s="337"/>
      <c r="R13" s="337"/>
      <c r="S13" s="337"/>
      <c r="T13" s="337"/>
      <c r="U13" s="348"/>
    </row>
    <row r="14" s="227" customFormat="1" ht="12" hidden="1" spans="1:21">
      <c r="A14" s="319"/>
      <c r="B14" s="242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36"/>
      <c r="N14" s="336"/>
      <c r="O14" s="335">
        <f>收入预测表!C15*销售费用!$V$8</f>
        <v>0</v>
      </c>
      <c r="P14" s="337"/>
      <c r="Q14" s="337"/>
      <c r="R14" s="337"/>
      <c r="S14" s="337"/>
      <c r="T14" s="337"/>
      <c r="U14" s="348"/>
    </row>
    <row r="15" s="227" customFormat="1" ht="12.75" spans="1:21">
      <c r="A15" s="320"/>
      <c r="B15" s="245" t="s">
        <v>157</v>
      </c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38"/>
      <c r="N15" s="338"/>
      <c r="O15" s="339">
        <f>SUM(O7:O14)</f>
        <v>49.25819</v>
      </c>
      <c r="P15" s="339">
        <f t="shared" ref="P15:T15" si="0">SUM(P7:P14)</f>
        <v>54.009828</v>
      </c>
      <c r="Q15" s="339">
        <f t="shared" si="0"/>
        <v>59.11459704</v>
      </c>
      <c r="R15" s="339">
        <f t="shared" si="0"/>
        <v>64.197286596</v>
      </c>
      <c r="S15" s="339">
        <f t="shared" si="0"/>
        <v>68.3751527556</v>
      </c>
      <c r="T15" s="339">
        <f t="shared" si="0"/>
        <v>68.3751527556</v>
      </c>
      <c r="U15" s="349"/>
    </row>
    <row r="16" spans="1:12">
      <c r="A16" s="322"/>
      <c r="B16" s="322"/>
      <c r="C16" s="323"/>
      <c r="D16" s="322"/>
      <c r="E16" s="322"/>
      <c r="F16" s="324" t="s">
        <v>1244</v>
      </c>
      <c r="G16" s="324"/>
      <c r="I16" s="322"/>
      <c r="L16" s="340"/>
    </row>
    <row r="17" spans="1:20">
      <c r="A17" s="322"/>
      <c r="B17" s="322"/>
      <c r="C17" s="323"/>
      <c r="D17" s="322"/>
      <c r="E17" s="322"/>
      <c r="F17" s="324"/>
      <c r="G17" s="324"/>
      <c r="I17" s="322"/>
      <c r="L17" s="340"/>
      <c r="O17" s="341">
        <f>O15/收入预测表!C9</f>
        <v>0.0179044515606088</v>
      </c>
      <c r="P17" s="341">
        <f>P15/收入预测表!D9</f>
        <v>0.0163596542561892</v>
      </c>
      <c r="Q17" s="341">
        <f>Q15/收入预测表!E9</f>
        <v>0.0151744882285213</v>
      </c>
      <c r="R17" s="341">
        <f>R15/收入预测表!F9</f>
        <v>0.0143297347500328</v>
      </c>
      <c r="S17" s="341">
        <f>S15/收入预测表!G9</f>
        <v>0.0138748118839959</v>
      </c>
      <c r="T17" s="341">
        <f>T15/收入预测表!H9</f>
        <v>0.0138748118839959</v>
      </c>
    </row>
    <row r="18" spans="1:12">
      <c r="A18" s="322"/>
      <c r="B18" s="322"/>
      <c r="C18" s="323"/>
      <c r="D18" s="322"/>
      <c r="E18" s="322"/>
      <c r="F18" s="324"/>
      <c r="G18" s="324"/>
      <c r="I18" s="322"/>
      <c r="L18" s="340"/>
    </row>
    <row r="20" s="313" customFormat="1" ht="11.25" hidden="1" spans="16:16">
      <c r="P20" s="342"/>
    </row>
    <row r="21" s="313" customFormat="1" ht="11.25" hidden="1"/>
    <row r="22" s="313" customFormat="1" ht="11.25" hidden="1" spans="19:20">
      <c r="S22" s="313" t="s">
        <v>1245</v>
      </c>
      <c r="T22" s="350">
        <v>0.3</v>
      </c>
    </row>
    <row r="23" s="313" customFormat="1" ht="11.25" hidden="1" spans="19:19">
      <c r="S23" s="313" t="s">
        <v>1246</v>
      </c>
    </row>
    <row r="24" s="313" customFormat="1" ht="11.25" hidden="1"/>
    <row r="25" s="313" customFormat="1" ht="18" hidden="1" customHeight="1" spans="2:20">
      <c r="B25" s="325" t="s">
        <v>1247</v>
      </c>
      <c r="C25" s="325"/>
      <c r="D25" s="325"/>
      <c r="E25" s="325"/>
      <c r="F25" s="325"/>
      <c r="G25" s="325"/>
      <c r="H25" s="325"/>
      <c r="I25" s="325"/>
      <c r="J25" s="325"/>
      <c r="K25" s="325"/>
      <c r="L25" s="325"/>
      <c r="M25" s="325"/>
      <c r="N25" s="325"/>
      <c r="O25" s="325"/>
      <c r="P25" s="325" t="s">
        <v>1248</v>
      </c>
      <c r="Q25" s="325"/>
      <c r="R25" s="325" t="s">
        <v>1249</v>
      </c>
      <c r="S25" s="325"/>
      <c r="T25" s="325" t="s">
        <v>1250</v>
      </c>
    </row>
    <row r="26" s="313" customFormat="1" ht="18" hidden="1" customHeight="1" spans="2:20">
      <c r="B26" s="325"/>
      <c r="C26" s="325"/>
      <c r="D26" s="325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 t="s">
        <v>162</v>
      </c>
      <c r="Q26" s="325" t="s">
        <v>1251</v>
      </c>
      <c r="R26" s="325" t="s">
        <v>162</v>
      </c>
      <c r="S26" s="325" t="s">
        <v>1251</v>
      </c>
      <c r="T26" s="325" t="s">
        <v>162</v>
      </c>
    </row>
    <row r="27" s="313" customFormat="1" ht="18" hidden="1" customHeight="1" spans="2:20">
      <c r="B27" s="326" t="s">
        <v>248</v>
      </c>
      <c r="O27" s="326">
        <v>108758.885454545</v>
      </c>
      <c r="P27" s="343">
        <v>0.3</v>
      </c>
      <c r="Q27" s="327">
        <v>32627.6656363636</v>
      </c>
      <c r="R27" s="343">
        <v>0.3</v>
      </c>
      <c r="S27" s="327">
        <v>9788.29969090909</v>
      </c>
      <c r="T27" s="327"/>
    </row>
    <row r="28" s="313" customFormat="1" ht="18" hidden="1" customHeight="1" spans="2:20">
      <c r="B28" s="327" t="s">
        <v>249</v>
      </c>
      <c r="O28" s="327"/>
      <c r="P28" s="343">
        <v>0.5</v>
      </c>
      <c r="Q28" s="327">
        <v>54379.4427272727</v>
      </c>
      <c r="R28" s="343">
        <v>0.3</v>
      </c>
      <c r="S28" s="327">
        <v>16313.8328181818</v>
      </c>
      <c r="T28" s="343">
        <v>0.7</v>
      </c>
    </row>
    <row r="29" s="313" customFormat="1" ht="18" hidden="1" customHeight="1" spans="2:20">
      <c r="B29" s="327" t="s">
        <v>250</v>
      </c>
      <c r="O29" s="327"/>
      <c r="P29" s="343">
        <v>0.2</v>
      </c>
      <c r="Q29" s="327">
        <v>21751.7770909091</v>
      </c>
      <c r="R29" s="343">
        <v>0.3</v>
      </c>
      <c r="S29" s="327">
        <v>6525.53312727273</v>
      </c>
      <c r="T29" s="343">
        <v>0.3</v>
      </c>
    </row>
    <row r="30" s="313" customFormat="1" ht="18" hidden="1" customHeight="1" spans="2:20">
      <c r="B30" s="327" t="s">
        <v>251</v>
      </c>
      <c r="O30" s="327"/>
      <c r="P30" s="327"/>
      <c r="Q30" s="327"/>
      <c r="R30" s="327"/>
      <c r="S30" s="327"/>
      <c r="T30" s="327"/>
    </row>
    <row r="31" s="313" customFormat="1" ht="18" hidden="1" customHeight="1" spans="2:20">
      <c r="B31" s="327" t="s">
        <v>1218</v>
      </c>
      <c r="O31" s="327"/>
      <c r="P31" s="327"/>
      <c r="Q31" s="327"/>
      <c r="R31" s="327"/>
      <c r="S31" s="327"/>
      <c r="T31" s="327"/>
    </row>
    <row r="32" s="313" customFormat="1" ht="18.75" hidden="1" customHeight="1" spans="2:20">
      <c r="B32" s="325" t="s">
        <v>1252</v>
      </c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 t="s">
        <v>1248</v>
      </c>
      <c r="Q32" s="325"/>
      <c r="R32" s="325" t="s">
        <v>1249</v>
      </c>
      <c r="S32" s="325"/>
      <c r="T32" s="325" t="s">
        <v>1253</v>
      </c>
    </row>
    <row r="33" s="313" customFormat="1" ht="18.75" hidden="1" customHeight="1" spans="2:20"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 t="s">
        <v>162</v>
      </c>
      <c r="Q33" s="325" t="s">
        <v>1251</v>
      </c>
      <c r="R33" s="325" t="s">
        <v>162</v>
      </c>
      <c r="S33" s="325" t="s">
        <v>1251</v>
      </c>
      <c r="T33" s="325" t="s">
        <v>162</v>
      </c>
    </row>
    <row r="34" s="313" customFormat="1" ht="18.75" hidden="1" customHeight="1" spans="2:20">
      <c r="B34" s="326" t="s">
        <v>250</v>
      </c>
      <c r="O34" s="326">
        <v>43968.0045454545</v>
      </c>
      <c r="P34" s="343">
        <v>0.6</v>
      </c>
      <c r="Q34" s="327">
        <v>26380.8027272727</v>
      </c>
      <c r="R34" s="343">
        <v>0.5</v>
      </c>
      <c r="S34" s="327">
        <v>13190.4013636364</v>
      </c>
      <c r="T34" s="343">
        <v>0.5</v>
      </c>
    </row>
    <row r="35" s="313" customFormat="1" ht="18.75" hidden="1" customHeight="1" spans="2:20">
      <c r="B35" s="326" t="s">
        <v>251</v>
      </c>
      <c r="O35" s="327"/>
      <c r="P35" s="343">
        <v>0.3</v>
      </c>
      <c r="Q35" s="327">
        <v>13190.4013636364</v>
      </c>
      <c r="R35" s="343">
        <v>0.5</v>
      </c>
      <c r="S35" s="327">
        <v>6595.20068181818</v>
      </c>
      <c r="T35" s="343">
        <v>0.5</v>
      </c>
    </row>
    <row r="36" s="313" customFormat="1" ht="18.75" hidden="1" customHeight="1" spans="2:20">
      <c r="B36" s="326" t="s">
        <v>1218</v>
      </c>
      <c r="O36" s="327"/>
      <c r="P36" s="343">
        <v>0.1</v>
      </c>
      <c r="Q36" s="327">
        <v>4396.80045454545</v>
      </c>
      <c r="R36" s="343">
        <v>0.5</v>
      </c>
      <c r="S36" s="327">
        <v>2198.40022727273</v>
      </c>
      <c r="T36" s="327"/>
    </row>
    <row r="37" s="313" customFormat="1" ht="18.75" hidden="1" customHeight="1" spans="2:20">
      <c r="B37" s="326" t="s">
        <v>1254</v>
      </c>
      <c r="O37" s="327"/>
      <c r="P37" s="327"/>
      <c r="Q37" s="327"/>
      <c r="R37" s="327"/>
      <c r="S37" s="327"/>
      <c r="T37" s="327"/>
    </row>
    <row r="38" s="313" customFormat="1" ht="11.25" hidden="1"/>
    <row r="39" s="313" customFormat="1" ht="11.25" hidden="1" spans="15:15">
      <c r="O39" s="313">
        <f>O27+O34</f>
        <v>152726.889999999</v>
      </c>
    </row>
    <row r="40" s="313" customFormat="1" ht="11.25" hidden="1"/>
    <row r="41" hidden="1"/>
  </sheetData>
  <mergeCells count="43">
    <mergeCell ref="A1:L1"/>
    <mergeCell ref="M1:N1"/>
    <mergeCell ref="O1:S1"/>
    <mergeCell ref="A2:N2"/>
    <mergeCell ref="O2:S2"/>
    <mergeCell ref="A3:D3"/>
    <mergeCell ref="F3:I3"/>
    <mergeCell ref="J3:N3"/>
    <mergeCell ref="C4:D4"/>
    <mergeCell ref="E4:F4"/>
    <mergeCell ref="G4:H4"/>
    <mergeCell ref="I4:J4"/>
    <mergeCell ref="K4:L4"/>
    <mergeCell ref="A16:C16"/>
    <mergeCell ref="F16:G16"/>
    <mergeCell ref="L16:P16"/>
    <mergeCell ref="P25:Q25"/>
    <mergeCell ref="R25:S25"/>
    <mergeCell ref="P32:Q32"/>
    <mergeCell ref="R32:S32"/>
    <mergeCell ref="A4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4:M6"/>
    <mergeCell ref="N4:N6"/>
    <mergeCell ref="O5:O6"/>
    <mergeCell ref="P5:P6"/>
    <mergeCell ref="Q5:Q6"/>
    <mergeCell ref="R5:R6"/>
    <mergeCell ref="S5:S6"/>
    <mergeCell ref="T5:T6"/>
    <mergeCell ref="U4:U6"/>
    <mergeCell ref="B32:O33"/>
    <mergeCell ref="B25:O26"/>
  </mergeCells>
  <pageMargins left="0.699305555555556" right="0.699305555555556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M60"/>
  <sheetViews>
    <sheetView topLeftCell="A47" workbookViewId="0">
      <selection activeCell="F10" sqref="F10"/>
    </sheetView>
  </sheetViews>
  <sheetFormatPr defaultColWidth="9" defaultRowHeight="14.25"/>
  <cols>
    <col min="1" max="1" width="5.5" style="261" customWidth="1"/>
    <col min="2" max="2" width="18.3" style="262" customWidth="1"/>
    <col min="3" max="3" width="11.7" style="262" customWidth="1"/>
    <col min="4" max="4" width="11.1" style="262" customWidth="1"/>
    <col min="5" max="8" width="7.7" style="262" customWidth="1"/>
    <col min="9" max="11" width="7.2" style="262" customWidth="1"/>
    <col min="12" max="16384" width="9" style="262"/>
  </cols>
  <sheetData>
    <row r="1" s="258" customFormat="1" ht="20.25" spans="1:5">
      <c r="A1" s="263" t="s">
        <v>1255</v>
      </c>
      <c r="B1" s="263"/>
      <c r="C1" s="263"/>
      <c r="D1" s="263"/>
      <c r="E1" s="263"/>
    </row>
    <row r="2" s="259" customFormat="1" ht="12" spans="1:5">
      <c r="A2" s="264" t="s">
        <v>1256</v>
      </c>
      <c r="B2" s="264"/>
      <c r="C2" s="264"/>
      <c r="D2" s="264"/>
      <c r="E2" s="264"/>
    </row>
    <row r="3" s="260" customFormat="1" ht="34.95" customHeight="1" spans="1:13">
      <c r="A3" s="265" t="s">
        <v>283</v>
      </c>
      <c r="B3" s="266" t="s">
        <v>1257</v>
      </c>
      <c r="C3" s="267" t="s">
        <v>1258</v>
      </c>
      <c r="D3" s="267"/>
      <c r="E3" s="268" t="s">
        <v>1259</v>
      </c>
      <c r="F3" s="267" t="s">
        <v>1260</v>
      </c>
      <c r="H3" s="8"/>
      <c r="I3" s="8"/>
      <c r="J3" s="8"/>
      <c r="K3" s="8"/>
      <c r="L3" s="8"/>
      <c r="M3" s="8"/>
    </row>
    <row r="4" s="260" customFormat="1" ht="12" spans="1:13">
      <c r="A4" s="265"/>
      <c r="B4" s="266"/>
      <c r="C4" s="267" t="s">
        <v>1261</v>
      </c>
      <c r="D4" s="267" t="s">
        <v>1262</v>
      </c>
      <c r="E4" s="268"/>
      <c r="F4" s="267"/>
      <c r="H4" s="8"/>
      <c r="I4" s="8"/>
      <c r="J4" s="8"/>
      <c r="K4" s="8"/>
      <c r="L4" s="8"/>
      <c r="M4" s="8"/>
    </row>
    <row r="5" s="8" customFormat="1" spans="1:6">
      <c r="A5" s="269"/>
      <c r="B5" s="270" t="s">
        <v>1263</v>
      </c>
      <c r="C5" s="271"/>
      <c r="D5" s="271"/>
      <c r="E5" s="272"/>
      <c r="F5" s="272"/>
    </row>
    <row r="6" s="8" customFormat="1" ht="12.75" spans="1:6">
      <c r="A6" s="269"/>
      <c r="B6" s="270" t="s">
        <v>1264</v>
      </c>
      <c r="C6" s="273"/>
      <c r="D6" s="273"/>
      <c r="E6" s="272"/>
      <c r="F6" s="272"/>
    </row>
    <row r="7" s="8" customFormat="1" ht="12.75" spans="1:7">
      <c r="A7" s="274" t="s">
        <v>1265</v>
      </c>
      <c r="B7" s="270" t="s">
        <v>1266</v>
      </c>
      <c r="C7" s="275"/>
      <c r="D7" s="275"/>
      <c r="E7" s="272"/>
      <c r="F7" s="272">
        <f>C7/G7</f>
        <v>0</v>
      </c>
      <c r="G7" s="8">
        <v>20</v>
      </c>
    </row>
    <row r="8" s="8" customFormat="1" ht="12.75" spans="1:7">
      <c r="A8" s="274" t="s">
        <v>1267</v>
      </c>
      <c r="B8" s="270" t="s">
        <v>1268</v>
      </c>
      <c r="C8" s="275">
        <v>1565.07</v>
      </c>
      <c r="D8" s="275">
        <v>1101.93</v>
      </c>
      <c r="E8" s="272">
        <v>2015</v>
      </c>
      <c r="F8" s="275">
        <f>D8/G8</f>
        <v>137.74125</v>
      </c>
      <c r="G8" s="276">
        <v>8</v>
      </c>
    </row>
    <row r="9" s="8" customFormat="1" ht="12.75" spans="1:8">
      <c r="A9" s="274" t="s">
        <v>1269</v>
      </c>
      <c r="B9" s="270" t="s">
        <v>1270</v>
      </c>
      <c r="C9" s="275">
        <v>75.4075</v>
      </c>
      <c r="D9" s="275">
        <v>65.1396</v>
      </c>
      <c r="E9" s="272"/>
      <c r="F9" s="275">
        <f t="shared" ref="F9:F10" si="0">D9/G9</f>
        <v>6.51396</v>
      </c>
      <c r="G9" s="8">
        <v>10</v>
      </c>
      <c r="H9" s="8">
        <f>D9/G9</f>
        <v>6.51396</v>
      </c>
    </row>
    <row r="10" s="8" customFormat="1" ht="16.95" customHeight="1" spans="1:8">
      <c r="A10" s="274" t="s">
        <v>1271</v>
      </c>
      <c r="B10" s="272" t="s">
        <v>1272</v>
      </c>
      <c r="C10" s="277">
        <v>27.055</v>
      </c>
      <c r="D10" s="277">
        <v>8.781</v>
      </c>
      <c r="E10" s="272"/>
      <c r="F10" s="275">
        <f t="shared" si="0"/>
        <v>2.927</v>
      </c>
      <c r="G10" s="8">
        <v>3</v>
      </c>
      <c r="H10" s="8">
        <f>D10/G10</f>
        <v>2.927</v>
      </c>
    </row>
    <row r="11" s="8" customFormat="1" ht="16.95" customHeight="1" spans="1:6">
      <c r="A11" s="274"/>
      <c r="B11" s="278" t="s">
        <v>192</v>
      </c>
      <c r="C11" s="275">
        <f>SUM(C7:C10)</f>
        <v>1667.5325</v>
      </c>
      <c r="D11" s="275">
        <f>SUM(D7:D10)</f>
        <v>1175.8506</v>
      </c>
      <c r="E11" s="279"/>
      <c r="F11" s="272"/>
    </row>
    <row r="12" s="8" customFormat="1" ht="16.95" customHeight="1" spans="1:6">
      <c r="A12" s="280"/>
      <c r="B12" s="281"/>
      <c r="C12" s="282"/>
      <c r="D12" s="282"/>
      <c r="E12" s="281"/>
      <c r="F12" s="281"/>
    </row>
    <row r="13" s="8" customFormat="1" ht="12" spans="1:1">
      <c r="A13" s="283"/>
    </row>
    <row r="14" s="8" customFormat="1" ht="12" spans="1:1">
      <c r="A14" s="283"/>
    </row>
    <row r="15" s="8" customFormat="1" ht="12" spans="1:9">
      <c r="A15" s="284" t="s">
        <v>1273</v>
      </c>
      <c r="B15" s="285"/>
      <c r="C15" s="285"/>
      <c r="D15" s="285"/>
      <c r="E15" s="286"/>
      <c r="F15" s="287"/>
      <c r="G15" s="286"/>
      <c r="H15" s="286"/>
      <c r="I15" s="286"/>
    </row>
    <row r="16" s="8" customFormat="1" ht="12" spans="1:11">
      <c r="A16" s="288"/>
      <c r="B16" s="289"/>
      <c r="C16" s="290" t="s">
        <v>1274</v>
      </c>
      <c r="D16" s="291" t="s">
        <v>1275</v>
      </c>
      <c r="E16" s="291" t="s">
        <v>1276</v>
      </c>
      <c r="F16" s="291" t="s">
        <v>1277</v>
      </c>
      <c r="G16" s="291" t="s">
        <v>1278</v>
      </c>
      <c r="H16" s="291" t="s">
        <v>1279</v>
      </c>
      <c r="I16" s="291" t="s">
        <v>1280</v>
      </c>
      <c r="J16" s="291"/>
      <c r="K16" s="291"/>
    </row>
    <row r="17" s="8" customFormat="1" ht="12.75" hidden="1" spans="1:11">
      <c r="A17" s="288"/>
      <c r="B17" s="289"/>
      <c r="C17" s="289"/>
      <c r="D17" s="292"/>
      <c r="E17" s="292"/>
      <c r="F17" s="292"/>
      <c r="G17" s="292"/>
      <c r="H17" s="292"/>
      <c r="I17" s="292"/>
      <c r="J17" s="292"/>
      <c r="K17" s="292"/>
    </row>
    <row r="18" s="8" customFormat="1" ht="12" spans="1:11">
      <c r="A18" s="293"/>
      <c r="B18" s="294" t="s">
        <v>1281</v>
      </c>
      <c r="C18" s="294" t="s">
        <v>189</v>
      </c>
      <c r="D18" s="295"/>
      <c r="E18" s="291"/>
      <c r="F18" s="291"/>
      <c r="G18" s="291"/>
      <c r="H18" s="291"/>
      <c r="I18" s="291"/>
      <c r="J18" s="291"/>
      <c r="K18" s="291"/>
    </row>
    <row r="19" s="8" customFormat="1" ht="12" spans="1:11">
      <c r="A19" s="288"/>
      <c r="B19" s="296"/>
      <c r="C19" s="289" t="s">
        <v>1282</v>
      </c>
      <c r="D19" s="297">
        <f>D8</f>
        <v>1101.93</v>
      </c>
      <c r="E19" s="297">
        <f t="shared" ref="E19:I19" si="1">D23</f>
        <v>1101.93</v>
      </c>
      <c r="F19" s="297">
        <f t="shared" si="1"/>
        <v>1101.93</v>
      </c>
      <c r="G19" s="297">
        <f t="shared" si="1"/>
        <v>1101.93</v>
      </c>
      <c r="H19" s="297">
        <f t="shared" si="1"/>
        <v>1101.93</v>
      </c>
      <c r="I19" s="297">
        <f t="shared" si="1"/>
        <v>1101.93</v>
      </c>
      <c r="J19" s="297"/>
      <c r="K19" s="297"/>
    </row>
    <row r="20" s="8" customFormat="1" ht="12" spans="1:11">
      <c r="A20" s="288"/>
      <c r="B20" s="296"/>
      <c r="C20" s="289" t="s">
        <v>1283</v>
      </c>
      <c r="D20" s="297">
        <f>D22</f>
        <v>137.74125</v>
      </c>
      <c r="E20" s="297">
        <f t="shared" ref="E20:I20" si="2">E22</f>
        <v>137.74125</v>
      </c>
      <c r="F20" s="297">
        <f t="shared" si="2"/>
        <v>137.74125</v>
      </c>
      <c r="G20" s="297">
        <f t="shared" si="2"/>
        <v>137.74125</v>
      </c>
      <c r="H20" s="297">
        <f t="shared" si="2"/>
        <v>137.74125</v>
      </c>
      <c r="I20" s="297">
        <f t="shared" si="2"/>
        <v>137.74125</v>
      </c>
      <c r="J20" s="312"/>
      <c r="K20" s="312"/>
    </row>
    <row r="21" s="8" customFormat="1" ht="15.75" hidden="1" customHeight="1" spans="1:11">
      <c r="A21" s="288"/>
      <c r="B21" s="296"/>
      <c r="C21" s="298"/>
      <c r="D21" s="297"/>
      <c r="E21" s="297"/>
      <c r="F21" s="297"/>
      <c r="G21" s="297"/>
      <c r="H21" s="297"/>
      <c r="I21" s="312"/>
      <c r="J21" s="312"/>
      <c r="K21" s="312"/>
    </row>
    <row r="22" s="8" customFormat="1" ht="12" spans="1:11">
      <c r="A22" s="288"/>
      <c r="B22" s="296"/>
      <c r="C22" s="289" t="s">
        <v>1284</v>
      </c>
      <c r="D22" s="297">
        <f>F8</f>
        <v>137.74125</v>
      </c>
      <c r="E22" s="297">
        <f>D22</f>
        <v>137.74125</v>
      </c>
      <c r="F22" s="297">
        <f t="shared" ref="F22:I22" si="3">E22</f>
        <v>137.74125</v>
      </c>
      <c r="G22" s="297">
        <f t="shared" si="3"/>
        <v>137.74125</v>
      </c>
      <c r="H22" s="297">
        <f t="shared" si="3"/>
        <v>137.74125</v>
      </c>
      <c r="I22" s="297">
        <f t="shared" si="3"/>
        <v>137.74125</v>
      </c>
      <c r="J22" s="312"/>
      <c r="K22" s="312"/>
    </row>
    <row r="23" s="8" customFormat="1" ht="12" spans="1:11">
      <c r="A23" s="288"/>
      <c r="B23" s="296"/>
      <c r="C23" s="289" t="s">
        <v>1285</v>
      </c>
      <c r="D23" s="297">
        <f t="shared" ref="D23:I23" si="4">D19+D20-D22</f>
        <v>1101.93</v>
      </c>
      <c r="E23" s="297">
        <f t="shared" si="4"/>
        <v>1101.93</v>
      </c>
      <c r="F23" s="297">
        <f t="shared" si="4"/>
        <v>1101.93</v>
      </c>
      <c r="G23" s="297">
        <f t="shared" si="4"/>
        <v>1101.93</v>
      </c>
      <c r="H23" s="297">
        <f t="shared" si="4"/>
        <v>1101.93</v>
      </c>
      <c r="I23" s="297">
        <f t="shared" si="4"/>
        <v>1101.93</v>
      </c>
      <c r="J23" s="297"/>
      <c r="K23" s="297"/>
    </row>
    <row r="24" s="8" customFormat="1" ht="12" hidden="1" spans="1:11">
      <c r="A24" s="293"/>
      <c r="B24" s="294" t="s">
        <v>189</v>
      </c>
      <c r="C24" s="299"/>
      <c r="D24" s="295"/>
      <c r="E24" s="291"/>
      <c r="F24" s="291"/>
      <c r="G24" s="291"/>
      <c r="H24" s="291"/>
      <c r="I24" s="291"/>
      <c r="J24" s="291"/>
      <c r="K24" s="291"/>
    </row>
    <row r="25" s="8" customFormat="1" ht="12" hidden="1" spans="1:11">
      <c r="A25" s="288"/>
      <c r="B25" s="296"/>
      <c r="C25" s="289" t="s">
        <v>1282</v>
      </c>
      <c r="D25" s="300"/>
      <c r="E25" s="300">
        <f t="shared" ref="E25:I25" si="5">D29</f>
        <v>0</v>
      </c>
      <c r="F25" s="300">
        <f t="shared" si="5"/>
        <v>0</v>
      </c>
      <c r="G25" s="300">
        <f t="shared" si="5"/>
        <v>0</v>
      </c>
      <c r="H25" s="300">
        <f t="shared" si="5"/>
        <v>0</v>
      </c>
      <c r="I25" s="300">
        <f t="shared" si="5"/>
        <v>0</v>
      </c>
      <c r="J25" s="300"/>
      <c r="K25" s="300"/>
    </row>
    <row r="26" s="8" customFormat="1" ht="12" hidden="1" spans="1:11">
      <c r="A26" s="288"/>
      <c r="B26" s="296"/>
      <c r="C26" s="298" t="s">
        <v>1283</v>
      </c>
      <c r="D26" s="300"/>
      <c r="E26" s="300">
        <f t="shared" ref="E26:I26" si="6">E28</f>
        <v>0</v>
      </c>
      <c r="F26" s="300">
        <f t="shared" si="6"/>
        <v>0</v>
      </c>
      <c r="G26" s="300">
        <f t="shared" si="6"/>
        <v>0</v>
      </c>
      <c r="H26" s="300">
        <f t="shared" si="6"/>
        <v>0</v>
      </c>
      <c r="I26" s="300">
        <f t="shared" si="6"/>
        <v>0</v>
      </c>
      <c r="J26" s="300"/>
      <c r="K26" s="300"/>
    </row>
    <row r="27" s="8" customFormat="1" ht="13.5" hidden="1" customHeight="1" spans="1:11">
      <c r="A27" s="288"/>
      <c r="B27" s="296"/>
      <c r="C27" s="298"/>
      <c r="D27" s="300">
        <v>0</v>
      </c>
      <c r="E27" s="300">
        <v>1000</v>
      </c>
      <c r="F27" s="300">
        <v>1001</v>
      </c>
      <c r="G27" s="300">
        <v>1002</v>
      </c>
      <c r="H27" s="300">
        <v>1003</v>
      </c>
      <c r="I27" s="300">
        <v>1004</v>
      </c>
      <c r="J27" s="300"/>
      <c r="K27" s="300"/>
    </row>
    <row r="28" s="8" customFormat="1" ht="12" hidden="1" spans="1:11">
      <c r="A28" s="288"/>
      <c r="B28" s="296"/>
      <c r="C28" s="289" t="s">
        <v>1284</v>
      </c>
      <c r="D28" s="300">
        <f>D25</f>
        <v>0</v>
      </c>
      <c r="E28" s="300">
        <v>0</v>
      </c>
      <c r="F28" s="300">
        <v>0</v>
      </c>
      <c r="G28" s="300">
        <v>0</v>
      </c>
      <c r="H28" s="300">
        <v>0</v>
      </c>
      <c r="I28" s="300">
        <v>0</v>
      </c>
      <c r="J28" s="300"/>
      <c r="K28" s="300"/>
    </row>
    <row r="29" s="8" customFormat="1" ht="12" hidden="1" spans="1:11">
      <c r="A29" s="288"/>
      <c r="B29" s="296"/>
      <c r="C29" s="289" t="s">
        <v>1285</v>
      </c>
      <c r="D29" s="300">
        <f t="shared" ref="D29:I29" si="7">D25+D26-D28</f>
        <v>0</v>
      </c>
      <c r="E29" s="300">
        <f t="shared" si="7"/>
        <v>0</v>
      </c>
      <c r="F29" s="300">
        <f t="shared" si="7"/>
        <v>0</v>
      </c>
      <c r="G29" s="300">
        <f t="shared" si="7"/>
        <v>0</v>
      </c>
      <c r="H29" s="300">
        <f t="shared" si="7"/>
        <v>0</v>
      </c>
      <c r="I29" s="300">
        <f t="shared" si="7"/>
        <v>0</v>
      </c>
      <c r="J29" s="300"/>
      <c r="K29" s="300"/>
    </row>
    <row r="30" s="8" customFormat="1" ht="12" spans="1:11">
      <c r="A30" s="293"/>
      <c r="B30" s="294"/>
      <c r="C30" s="294" t="s">
        <v>1286</v>
      </c>
      <c r="D30" s="291"/>
      <c r="E30" s="291"/>
      <c r="F30" s="291"/>
      <c r="G30" s="291"/>
      <c r="H30" s="291"/>
      <c r="I30" s="291"/>
      <c r="J30" s="291"/>
      <c r="K30" s="291"/>
    </row>
    <row r="31" s="8" customFormat="1" ht="12" spans="1:11">
      <c r="A31" s="288"/>
      <c r="B31" s="296"/>
      <c r="C31" s="289" t="s">
        <v>1282</v>
      </c>
      <c r="D31" s="297">
        <f>D10</f>
        <v>8.781</v>
      </c>
      <c r="E31" s="297">
        <f t="shared" ref="E31:I31" si="8">D36</f>
        <v>8.781</v>
      </c>
      <c r="F31" s="297">
        <f t="shared" si="8"/>
        <v>8.781</v>
      </c>
      <c r="G31" s="297">
        <f t="shared" si="8"/>
        <v>8.781</v>
      </c>
      <c r="H31" s="297">
        <f t="shared" si="8"/>
        <v>8.781</v>
      </c>
      <c r="I31" s="297">
        <f t="shared" si="8"/>
        <v>8.781</v>
      </c>
      <c r="J31" s="297"/>
      <c r="K31" s="297"/>
    </row>
    <row r="32" s="8" customFormat="1" ht="12" hidden="1" spans="1:11">
      <c r="A32" s="288"/>
      <c r="B32" s="296"/>
      <c r="C32" s="298" t="s">
        <v>1283</v>
      </c>
      <c r="D32" s="297">
        <f>D35</f>
        <v>2.927</v>
      </c>
      <c r="E32" s="297">
        <f t="shared" ref="E32:H32" si="9">D32</f>
        <v>2.927</v>
      </c>
      <c r="F32" s="297">
        <f t="shared" si="9"/>
        <v>2.927</v>
      </c>
      <c r="G32" s="297">
        <f t="shared" si="9"/>
        <v>2.927</v>
      </c>
      <c r="H32" s="297">
        <f t="shared" si="9"/>
        <v>2.927</v>
      </c>
      <c r="I32" s="297" t="e">
        <f>I35+I33</f>
        <v>#REF!</v>
      </c>
      <c r="J32" s="297"/>
      <c r="K32" s="297"/>
    </row>
    <row r="33" s="8" customFormat="1" ht="12" hidden="1" spans="1:11">
      <c r="A33" s="288"/>
      <c r="B33" s="296"/>
      <c r="C33" s="298"/>
      <c r="D33" s="297"/>
      <c r="E33" s="297"/>
      <c r="F33" s="297"/>
      <c r="G33" s="297"/>
      <c r="H33" s="297"/>
      <c r="I33" s="297" t="e">
        <f>#REF!</f>
        <v>#REF!</v>
      </c>
      <c r="J33" s="297"/>
      <c r="K33" s="297"/>
    </row>
    <row r="34" s="8" customFormat="1" ht="12" spans="1:11">
      <c r="A34" s="288"/>
      <c r="B34" s="296"/>
      <c r="C34" s="298" t="s">
        <v>1283</v>
      </c>
      <c r="D34" s="297">
        <f>D35</f>
        <v>2.927</v>
      </c>
      <c r="E34" s="297">
        <f t="shared" ref="E34:I34" si="10">E35</f>
        <v>2.927</v>
      </c>
      <c r="F34" s="297">
        <f t="shared" si="10"/>
        <v>2.927</v>
      </c>
      <c r="G34" s="297">
        <f t="shared" si="10"/>
        <v>2.927</v>
      </c>
      <c r="H34" s="297">
        <f t="shared" si="10"/>
        <v>2.927</v>
      </c>
      <c r="I34" s="297">
        <f t="shared" si="10"/>
        <v>2.927</v>
      </c>
      <c r="J34" s="297"/>
      <c r="K34" s="297"/>
    </row>
    <row r="35" s="8" customFormat="1" ht="12" spans="1:11">
      <c r="A35" s="288"/>
      <c r="B35" s="296"/>
      <c r="C35" s="289" t="s">
        <v>1284</v>
      </c>
      <c r="D35" s="297">
        <f>F10</f>
        <v>2.927</v>
      </c>
      <c r="E35" s="297">
        <f>D35</f>
        <v>2.927</v>
      </c>
      <c r="F35" s="297">
        <f t="shared" ref="F35:I35" si="11">E35</f>
        <v>2.927</v>
      </c>
      <c r="G35" s="297">
        <f t="shared" si="11"/>
        <v>2.927</v>
      </c>
      <c r="H35" s="297">
        <f t="shared" si="11"/>
        <v>2.927</v>
      </c>
      <c r="I35" s="297">
        <f t="shared" si="11"/>
        <v>2.927</v>
      </c>
      <c r="J35" s="297"/>
      <c r="K35" s="297"/>
    </row>
    <row r="36" s="8" customFormat="1" ht="12" spans="1:11">
      <c r="A36" s="288"/>
      <c r="B36" s="296"/>
      <c r="C36" s="289" t="s">
        <v>1285</v>
      </c>
      <c r="D36" s="297">
        <f t="shared" ref="D36:I36" si="12">D31+D34-D35</f>
        <v>8.781</v>
      </c>
      <c r="E36" s="297">
        <f t="shared" si="12"/>
        <v>8.781</v>
      </c>
      <c r="F36" s="297">
        <f t="shared" si="12"/>
        <v>8.781</v>
      </c>
      <c r="G36" s="297">
        <f t="shared" si="12"/>
        <v>8.781</v>
      </c>
      <c r="H36" s="297">
        <f t="shared" si="12"/>
        <v>8.781</v>
      </c>
      <c r="I36" s="297">
        <f t="shared" si="12"/>
        <v>8.781</v>
      </c>
      <c r="J36" s="297"/>
      <c r="K36" s="297"/>
    </row>
    <row r="37" s="8" customFormat="1" ht="12" spans="1:11">
      <c r="A37" s="293"/>
      <c r="B37" s="294"/>
      <c r="C37" s="301" t="s">
        <v>1287</v>
      </c>
      <c r="D37" s="295"/>
      <c r="E37" s="291"/>
      <c r="F37" s="291"/>
      <c r="G37" s="291"/>
      <c r="H37" s="291"/>
      <c r="I37" s="291"/>
      <c r="J37" s="291"/>
      <c r="K37" s="291"/>
    </row>
    <row r="38" s="8" customFormat="1" ht="11.25" customHeight="1" spans="1:11">
      <c r="A38" s="288"/>
      <c r="B38" s="296"/>
      <c r="C38" s="289" t="s">
        <v>1282</v>
      </c>
      <c r="D38" s="300">
        <f>D9</f>
        <v>65.1396</v>
      </c>
      <c r="E38" s="300">
        <f t="shared" ref="E38:I38" si="13">D43</f>
        <v>65.1396</v>
      </c>
      <c r="F38" s="300">
        <f t="shared" si="13"/>
        <v>65.1396</v>
      </c>
      <c r="G38" s="300">
        <f t="shared" si="13"/>
        <v>65.1396</v>
      </c>
      <c r="H38" s="300">
        <f t="shared" si="13"/>
        <v>65.1396</v>
      </c>
      <c r="I38" s="300">
        <f t="shared" si="13"/>
        <v>65.1396</v>
      </c>
      <c r="J38" s="300"/>
      <c r="K38" s="300"/>
    </row>
    <row r="39" s="8" customFormat="1" ht="12" hidden="1" spans="1:11">
      <c r="A39" s="288"/>
      <c r="B39" s="296"/>
      <c r="C39" s="298" t="s">
        <v>1283</v>
      </c>
      <c r="D39" s="297">
        <f t="shared" ref="D39:I39" si="14">D42</f>
        <v>6.51396</v>
      </c>
      <c r="E39" s="297">
        <f t="shared" si="14"/>
        <v>6.51396</v>
      </c>
      <c r="F39" s="297">
        <f t="shared" si="14"/>
        <v>6.51396</v>
      </c>
      <c r="G39" s="297">
        <f t="shared" si="14"/>
        <v>6.51396</v>
      </c>
      <c r="H39" s="297">
        <f t="shared" si="14"/>
        <v>6.51396</v>
      </c>
      <c r="I39" s="297">
        <f t="shared" si="14"/>
        <v>6.51396</v>
      </c>
      <c r="J39" s="297"/>
      <c r="K39" s="297"/>
    </row>
    <row r="40" s="8" customFormat="1" ht="12" hidden="1" spans="1:11">
      <c r="A40" s="288"/>
      <c r="B40" s="296"/>
      <c r="C40" s="298"/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/>
      <c r="K40" s="297"/>
    </row>
    <row r="41" s="8" customFormat="1" ht="12" spans="1:11">
      <c r="A41" s="288"/>
      <c r="B41" s="296"/>
      <c r="C41" s="298" t="s">
        <v>1283</v>
      </c>
      <c r="D41" s="297">
        <f>D42</f>
        <v>6.51396</v>
      </c>
      <c r="E41" s="297">
        <f t="shared" ref="E41:I41" si="15">E42</f>
        <v>6.51396</v>
      </c>
      <c r="F41" s="297">
        <f t="shared" si="15"/>
        <v>6.51396</v>
      </c>
      <c r="G41" s="297">
        <f t="shared" si="15"/>
        <v>6.51396</v>
      </c>
      <c r="H41" s="297">
        <f t="shared" si="15"/>
        <v>6.51396</v>
      </c>
      <c r="I41" s="297">
        <f t="shared" si="15"/>
        <v>6.51396</v>
      </c>
      <c r="J41" s="297"/>
      <c r="K41" s="297"/>
    </row>
    <row r="42" s="8" customFormat="1" ht="12" spans="1:11">
      <c r="A42" s="288"/>
      <c r="B42" s="296"/>
      <c r="C42" s="289" t="s">
        <v>1284</v>
      </c>
      <c r="D42" s="297">
        <f>F9</f>
        <v>6.51396</v>
      </c>
      <c r="E42" s="297">
        <f>D42</f>
        <v>6.51396</v>
      </c>
      <c r="F42" s="297">
        <f t="shared" ref="F42:I42" si="16">E42</f>
        <v>6.51396</v>
      </c>
      <c r="G42" s="297">
        <f t="shared" si="16"/>
        <v>6.51396</v>
      </c>
      <c r="H42" s="297">
        <f t="shared" si="16"/>
        <v>6.51396</v>
      </c>
      <c r="I42" s="297">
        <f t="shared" si="16"/>
        <v>6.51396</v>
      </c>
      <c r="J42" s="297"/>
      <c r="K42" s="297"/>
    </row>
    <row r="43" s="8" customFormat="1" ht="12" spans="1:11">
      <c r="A43" s="288"/>
      <c r="B43" s="296"/>
      <c r="C43" s="289" t="s">
        <v>1285</v>
      </c>
      <c r="D43" s="297">
        <f t="shared" ref="D43:I43" si="17">D38+D41-D42</f>
        <v>65.1396</v>
      </c>
      <c r="E43" s="297">
        <f t="shared" si="17"/>
        <v>65.1396</v>
      </c>
      <c r="F43" s="297">
        <f t="shared" si="17"/>
        <v>65.1396</v>
      </c>
      <c r="G43" s="297">
        <f t="shared" si="17"/>
        <v>65.1396</v>
      </c>
      <c r="H43" s="297">
        <f t="shared" si="17"/>
        <v>65.1396</v>
      </c>
      <c r="I43" s="297">
        <f t="shared" si="17"/>
        <v>65.1396</v>
      </c>
      <c r="J43" s="297"/>
      <c r="K43" s="297"/>
    </row>
    <row r="44" spans="1:11">
      <c r="A44" s="135"/>
      <c r="B44" s="135"/>
      <c r="C44" s="302" t="s">
        <v>1288</v>
      </c>
      <c r="D44" s="303">
        <f>D22+D35+D42</f>
        <v>147.18221</v>
      </c>
      <c r="E44" s="303">
        <f t="shared" ref="E44:I44" si="18">E22+E35+E42</f>
        <v>147.18221</v>
      </c>
      <c r="F44" s="303">
        <f t="shared" si="18"/>
        <v>147.18221</v>
      </c>
      <c r="G44" s="303">
        <f t="shared" si="18"/>
        <v>147.18221</v>
      </c>
      <c r="H44" s="303">
        <f t="shared" si="18"/>
        <v>147.18221</v>
      </c>
      <c r="I44" s="303">
        <f t="shared" si="18"/>
        <v>147.18221</v>
      </c>
      <c r="J44" s="303"/>
      <c r="K44" s="303"/>
    </row>
    <row r="45" spans="1:11">
      <c r="A45" s="135"/>
      <c r="B45" s="294" t="s">
        <v>1289</v>
      </c>
      <c r="C45" s="299"/>
      <c r="D45" s="295"/>
      <c r="E45" s="291"/>
      <c r="F45" s="291"/>
      <c r="G45" s="291"/>
      <c r="H45" s="291"/>
      <c r="I45" s="291"/>
      <c r="J45" s="291"/>
      <c r="K45" s="291"/>
    </row>
    <row r="46" spans="1:11">
      <c r="A46" s="135"/>
      <c r="B46" s="296" t="s">
        <v>1290</v>
      </c>
      <c r="C46" s="289" t="s">
        <v>1282</v>
      </c>
      <c r="D46" s="297">
        <f>3.1607</f>
        <v>3.1607</v>
      </c>
      <c r="E46" s="297">
        <f>D49</f>
        <v>3.1607</v>
      </c>
      <c r="F46" s="297">
        <f t="shared" ref="F46:I46" si="19">E49</f>
        <v>3.1607</v>
      </c>
      <c r="G46" s="297">
        <f t="shared" si="19"/>
        <v>3.1607</v>
      </c>
      <c r="H46" s="297">
        <f t="shared" si="19"/>
        <v>3.1607</v>
      </c>
      <c r="I46" s="297">
        <f t="shared" si="19"/>
        <v>3.1607</v>
      </c>
      <c r="J46" s="304"/>
      <c r="K46" s="304"/>
    </row>
    <row r="47" spans="1:11">
      <c r="A47" s="135"/>
      <c r="B47" s="296">
        <v>10</v>
      </c>
      <c r="C47" s="298" t="s">
        <v>1283</v>
      </c>
      <c r="D47" s="297">
        <f>D48</f>
        <v>0.31607</v>
      </c>
      <c r="E47" s="297">
        <f t="shared" ref="E47:I47" si="20">E48</f>
        <v>0.31607</v>
      </c>
      <c r="F47" s="297">
        <f t="shared" si="20"/>
        <v>0.31607</v>
      </c>
      <c r="G47" s="297">
        <f t="shared" si="20"/>
        <v>0.31607</v>
      </c>
      <c r="H47" s="297">
        <f t="shared" si="20"/>
        <v>0.31607</v>
      </c>
      <c r="I47" s="297">
        <f t="shared" si="20"/>
        <v>0.31607</v>
      </c>
      <c r="J47" s="297"/>
      <c r="K47" s="297"/>
    </row>
    <row r="48" spans="1:11">
      <c r="A48" s="135"/>
      <c r="B48" s="296"/>
      <c r="C48" s="298" t="s">
        <v>1291</v>
      </c>
      <c r="D48" s="297">
        <f>D46/B47</f>
        <v>0.31607</v>
      </c>
      <c r="E48" s="297">
        <f>D48</f>
        <v>0.31607</v>
      </c>
      <c r="F48" s="297">
        <f t="shared" ref="F48:I48" si="21">E48</f>
        <v>0.31607</v>
      </c>
      <c r="G48" s="297">
        <f t="shared" si="21"/>
        <v>0.31607</v>
      </c>
      <c r="H48" s="297">
        <f t="shared" si="21"/>
        <v>0.31607</v>
      </c>
      <c r="I48" s="297">
        <f t="shared" si="21"/>
        <v>0.31607</v>
      </c>
      <c r="J48" s="297"/>
      <c r="K48" s="297"/>
    </row>
    <row r="49" spans="1:11">
      <c r="A49" s="135"/>
      <c r="B49" s="296"/>
      <c r="C49" s="289" t="s">
        <v>1285</v>
      </c>
      <c r="D49" s="297">
        <f>D46+D47-D48</f>
        <v>3.1607</v>
      </c>
      <c r="E49" s="297">
        <f t="shared" ref="E49:I49" si="22">E46+E47-E48</f>
        <v>3.1607</v>
      </c>
      <c r="F49" s="297">
        <f t="shared" si="22"/>
        <v>3.1607</v>
      </c>
      <c r="G49" s="297">
        <f t="shared" si="22"/>
        <v>3.1607</v>
      </c>
      <c r="H49" s="297">
        <f t="shared" si="22"/>
        <v>3.1607</v>
      </c>
      <c r="I49" s="297">
        <f t="shared" si="22"/>
        <v>3.1607</v>
      </c>
      <c r="J49" s="297"/>
      <c r="K49" s="297"/>
    </row>
    <row r="50" spans="1:11">
      <c r="A50" s="135"/>
      <c r="B50" s="296" t="s">
        <v>1292</v>
      </c>
      <c r="C50" s="289" t="s">
        <v>1282</v>
      </c>
      <c r="D50" s="297">
        <f>515.16</f>
        <v>515.16</v>
      </c>
      <c r="E50" s="304">
        <f>D53</f>
        <v>515.16</v>
      </c>
      <c r="F50" s="304">
        <f t="shared" ref="F50:I50" si="23">E53</f>
        <v>515.16</v>
      </c>
      <c r="G50" s="304">
        <f t="shared" si="23"/>
        <v>515.16</v>
      </c>
      <c r="H50" s="304">
        <f t="shared" si="23"/>
        <v>515.16</v>
      </c>
      <c r="I50" s="304">
        <f t="shared" si="23"/>
        <v>515.16</v>
      </c>
      <c r="J50" s="304"/>
      <c r="K50" s="304"/>
    </row>
    <row r="51" spans="1:11">
      <c r="A51" s="135"/>
      <c r="B51" s="296">
        <v>8</v>
      </c>
      <c r="C51" s="298" t="s">
        <v>1283</v>
      </c>
      <c r="D51" s="297">
        <f>D52</f>
        <v>64.395</v>
      </c>
      <c r="E51" s="297">
        <f t="shared" ref="E51:I51" si="24">E52</f>
        <v>64.395</v>
      </c>
      <c r="F51" s="297">
        <f t="shared" si="24"/>
        <v>64.395</v>
      </c>
      <c r="G51" s="297">
        <f t="shared" si="24"/>
        <v>64.395</v>
      </c>
      <c r="H51" s="297">
        <f t="shared" si="24"/>
        <v>64.395</v>
      </c>
      <c r="I51" s="297">
        <f t="shared" si="24"/>
        <v>64.395</v>
      </c>
      <c r="J51" s="297"/>
      <c r="K51" s="297"/>
    </row>
    <row r="52" spans="1:11">
      <c r="A52" s="135"/>
      <c r="B52" s="296"/>
      <c r="C52" s="298" t="s">
        <v>1291</v>
      </c>
      <c r="D52" s="297">
        <f>D50/B51</f>
        <v>64.395</v>
      </c>
      <c r="E52" s="297">
        <f>D52</f>
        <v>64.395</v>
      </c>
      <c r="F52" s="297">
        <f t="shared" ref="F52:I52" si="25">E52</f>
        <v>64.395</v>
      </c>
      <c r="G52" s="297">
        <f t="shared" si="25"/>
        <v>64.395</v>
      </c>
      <c r="H52" s="297">
        <f t="shared" si="25"/>
        <v>64.395</v>
      </c>
      <c r="I52" s="297">
        <f t="shared" si="25"/>
        <v>64.395</v>
      </c>
      <c r="J52" s="297"/>
      <c r="K52" s="297"/>
    </row>
    <row r="53" spans="1:11">
      <c r="A53" s="135"/>
      <c r="B53" s="296"/>
      <c r="C53" s="289" t="s">
        <v>1285</v>
      </c>
      <c r="D53" s="297">
        <f>D50+D51-D52</f>
        <v>515.16</v>
      </c>
      <c r="E53" s="297">
        <f t="shared" ref="E53:I53" si="26">E50+E51-E52</f>
        <v>515.16</v>
      </c>
      <c r="F53" s="297">
        <f t="shared" si="26"/>
        <v>515.16</v>
      </c>
      <c r="G53" s="297">
        <f t="shared" si="26"/>
        <v>515.16</v>
      </c>
      <c r="H53" s="297">
        <f t="shared" si="26"/>
        <v>515.16</v>
      </c>
      <c r="I53" s="297">
        <f t="shared" si="26"/>
        <v>515.16</v>
      </c>
      <c r="J53" s="297"/>
      <c r="K53" s="297"/>
    </row>
    <row r="54" spans="1:11">
      <c r="A54" s="288"/>
      <c r="B54" s="289"/>
      <c r="C54" s="298" t="s">
        <v>1293</v>
      </c>
      <c r="D54" s="305">
        <f>D48+D52</f>
        <v>64.71107</v>
      </c>
      <c r="E54" s="305">
        <f t="shared" ref="E54:I54" si="27">E48+E52</f>
        <v>64.71107</v>
      </c>
      <c r="F54" s="305">
        <f t="shared" si="27"/>
        <v>64.71107</v>
      </c>
      <c r="G54" s="305">
        <f t="shared" si="27"/>
        <v>64.71107</v>
      </c>
      <c r="H54" s="305">
        <f t="shared" si="27"/>
        <v>64.71107</v>
      </c>
      <c r="I54" s="305">
        <f t="shared" si="27"/>
        <v>64.71107</v>
      </c>
      <c r="J54" s="305"/>
      <c r="K54" s="305"/>
    </row>
    <row r="55" spans="1:11">
      <c r="A55" s="306" t="s">
        <v>1294</v>
      </c>
      <c r="B55" s="289"/>
      <c r="C55" s="289"/>
      <c r="D55" s="305"/>
      <c r="E55" s="296"/>
      <c r="F55" s="296"/>
      <c r="G55" s="296"/>
      <c r="H55" s="296"/>
      <c r="I55" s="296"/>
      <c r="J55" s="296"/>
      <c r="K55" s="296"/>
    </row>
    <row r="56" ht="15" customHeight="1" spans="1:11">
      <c r="A56" s="306"/>
      <c r="B56" s="307" t="s">
        <v>1295</v>
      </c>
      <c r="C56" s="308" t="s">
        <v>1296</v>
      </c>
      <c r="D56" s="309">
        <f>D22</f>
        <v>137.74125</v>
      </c>
      <c r="E56" s="309">
        <f t="shared" ref="E56:I56" si="28">E22</f>
        <v>137.74125</v>
      </c>
      <c r="F56" s="309">
        <f t="shared" si="28"/>
        <v>137.74125</v>
      </c>
      <c r="G56" s="309">
        <f t="shared" si="28"/>
        <v>137.74125</v>
      </c>
      <c r="H56" s="309">
        <f t="shared" si="28"/>
        <v>137.74125</v>
      </c>
      <c r="I56" s="309">
        <f t="shared" si="28"/>
        <v>137.74125</v>
      </c>
      <c r="J56" s="309"/>
      <c r="K56" s="309"/>
    </row>
    <row r="57" spans="1:11">
      <c r="A57" s="306"/>
      <c r="B57" s="310"/>
      <c r="C57" s="294" t="s">
        <v>1297</v>
      </c>
      <c r="D57" s="309">
        <f>D35+D42</f>
        <v>9.44096</v>
      </c>
      <c r="E57" s="309">
        <f t="shared" ref="E57:I57" si="29">E35+E42</f>
        <v>9.44096</v>
      </c>
      <c r="F57" s="309">
        <f t="shared" si="29"/>
        <v>9.44096</v>
      </c>
      <c r="G57" s="309">
        <f t="shared" si="29"/>
        <v>9.44096</v>
      </c>
      <c r="H57" s="309">
        <f t="shared" si="29"/>
        <v>9.44096</v>
      </c>
      <c r="I57" s="309">
        <f t="shared" si="29"/>
        <v>9.44096</v>
      </c>
      <c r="J57" s="309"/>
      <c r="K57" s="309"/>
    </row>
    <row r="58" spans="1:11">
      <c r="A58" s="306"/>
      <c r="B58" s="310"/>
      <c r="C58" s="294" t="s">
        <v>1298</v>
      </c>
      <c r="D58" s="309">
        <f>D54</f>
        <v>64.71107</v>
      </c>
      <c r="E58" s="309">
        <f t="shared" ref="E58:I58" si="30">E54</f>
        <v>64.71107</v>
      </c>
      <c r="F58" s="309">
        <f t="shared" si="30"/>
        <v>64.71107</v>
      </c>
      <c r="G58" s="309">
        <f t="shared" si="30"/>
        <v>64.71107</v>
      </c>
      <c r="H58" s="309">
        <f t="shared" si="30"/>
        <v>64.71107</v>
      </c>
      <c r="I58" s="309">
        <f t="shared" si="30"/>
        <v>64.71107</v>
      </c>
      <c r="J58" s="309"/>
      <c r="K58" s="309"/>
    </row>
    <row r="59" spans="1:11">
      <c r="A59" s="306"/>
      <c r="B59" s="311"/>
      <c r="C59" s="294" t="s">
        <v>157</v>
      </c>
      <c r="D59" s="309">
        <f>SUM(D56:D58)</f>
        <v>211.89328</v>
      </c>
      <c r="E59" s="309">
        <f t="shared" ref="E59:I59" si="31">SUM(E56:E58)</f>
        <v>211.89328</v>
      </c>
      <c r="F59" s="309">
        <f t="shared" si="31"/>
        <v>211.89328</v>
      </c>
      <c r="G59" s="309">
        <f t="shared" si="31"/>
        <v>211.89328</v>
      </c>
      <c r="H59" s="309">
        <f t="shared" si="31"/>
        <v>211.89328</v>
      </c>
      <c r="I59" s="309">
        <f t="shared" si="31"/>
        <v>211.89328</v>
      </c>
      <c r="J59" s="309"/>
      <c r="K59" s="309"/>
    </row>
    <row r="60" ht="18" customHeight="1" spans="1:11">
      <c r="A60" s="293"/>
      <c r="B60" s="299" t="s">
        <v>1299</v>
      </c>
      <c r="C60" s="299"/>
      <c r="D60" s="309">
        <f>D59</f>
        <v>211.89328</v>
      </c>
      <c r="E60" s="309">
        <f t="shared" ref="E60:I60" si="32">E59</f>
        <v>211.89328</v>
      </c>
      <c r="F60" s="309">
        <f t="shared" si="32"/>
        <v>211.89328</v>
      </c>
      <c r="G60" s="309">
        <f t="shared" si="32"/>
        <v>211.89328</v>
      </c>
      <c r="H60" s="309">
        <f t="shared" si="32"/>
        <v>211.89328</v>
      </c>
      <c r="I60" s="309">
        <f t="shared" si="32"/>
        <v>211.89328</v>
      </c>
      <c r="J60" s="309"/>
      <c r="K60" s="309"/>
    </row>
  </sheetData>
  <mergeCells count="8">
    <mergeCell ref="A1:E1"/>
    <mergeCell ref="A2:E2"/>
    <mergeCell ref="C3:D3"/>
    <mergeCell ref="A3:A4"/>
    <mergeCell ref="B3:B4"/>
    <mergeCell ref="B56:B59"/>
    <mergeCell ref="E3:E4"/>
    <mergeCell ref="F3:F4"/>
  </mergeCells>
  <pageMargins left="0.75" right="0.75" top="1" bottom="1" header="0.5" footer="0.5"/>
  <pageSetup paperSize="9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H9" sqref="H9"/>
    </sheetView>
  </sheetViews>
  <sheetFormatPr defaultColWidth="9" defaultRowHeight="14.25"/>
  <cols>
    <col min="1" max="1" width="2.7" style="228" customWidth="1"/>
    <col min="2" max="2" width="9.6" style="228" customWidth="1"/>
    <col min="3" max="3" width="10.4" style="228" customWidth="1"/>
    <col min="4" max="4" width="26.9" style="228" customWidth="1"/>
    <col min="5" max="8" width="7.4" style="228" customWidth="1"/>
    <col min="9" max="9" width="28.4" style="228" customWidth="1"/>
    <col min="10" max="11" width="9" style="228"/>
    <col min="12" max="12" width="11.1" style="228" customWidth="1"/>
    <col min="13" max="241" width="9" style="228"/>
    <col min="242" max="242" width="2.7" style="228" customWidth="1"/>
    <col min="243" max="243" width="9.4" style="228" customWidth="1"/>
    <col min="244" max="259" width="9" style="228" hidden="1" customWidth="1"/>
    <col min="260" max="260" width="12.1" style="228" customWidth="1"/>
    <col min="261" max="264" width="10.1" style="228" customWidth="1"/>
    <col min="265" max="265" width="32.6" style="228" customWidth="1"/>
    <col min="266" max="267" width="9" style="228"/>
    <col min="268" max="268" width="11.1" style="228" customWidth="1"/>
    <col min="269" max="497" width="9" style="228"/>
    <col min="498" max="498" width="2.7" style="228" customWidth="1"/>
    <col min="499" max="499" width="9.4" style="228" customWidth="1"/>
    <col min="500" max="515" width="9" style="228" hidden="1" customWidth="1"/>
    <col min="516" max="516" width="12.1" style="228" customWidth="1"/>
    <col min="517" max="520" width="10.1" style="228" customWidth="1"/>
    <col min="521" max="521" width="32.6" style="228" customWidth="1"/>
    <col min="522" max="523" width="9" style="228"/>
    <col min="524" max="524" width="11.1" style="228" customWidth="1"/>
    <col min="525" max="753" width="9" style="228"/>
    <col min="754" max="754" width="2.7" style="228" customWidth="1"/>
    <col min="755" max="755" width="9.4" style="228" customWidth="1"/>
    <col min="756" max="771" width="9" style="228" hidden="1" customWidth="1"/>
    <col min="772" max="772" width="12.1" style="228" customWidth="1"/>
    <col min="773" max="776" width="10.1" style="228" customWidth="1"/>
    <col min="777" max="777" width="32.6" style="228" customWidth="1"/>
    <col min="778" max="779" width="9" style="228"/>
    <col min="780" max="780" width="11.1" style="228" customWidth="1"/>
    <col min="781" max="1009" width="9" style="228"/>
    <col min="1010" max="1010" width="2.7" style="228" customWidth="1"/>
    <col min="1011" max="1011" width="9.4" style="228" customWidth="1"/>
    <col min="1012" max="1027" width="9" style="228" hidden="1" customWidth="1"/>
    <col min="1028" max="1028" width="12.1" style="228" customWidth="1"/>
    <col min="1029" max="1032" width="10.1" style="228" customWidth="1"/>
    <col min="1033" max="1033" width="32.6" style="228" customWidth="1"/>
    <col min="1034" max="1035" width="9" style="228"/>
    <col min="1036" max="1036" width="11.1" style="228" customWidth="1"/>
    <col min="1037" max="1265" width="9" style="228"/>
    <col min="1266" max="1266" width="2.7" style="228" customWidth="1"/>
    <col min="1267" max="1267" width="9.4" style="228" customWidth="1"/>
    <col min="1268" max="1283" width="9" style="228" hidden="1" customWidth="1"/>
    <col min="1284" max="1284" width="12.1" style="228" customWidth="1"/>
    <col min="1285" max="1288" width="10.1" style="228" customWidth="1"/>
    <col min="1289" max="1289" width="32.6" style="228" customWidth="1"/>
    <col min="1290" max="1291" width="9" style="228"/>
    <col min="1292" max="1292" width="11.1" style="228" customWidth="1"/>
    <col min="1293" max="1521" width="9" style="228"/>
    <col min="1522" max="1522" width="2.7" style="228" customWidth="1"/>
    <col min="1523" max="1523" width="9.4" style="228" customWidth="1"/>
    <col min="1524" max="1539" width="9" style="228" hidden="1" customWidth="1"/>
    <col min="1540" max="1540" width="12.1" style="228" customWidth="1"/>
    <col min="1541" max="1544" width="10.1" style="228" customWidth="1"/>
    <col min="1545" max="1545" width="32.6" style="228" customWidth="1"/>
    <col min="1546" max="1547" width="9" style="228"/>
    <col min="1548" max="1548" width="11.1" style="228" customWidth="1"/>
    <col min="1549" max="1777" width="9" style="228"/>
    <col min="1778" max="1778" width="2.7" style="228" customWidth="1"/>
    <col min="1779" max="1779" width="9.4" style="228" customWidth="1"/>
    <col min="1780" max="1795" width="9" style="228" hidden="1" customWidth="1"/>
    <col min="1796" max="1796" width="12.1" style="228" customWidth="1"/>
    <col min="1797" max="1800" width="10.1" style="228" customWidth="1"/>
    <col min="1801" max="1801" width="32.6" style="228" customWidth="1"/>
    <col min="1802" max="1803" width="9" style="228"/>
    <col min="1804" max="1804" width="11.1" style="228" customWidth="1"/>
    <col min="1805" max="2033" width="9" style="228"/>
    <col min="2034" max="2034" width="2.7" style="228" customWidth="1"/>
    <col min="2035" max="2035" width="9.4" style="228" customWidth="1"/>
    <col min="2036" max="2051" width="9" style="228" hidden="1" customWidth="1"/>
    <col min="2052" max="2052" width="12.1" style="228" customWidth="1"/>
    <col min="2053" max="2056" width="10.1" style="228" customWidth="1"/>
    <col min="2057" max="2057" width="32.6" style="228" customWidth="1"/>
    <col min="2058" max="2059" width="9" style="228"/>
    <col min="2060" max="2060" width="11.1" style="228" customWidth="1"/>
    <col min="2061" max="2289" width="9" style="228"/>
    <col min="2290" max="2290" width="2.7" style="228" customWidth="1"/>
    <col min="2291" max="2291" width="9.4" style="228" customWidth="1"/>
    <col min="2292" max="2307" width="9" style="228" hidden="1" customWidth="1"/>
    <col min="2308" max="2308" width="12.1" style="228" customWidth="1"/>
    <col min="2309" max="2312" width="10.1" style="228" customWidth="1"/>
    <col min="2313" max="2313" width="32.6" style="228" customWidth="1"/>
    <col min="2314" max="2315" width="9" style="228"/>
    <col min="2316" max="2316" width="11.1" style="228" customWidth="1"/>
    <col min="2317" max="2545" width="9" style="228"/>
    <col min="2546" max="2546" width="2.7" style="228" customWidth="1"/>
    <col min="2547" max="2547" width="9.4" style="228" customWidth="1"/>
    <col min="2548" max="2563" width="9" style="228" hidden="1" customWidth="1"/>
    <col min="2564" max="2564" width="12.1" style="228" customWidth="1"/>
    <col min="2565" max="2568" width="10.1" style="228" customWidth="1"/>
    <col min="2569" max="2569" width="32.6" style="228" customWidth="1"/>
    <col min="2570" max="2571" width="9" style="228"/>
    <col min="2572" max="2572" width="11.1" style="228" customWidth="1"/>
    <col min="2573" max="2801" width="9" style="228"/>
    <col min="2802" max="2802" width="2.7" style="228" customWidth="1"/>
    <col min="2803" max="2803" width="9.4" style="228" customWidth="1"/>
    <col min="2804" max="2819" width="9" style="228" hidden="1" customWidth="1"/>
    <col min="2820" max="2820" width="12.1" style="228" customWidth="1"/>
    <col min="2821" max="2824" width="10.1" style="228" customWidth="1"/>
    <col min="2825" max="2825" width="32.6" style="228" customWidth="1"/>
    <col min="2826" max="2827" width="9" style="228"/>
    <col min="2828" max="2828" width="11.1" style="228" customWidth="1"/>
    <col min="2829" max="3057" width="9" style="228"/>
    <col min="3058" max="3058" width="2.7" style="228" customWidth="1"/>
    <col min="3059" max="3059" width="9.4" style="228" customWidth="1"/>
    <col min="3060" max="3075" width="9" style="228" hidden="1" customWidth="1"/>
    <col min="3076" max="3076" width="12.1" style="228" customWidth="1"/>
    <col min="3077" max="3080" width="10.1" style="228" customWidth="1"/>
    <col min="3081" max="3081" width="32.6" style="228" customWidth="1"/>
    <col min="3082" max="3083" width="9" style="228"/>
    <col min="3084" max="3084" width="11.1" style="228" customWidth="1"/>
    <col min="3085" max="3313" width="9" style="228"/>
    <col min="3314" max="3314" width="2.7" style="228" customWidth="1"/>
    <col min="3315" max="3315" width="9.4" style="228" customWidth="1"/>
    <col min="3316" max="3331" width="9" style="228" hidden="1" customWidth="1"/>
    <col min="3332" max="3332" width="12.1" style="228" customWidth="1"/>
    <col min="3333" max="3336" width="10.1" style="228" customWidth="1"/>
    <col min="3337" max="3337" width="32.6" style="228" customWidth="1"/>
    <col min="3338" max="3339" width="9" style="228"/>
    <col min="3340" max="3340" width="11.1" style="228" customWidth="1"/>
    <col min="3341" max="3569" width="9" style="228"/>
    <col min="3570" max="3570" width="2.7" style="228" customWidth="1"/>
    <col min="3571" max="3571" width="9.4" style="228" customWidth="1"/>
    <col min="3572" max="3587" width="9" style="228" hidden="1" customWidth="1"/>
    <col min="3588" max="3588" width="12.1" style="228" customWidth="1"/>
    <col min="3589" max="3592" width="10.1" style="228" customWidth="1"/>
    <col min="3593" max="3593" width="32.6" style="228" customWidth="1"/>
    <col min="3594" max="3595" width="9" style="228"/>
    <col min="3596" max="3596" width="11.1" style="228" customWidth="1"/>
    <col min="3597" max="3825" width="9" style="228"/>
    <col min="3826" max="3826" width="2.7" style="228" customWidth="1"/>
    <col min="3827" max="3827" width="9.4" style="228" customWidth="1"/>
    <col min="3828" max="3843" width="9" style="228" hidden="1" customWidth="1"/>
    <col min="3844" max="3844" width="12.1" style="228" customWidth="1"/>
    <col min="3845" max="3848" width="10.1" style="228" customWidth="1"/>
    <col min="3849" max="3849" width="32.6" style="228" customWidth="1"/>
    <col min="3850" max="3851" width="9" style="228"/>
    <col min="3852" max="3852" width="11.1" style="228" customWidth="1"/>
    <col min="3853" max="4081" width="9" style="228"/>
    <col min="4082" max="4082" width="2.7" style="228" customWidth="1"/>
    <col min="4083" max="4083" width="9.4" style="228" customWidth="1"/>
    <col min="4084" max="4099" width="9" style="228" hidden="1" customWidth="1"/>
    <col min="4100" max="4100" width="12.1" style="228" customWidth="1"/>
    <col min="4101" max="4104" width="10.1" style="228" customWidth="1"/>
    <col min="4105" max="4105" width="32.6" style="228" customWidth="1"/>
    <col min="4106" max="4107" width="9" style="228"/>
    <col min="4108" max="4108" width="11.1" style="228" customWidth="1"/>
    <col min="4109" max="4337" width="9" style="228"/>
    <col min="4338" max="4338" width="2.7" style="228" customWidth="1"/>
    <col min="4339" max="4339" width="9.4" style="228" customWidth="1"/>
    <col min="4340" max="4355" width="9" style="228" hidden="1" customWidth="1"/>
    <col min="4356" max="4356" width="12.1" style="228" customWidth="1"/>
    <col min="4357" max="4360" width="10.1" style="228" customWidth="1"/>
    <col min="4361" max="4361" width="32.6" style="228" customWidth="1"/>
    <col min="4362" max="4363" width="9" style="228"/>
    <col min="4364" max="4364" width="11.1" style="228" customWidth="1"/>
    <col min="4365" max="4593" width="9" style="228"/>
    <col min="4594" max="4594" width="2.7" style="228" customWidth="1"/>
    <col min="4595" max="4595" width="9.4" style="228" customWidth="1"/>
    <col min="4596" max="4611" width="9" style="228" hidden="1" customWidth="1"/>
    <col min="4612" max="4612" width="12.1" style="228" customWidth="1"/>
    <col min="4613" max="4616" width="10.1" style="228" customWidth="1"/>
    <col min="4617" max="4617" width="32.6" style="228" customWidth="1"/>
    <col min="4618" max="4619" width="9" style="228"/>
    <col min="4620" max="4620" width="11.1" style="228" customWidth="1"/>
    <col min="4621" max="4849" width="9" style="228"/>
    <col min="4850" max="4850" width="2.7" style="228" customWidth="1"/>
    <col min="4851" max="4851" width="9.4" style="228" customWidth="1"/>
    <col min="4852" max="4867" width="9" style="228" hidden="1" customWidth="1"/>
    <col min="4868" max="4868" width="12.1" style="228" customWidth="1"/>
    <col min="4869" max="4872" width="10.1" style="228" customWidth="1"/>
    <col min="4873" max="4873" width="32.6" style="228" customWidth="1"/>
    <col min="4874" max="4875" width="9" style="228"/>
    <col min="4876" max="4876" width="11.1" style="228" customWidth="1"/>
    <col min="4877" max="5105" width="9" style="228"/>
    <col min="5106" max="5106" width="2.7" style="228" customWidth="1"/>
    <col min="5107" max="5107" width="9.4" style="228" customWidth="1"/>
    <col min="5108" max="5123" width="9" style="228" hidden="1" customWidth="1"/>
    <col min="5124" max="5124" width="12.1" style="228" customWidth="1"/>
    <col min="5125" max="5128" width="10.1" style="228" customWidth="1"/>
    <col min="5129" max="5129" width="32.6" style="228" customWidth="1"/>
    <col min="5130" max="5131" width="9" style="228"/>
    <col min="5132" max="5132" width="11.1" style="228" customWidth="1"/>
    <col min="5133" max="5361" width="9" style="228"/>
    <col min="5362" max="5362" width="2.7" style="228" customWidth="1"/>
    <col min="5363" max="5363" width="9.4" style="228" customWidth="1"/>
    <col min="5364" max="5379" width="9" style="228" hidden="1" customWidth="1"/>
    <col min="5380" max="5380" width="12.1" style="228" customWidth="1"/>
    <col min="5381" max="5384" width="10.1" style="228" customWidth="1"/>
    <col min="5385" max="5385" width="32.6" style="228" customWidth="1"/>
    <col min="5386" max="5387" width="9" style="228"/>
    <col min="5388" max="5388" width="11.1" style="228" customWidth="1"/>
    <col min="5389" max="5617" width="9" style="228"/>
    <col min="5618" max="5618" width="2.7" style="228" customWidth="1"/>
    <col min="5619" max="5619" width="9.4" style="228" customWidth="1"/>
    <col min="5620" max="5635" width="9" style="228" hidden="1" customWidth="1"/>
    <col min="5636" max="5636" width="12.1" style="228" customWidth="1"/>
    <col min="5637" max="5640" width="10.1" style="228" customWidth="1"/>
    <col min="5641" max="5641" width="32.6" style="228" customWidth="1"/>
    <col min="5642" max="5643" width="9" style="228"/>
    <col min="5644" max="5644" width="11.1" style="228" customWidth="1"/>
    <col min="5645" max="5873" width="9" style="228"/>
    <col min="5874" max="5874" width="2.7" style="228" customWidth="1"/>
    <col min="5875" max="5875" width="9.4" style="228" customWidth="1"/>
    <col min="5876" max="5891" width="9" style="228" hidden="1" customWidth="1"/>
    <col min="5892" max="5892" width="12.1" style="228" customWidth="1"/>
    <col min="5893" max="5896" width="10.1" style="228" customWidth="1"/>
    <col min="5897" max="5897" width="32.6" style="228" customWidth="1"/>
    <col min="5898" max="5899" width="9" style="228"/>
    <col min="5900" max="5900" width="11.1" style="228" customWidth="1"/>
    <col min="5901" max="6129" width="9" style="228"/>
    <col min="6130" max="6130" width="2.7" style="228" customWidth="1"/>
    <col min="6131" max="6131" width="9.4" style="228" customWidth="1"/>
    <col min="6132" max="6147" width="9" style="228" hidden="1" customWidth="1"/>
    <col min="6148" max="6148" width="12.1" style="228" customWidth="1"/>
    <col min="6149" max="6152" width="10.1" style="228" customWidth="1"/>
    <col min="6153" max="6153" width="32.6" style="228" customWidth="1"/>
    <col min="6154" max="6155" width="9" style="228"/>
    <col min="6156" max="6156" width="11.1" style="228" customWidth="1"/>
    <col min="6157" max="6385" width="9" style="228"/>
    <col min="6386" max="6386" width="2.7" style="228" customWidth="1"/>
    <col min="6387" max="6387" width="9.4" style="228" customWidth="1"/>
    <col min="6388" max="6403" width="9" style="228" hidden="1" customWidth="1"/>
    <col min="6404" max="6404" width="12.1" style="228" customWidth="1"/>
    <col min="6405" max="6408" width="10.1" style="228" customWidth="1"/>
    <col min="6409" max="6409" width="32.6" style="228" customWidth="1"/>
    <col min="6410" max="6411" width="9" style="228"/>
    <col min="6412" max="6412" width="11.1" style="228" customWidth="1"/>
    <col min="6413" max="6641" width="9" style="228"/>
    <col min="6642" max="6642" width="2.7" style="228" customWidth="1"/>
    <col min="6643" max="6643" width="9.4" style="228" customWidth="1"/>
    <col min="6644" max="6659" width="9" style="228" hidden="1" customWidth="1"/>
    <col min="6660" max="6660" width="12.1" style="228" customWidth="1"/>
    <col min="6661" max="6664" width="10.1" style="228" customWidth="1"/>
    <col min="6665" max="6665" width="32.6" style="228" customWidth="1"/>
    <col min="6666" max="6667" width="9" style="228"/>
    <col min="6668" max="6668" width="11.1" style="228" customWidth="1"/>
    <col min="6669" max="6897" width="9" style="228"/>
    <col min="6898" max="6898" width="2.7" style="228" customWidth="1"/>
    <col min="6899" max="6899" width="9.4" style="228" customWidth="1"/>
    <col min="6900" max="6915" width="9" style="228" hidden="1" customWidth="1"/>
    <col min="6916" max="6916" width="12.1" style="228" customWidth="1"/>
    <col min="6917" max="6920" width="10.1" style="228" customWidth="1"/>
    <col min="6921" max="6921" width="32.6" style="228" customWidth="1"/>
    <col min="6922" max="6923" width="9" style="228"/>
    <col min="6924" max="6924" width="11.1" style="228" customWidth="1"/>
    <col min="6925" max="7153" width="9" style="228"/>
    <col min="7154" max="7154" width="2.7" style="228" customWidth="1"/>
    <col min="7155" max="7155" width="9.4" style="228" customWidth="1"/>
    <col min="7156" max="7171" width="9" style="228" hidden="1" customWidth="1"/>
    <col min="7172" max="7172" width="12.1" style="228" customWidth="1"/>
    <col min="7173" max="7176" width="10.1" style="228" customWidth="1"/>
    <col min="7177" max="7177" width="32.6" style="228" customWidth="1"/>
    <col min="7178" max="7179" width="9" style="228"/>
    <col min="7180" max="7180" width="11.1" style="228" customWidth="1"/>
    <col min="7181" max="7409" width="9" style="228"/>
    <col min="7410" max="7410" width="2.7" style="228" customWidth="1"/>
    <col min="7411" max="7411" width="9.4" style="228" customWidth="1"/>
    <col min="7412" max="7427" width="9" style="228" hidden="1" customWidth="1"/>
    <col min="7428" max="7428" width="12.1" style="228" customWidth="1"/>
    <col min="7429" max="7432" width="10.1" style="228" customWidth="1"/>
    <col min="7433" max="7433" width="32.6" style="228" customWidth="1"/>
    <col min="7434" max="7435" width="9" style="228"/>
    <col min="7436" max="7436" width="11.1" style="228" customWidth="1"/>
    <col min="7437" max="7665" width="9" style="228"/>
    <col min="7666" max="7666" width="2.7" style="228" customWidth="1"/>
    <col min="7667" max="7667" width="9.4" style="228" customWidth="1"/>
    <col min="7668" max="7683" width="9" style="228" hidden="1" customWidth="1"/>
    <col min="7684" max="7684" width="12.1" style="228" customWidth="1"/>
    <col min="7685" max="7688" width="10.1" style="228" customWidth="1"/>
    <col min="7689" max="7689" width="32.6" style="228" customWidth="1"/>
    <col min="7690" max="7691" width="9" style="228"/>
    <col min="7692" max="7692" width="11.1" style="228" customWidth="1"/>
    <col min="7693" max="7921" width="9" style="228"/>
    <col min="7922" max="7922" width="2.7" style="228" customWidth="1"/>
    <col min="7923" max="7923" width="9.4" style="228" customWidth="1"/>
    <col min="7924" max="7939" width="9" style="228" hidden="1" customWidth="1"/>
    <col min="7940" max="7940" width="12.1" style="228" customWidth="1"/>
    <col min="7941" max="7944" width="10.1" style="228" customWidth="1"/>
    <col min="7945" max="7945" width="32.6" style="228" customWidth="1"/>
    <col min="7946" max="7947" width="9" style="228"/>
    <col min="7948" max="7948" width="11.1" style="228" customWidth="1"/>
    <col min="7949" max="8177" width="9" style="228"/>
    <col min="8178" max="8178" width="2.7" style="228" customWidth="1"/>
    <col min="8179" max="8179" width="9.4" style="228" customWidth="1"/>
    <col min="8180" max="8195" width="9" style="228" hidden="1" customWidth="1"/>
    <col min="8196" max="8196" width="12.1" style="228" customWidth="1"/>
    <col min="8197" max="8200" width="10.1" style="228" customWidth="1"/>
    <col min="8201" max="8201" width="32.6" style="228" customWidth="1"/>
    <col min="8202" max="8203" width="9" style="228"/>
    <col min="8204" max="8204" width="11.1" style="228" customWidth="1"/>
    <col min="8205" max="8433" width="9" style="228"/>
    <col min="8434" max="8434" width="2.7" style="228" customWidth="1"/>
    <col min="8435" max="8435" width="9.4" style="228" customWidth="1"/>
    <col min="8436" max="8451" width="9" style="228" hidden="1" customWidth="1"/>
    <col min="8452" max="8452" width="12.1" style="228" customWidth="1"/>
    <col min="8453" max="8456" width="10.1" style="228" customWidth="1"/>
    <col min="8457" max="8457" width="32.6" style="228" customWidth="1"/>
    <col min="8458" max="8459" width="9" style="228"/>
    <col min="8460" max="8460" width="11.1" style="228" customWidth="1"/>
    <col min="8461" max="8689" width="9" style="228"/>
    <col min="8690" max="8690" width="2.7" style="228" customWidth="1"/>
    <col min="8691" max="8691" width="9.4" style="228" customWidth="1"/>
    <col min="8692" max="8707" width="9" style="228" hidden="1" customWidth="1"/>
    <col min="8708" max="8708" width="12.1" style="228" customWidth="1"/>
    <col min="8709" max="8712" width="10.1" style="228" customWidth="1"/>
    <col min="8713" max="8713" width="32.6" style="228" customWidth="1"/>
    <col min="8714" max="8715" width="9" style="228"/>
    <col min="8716" max="8716" width="11.1" style="228" customWidth="1"/>
    <col min="8717" max="8945" width="9" style="228"/>
    <col min="8946" max="8946" width="2.7" style="228" customWidth="1"/>
    <col min="8947" max="8947" width="9.4" style="228" customWidth="1"/>
    <col min="8948" max="8963" width="9" style="228" hidden="1" customWidth="1"/>
    <col min="8964" max="8964" width="12.1" style="228" customWidth="1"/>
    <col min="8965" max="8968" width="10.1" style="228" customWidth="1"/>
    <col min="8969" max="8969" width="32.6" style="228" customWidth="1"/>
    <col min="8970" max="8971" width="9" style="228"/>
    <col min="8972" max="8972" width="11.1" style="228" customWidth="1"/>
    <col min="8973" max="9201" width="9" style="228"/>
    <col min="9202" max="9202" width="2.7" style="228" customWidth="1"/>
    <col min="9203" max="9203" width="9.4" style="228" customWidth="1"/>
    <col min="9204" max="9219" width="9" style="228" hidden="1" customWidth="1"/>
    <col min="9220" max="9220" width="12.1" style="228" customWidth="1"/>
    <col min="9221" max="9224" width="10.1" style="228" customWidth="1"/>
    <col min="9225" max="9225" width="32.6" style="228" customWidth="1"/>
    <col min="9226" max="9227" width="9" style="228"/>
    <col min="9228" max="9228" width="11.1" style="228" customWidth="1"/>
    <col min="9229" max="9457" width="9" style="228"/>
    <col min="9458" max="9458" width="2.7" style="228" customWidth="1"/>
    <col min="9459" max="9459" width="9.4" style="228" customWidth="1"/>
    <col min="9460" max="9475" width="9" style="228" hidden="1" customWidth="1"/>
    <col min="9476" max="9476" width="12.1" style="228" customWidth="1"/>
    <col min="9477" max="9480" width="10.1" style="228" customWidth="1"/>
    <col min="9481" max="9481" width="32.6" style="228" customWidth="1"/>
    <col min="9482" max="9483" width="9" style="228"/>
    <col min="9484" max="9484" width="11.1" style="228" customWidth="1"/>
    <col min="9485" max="9713" width="9" style="228"/>
    <col min="9714" max="9714" width="2.7" style="228" customWidth="1"/>
    <col min="9715" max="9715" width="9.4" style="228" customWidth="1"/>
    <col min="9716" max="9731" width="9" style="228" hidden="1" customWidth="1"/>
    <col min="9732" max="9732" width="12.1" style="228" customWidth="1"/>
    <col min="9733" max="9736" width="10.1" style="228" customWidth="1"/>
    <col min="9737" max="9737" width="32.6" style="228" customWidth="1"/>
    <col min="9738" max="9739" width="9" style="228"/>
    <col min="9740" max="9740" width="11.1" style="228" customWidth="1"/>
    <col min="9741" max="9969" width="9" style="228"/>
    <col min="9970" max="9970" width="2.7" style="228" customWidth="1"/>
    <col min="9971" max="9971" width="9.4" style="228" customWidth="1"/>
    <col min="9972" max="9987" width="9" style="228" hidden="1" customWidth="1"/>
    <col min="9988" max="9988" width="12.1" style="228" customWidth="1"/>
    <col min="9989" max="9992" width="10.1" style="228" customWidth="1"/>
    <col min="9993" max="9993" width="32.6" style="228" customWidth="1"/>
    <col min="9994" max="9995" width="9" style="228"/>
    <col min="9996" max="9996" width="11.1" style="228" customWidth="1"/>
    <col min="9997" max="10225" width="9" style="228"/>
    <col min="10226" max="10226" width="2.7" style="228" customWidth="1"/>
    <col min="10227" max="10227" width="9.4" style="228" customWidth="1"/>
    <col min="10228" max="10243" width="9" style="228" hidden="1" customWidth="1"/>
    <col min="10244" max="10244" width="12.1" style="228" customWidth="1"/>
    <col min="10245" max="10248" width="10.1" style="228" customWidth="1"/>
    <col min="10249" max="10249" width="32.6" style="228" customWidth="1"/>
    <col min="10250" max="10251" width="9" style="228"/>
    <col min="10252" max="10252" width="11.1" style="228" customWidth="1"/>
    <col min="10253" max="10481" width="9" style="228"/>
    <col min="10482" max="10482" width="2.7" style="228" customWidth="1"/>
    <col min="10483" max="10483" width="9.4" style="228" customWidth="1"/>
    <col min="10484" max="10499" width="9" style="228" hidden="1" customWidth="1"/>
    <col min="10500" max="10500" width="12.1" style="228" customWidth="1"/>
    <col min="10501" max="10504" width="10.1" style="228" customWidth="1"/>
    <col min="10505" max="10505" width="32.6" style="228" customWidth="1"/>
    <col min="10506" max="10507" width="9" style="228"/>
    <col min="10508" max="10508" width="11.1" style="228" customWidth="1"/>
    <col min="10509" max="10737" width="9" style="228"/>
    <col min="10738" max="10738" width="2.7" style="228" customWidth="1"/>
    <col min="10739" max="10739" width="9.4" style="228" customWidth="1"/>
    <col min="10740" max="10755" width="9" style="228" hidden="1" customWidth="1"/>
    <col min="10756" max="10756" width="12.1" style="228" customWidth="1"/>
    <col min="10757" max="10760" width="10.1" style="228" customWidth="1"/>
    <col min="10761" max="10761" width="32.6" style="228" customWidth="1"/>
    <col min="10762" max="10763" width="9" style="228"/>
    <col min="10764" max="10764" width="11.1" style="228" customWidth="1"/>
    <col min="10765" max="10993" width="9" style="228"/>
    <col min="10994" max="10994" width="2.7" style="228" customWidth="1"/>
    <col min="10995" max="10995" width="9.4" style="228" customWidth="1"/>
    <col min="10996" max="11011" width="9" style="228" hidden="1" customWidth="1"/>
    <col min="11012" max="11012" width="12.1" style="228" customWidth="1"/>
    <col min="11013" max="11016" width="10.1" style="228" customWidth="1"/>
    <col min="11017" max="11017" width="32.6" style="228" customWidth="1"/>
    <col min="11018" max="11019" width="9" style="228"/>
    <col min="11020" max="11020" width="11.1" style="228" customWidth="1"/>
    <col min="11021" max="11249" width="9" style="228"/>
    <col min="11250" max="11250" width="2.7" style="228" customWidth="1"/>
    <col min="11251" max="11251" width="9.4" style="228" customWidth="1"/>
    <col min="11252" max="11267" width="9" style="228" hidden="1" customWidth="1"/>
    <col min="11268" max="11268" width="12.1" style="228" customWidth="1"/>
    <col min="11269" max="11272" width="10.1" style="228" customWidth="1"/>
    <col min="11273" max="11273" width="32.6" style="228" customWidth="1"/>
    <col min="11274" max="11275" width="9" style="228"/>
    <col min="11276" max="11276" width="11.1" style="228" customWidth="1"/>
    <col min="11277" max="11505" width="9" style="228"/>
    <col min="11506" max="11506" width="2.7" style="228" customWidth="1"/>
    <col min="11507" max="11507" width="9.4" style="228" customWidth="1"/>
    <col min="11508" max="11523" width="9" style="228" hidden="1" customWidth="1"/>
    <col min="11524" max="11524" width="12.1" style="228" customWidth="1"/>
    <col min="11525" max="11528" width="10.1" style="228" customWidth="1"/>
    <col min="11529" max="11529" width="32.6" style="228" customWidth="1"/>
    <col min="11530" max="11531" width="9" style="228"/>
    <col min="11532" max="11532" width="11.1" style="228" customWidth="1"/>
    <col min="11533" max="11761" width="9" style="228"/>
    <col min="11762" max="11762" width="2.7" style="228" customWidth="1"/>
    <col min="11763" max="11763" width="9.4" style="228" customWidth="1"/>
    <col min="11764" max="11779" width="9" style="228" hidden="1" customWidth="1"/>
    <col min="11780" max="11780" width="12.1" style="228" customWidth="1"/>
    <col min="11781" max="11784" width="10.1" style="228" customWidth="1"/>
    <col min="11785" max="11785" width="32.6" style="228" customWidth="1"/>
    <col min="11786" max="11787" width="9" style="228"/>
    <col min="11788" max="11788" width="11.1" style="228" customWidth="1"/>
    <col min="11789" max="12017" width="9" style="228"/>
    <col min="12018" max="12018" width="2.7" style="228" customWidth="1"/>
    <col min="12019" max="12019" width="9.4" style="228" customWidth="1"/>
    <col min="12020" max="12035" width="9" style="228" hidden="1" customWidth="1"/>
    <col min="12036" max="12036" width="12.1" style="228" customWidth="1"/>
    <col min="12037" max="12040" width="10.1" style="228" customWidth="1"/>
    <col min="12041" max="12041" width="32.6" style="228" customWidth="1"/>
    <col min="12042" max="12043" width="9" style="228"/>
    <col min="12044" max="12044" width="11.1" style="228" customWidth="1"/>
    <col min="12045" max="12273" width="9" style="228"/>
    <col min="12274" max="12274" width="2.7" style="228" customWidth="1"/>
    <col min="12275" max="12275" width="9.4" style="228" customWidth="1"/>
    <col min="12276" max="12291" width="9" style="228" hidden="1" customWidth="1"/>
    <col min="12292" max="12292" width="12.1" style="228" customWidth="1"/>
    <col min="12293" max="12296" width="10.1" style="228" customWidth="1"/>
    <col min="12297" max="12297" width="32.6" style="228" customWidth="1"/>
    <col min="12298" max="12299" width="9" style="228"/>
    <col min="12300" max="12300" width="11.1" style="228" customWidth="1"/>
    <col min="12301" max="12529" width="9" style="228"/>
    <col min="12530" max="12530" width="2.7" style="228" customWidth="1"/>
    <col min="12531" max="12531" width="9.4" style="228" customWidth="1"/>
    <col min="12532" max="12547" width="9" style="228" hidden="1" customWidth="1"/>
    <col min="12548" max="12548" width="12.1" style="228" customWidth="1"/>
    <col min="12549" max="12552" width="10.1" style="228" customWidth="1"/>
    <col min="12553" max="12553" width="32.6" style="228" customWidth="1"/>
    <col min="12554" max="12555" width="9" style="228"/>
    <col min="12556" max="12556" width="11.1" style="228" customWidth="1"/>
    <col min="12557" max="12785" width="9" style="228"/>
    <col min="12786" max="12786" width="2.7" style="228" customWidth="1"/>
    <col min="12787" max="12787" width="9.4" style="228" customWidth="1"/>
    <col min="12788" max="12803" width="9" style="228" hidden="1" customWidth="1"/>
    <col min="12804" max="12804" width="12.1" style="228" customWidth="1"/>
    <col min="12805" max="12808" width="10.1" style="228" customWidth="1"/>
    <col min="12809" max="12809" width="32.6" style="228" customWidth="1"/>
    <col min="12810" max="12811" width="9" style="228"/>
    <col min="12812" max="12812" width="11.1" style="228" customWidth="1"/>
    <col min="12813" max="13041" width="9" style="228"/>
    <col min="13042" max="13042" width="2.7" style="228" customWidth="1"/>
    <col min="13043" max="13043" width="9.4" style="228" customWidth="1"/>
    <col min="13044" max="13059" width="9" style="228" hidden="1" customWidth="1"/>
    <col min="13060" max="13060" width="12.1" style="228" customWidth="1"/>
    <col min="13061" max="13064" width="10.1" style="228" customWidth="1"/>
    <col min="13065" max="13065" width="32.6" style="228" customWidth="1"/>
    <col min="13066" max="13067" width="9" style="228"/>
    <col min="13068" max="13068" width="11.1" style="228" customWidth="1"/>
    <col min="13069" max="13297" width="9" style="228"/>
    <col min="13298" max="13298" width="2.7" style="228" customWidth="1"/>
    <col min="13299" max="13299" width="9.4" style="228" customWidth="1"/>
    <col min="13300" max="13315" width="9" style="228" hidden="1" customWidth="1"/>
    <col min="13316" max="13316" width="12.1" style="228" customWidth="1"/>
    <col min="13317" max="13320" width="10.1" style="228" customWidth="1"/>
    <col min="13321" max="13321" width="32.6" style="228" customWidth="1"/>
    <col min="13322" max="13323" width="9" style="228"/>
    <col min="13324" max="13324" width="11.1" style="228" customWidth="1"/>
    <col min="13325" max="13553" width="9" style="228"/>
    <col min="13554" max="13554" width="2.7" style="228" customWidth="1"/>
    <col min="13555" max="13555" width="9.4" style="228" customWidth="1"/>
    <col min="13556" max="13571" width="9" style="228" hidden="1" customWidth="1"/>
    <col min="13572" max="13572" width="12.1" style="228" customWidth="1"/>
    <col min="13573" max="13576" width="10.1" style="228" customWidth="1"/>
    <col min="13577" max="13577" width="32.6" style="228" customWidth="1"/>
    <col min="13578" max="13579" width="9" style="228"/>
    <col min="13580" max="13580" width="11.1" style="228" customWidth="1"/>
    <col min="13581" max="13809" width="9" style="228"/>
    <col min="13810" max="13810" width="2.7" style="228" customWidth="1"/>
    <col min="13811" max="13811" width="9.4" style="228" customWidth="1"/>
    <col min="13812" max="13827" width="9" style="228" hidden="1" customWidth="1"/>
    <col min="13828" max="13828" width="12.1" style="228" customWidth="1"/>
    <col min="13829" max="13832" width="10.1" style="228" customWidth="1"/>
    <col min="13833" max="13833" width="32.6" style="228" customWidth="1"/>
    <col min="13834" max="13835" width="9" style="228"/>
    <col min="13836" max="13836" width="11.1" style="228" customWidth="1"/>
    <col min="13837" max="14065" width="9" style="228"/>
    <col min="14066" max="14066" width="2.7" style="228" customWidth="1"/>
    <col min="14067" max="14067" width="9.4" style="228" customWidth="1"/>
    <col min="14068" max="14083" width="9" style="228" hidden="1" customWidth="1"/>
    <col min="14084" max="14084" width="12.1" style="228" customWidth="1"/>
    <col min="14085" max="14088" width="10.1" style="228" customWidth="1"/>
    <col min="14089" max="14089" width="32.6" style="228" customWidth="1"/>
    <col min="14090" max="14091" width="9" style="228"/>
    <col min="14092" max="14092" width="11.1" style="228" customWidth="1"/>
    <col min="14093" max="14321" width="9" style="228"/>
    <col min="14322" max="14322" width="2.7" style="228" customWidth="1"/>
    <col min="14323" max="14323" width="9.4" style="228" customWidth="1"/>
    <col min="14324" max="14339" width="9" style="228" hidden="1" customWidth="1"/>
    <col min="14340" max="14340" width="12.1" style="228" customWidth="1"/>
    <col min="14341" max="14344" width="10.1" style="228" customWidth="1"/>
    <col min="14345" max="14345" width="32.6" style="228" customWidth="1"/>
    <col min="14346" max="14347" width="9" style="228"/>
    <col min="14348" max="14348" width="11.1" style="228" customWidth="1"/>
    <col min="14349" max="14577" width="9" style="228"/>
    <col min="14578" max="14578" width="2.7" style="228" customWidth="1"/>
    <col min="14579" max="14579" width="9.4" style="228" customWidth="1"/>
    <col min="14580" max="14595" width="9" style="228" hidden="1" customWidth="1"/>
    <col min="14596" max="14596" width="12.1" style="228" customWidth="1"/>
    <col min="14597" max="14600" width="10.1" style="228" customWidth="1"/>
    <col min="14601" max="14601" width="32.6" style="228" customWidth="1"/>
    <col min="14602" max="14603" width="9" style="228"/>
    <col min="14604" max="14604" width="11.1" style="228" customWidth="1"/>
    <col min="14605" max="14833" width="9" style="228"/>
    <col min="14834" max="14834" width="2.7" style="228" customWidth="1"/>
    <col min="14835" max="14835" width="9.4" style="228" customWidth="1"/>
    <col min="14836" max="14851" width="9" style="228" hidden="1" customWidth="1"/>
    <col min="14852" max="14852" width="12.1" style="228" customWidth="1"/>
    <col min="14853" max="14856" width="10.1" style="228" customWidth="1"/>
    <col min="14857" max="14857" width="32.6" style="228" customWidth="1"/>
    <col min="14858" max="14859" width="9" style="228"/>
    <col min="14860" max="14860" width="11.1" style="228" customWidth="1"/>
    <col min="14861" max="15089" width="9" style="228"/>
    <col min="15090" max="15090" width="2.7" style="228" customWidth="1"/>
    <col min="15091" max="15091" width="9.4" style="228" customWidth="1"/>
    <col min="15092" max="15107" width="9" style="228" hidden="1" customWidth="1"/>
    <col min="15108" max="15108" width="12.1" style="228" customWidth="1"/>
    <col min="15109" max="15112" width="10.1" style="228" customWidth="1"/>
    <col min="15113" max="15113" width="32.6" style="228" customWidth="1"/>
    <col min="15114" max="15115" width="9" style="228"/>
    <col min="15116" max="15116" width="11.1" style="228" customWidth="1"/>
    <col min="15117" max="15345" width="9" style="228"/>
    <col min="15346" max="15346" width="2.7" style="228" customWidth="1"/>
    <col min="15347" max="15347" width="9.4" style="228" customWidth="1"/>
    <col min="15348" max="15363" width="9" style="228" hidden="1" customWidth="1"/>
    <col min="15364" max="15364" width="12.1" style="228" customWidth="1"/>
    <col min="15365" max="15368" width="10.1" style="228" customWidth="1"/>
    <col min="15369" max="15369" width="32.6" style="228" customWidth="1"/>
    <col min="15370" max="15371" width="9" style="228"/>
    <col min="15372" max="15372" width="11.1" style="228" customWidth="1"/>
    <col min="15373" max="15601" width="9" style="228"/>
    <col min="15602" max="15602" width="2.7" style="228" customWidth="1"/>
    <col min="15603" max="15603" width="9.4" style="228" customWidth="1"/>
    <col min="15604" max="15619" width="9" style="228" hidden="1" customWidth="1"/>
    <col min="15620" max="15620" width="12.1" style="228" customWidth="1"/>
    <col min="15621" max="15624" width="10.1" style="228" customWidth="1"/>
    <col min="15625" max="15625" width="32.6" style="228" customWidth="1"/>
    <col min="15626" max="15627" width="9" style="228"/>
    <col min="15628" max="15628" width="11.1" style="228" customWidth="1"/>
    <col min="15629" max="15857" width="9" style="228"/>
    <col min="15858" max="15858" width="2.7" style="228" customWidth="1"/>
    <col min="15859" max="15859" width="9.4" style="228" customWidth="1"/>
    <col min="15860" max="15875" width="9" style="228" hidden="1" customWidth="1"/>
    <col min="15876" max="15876" width="12.1" style="228" customWidth="1"/>
    <col min="15877" max="15880" width="10.1" style="228" customWidth="1"/>
    <col min="15881" max="15881" width="32.6" style="228" customWidth="1"/>
    <col min="15882" max="15883" width="9" style="228"/>
    <col min="15884" max="15884" width="11.1" style="228" customWidth="1"/>
    <col min="15885" max="16113" width="9" style="228"/>
    <col min="16114" max="16114" width="2.7" style="228" customWidth="1"/>
    <col min="16115" max="16115" width="9.4" style="228" customWidth="1"/>
    <col min="16116" max="16131" width="9" style="228" hidden="1" customWidth="1"/>
    <col min="16132" max="16132" width="12.1" style="228" customWidth="1"/>
    <col min="16133" max="16136" width="10.1" style="228" customWidth="1"/>
    <col min="16137" max="16137" width="32.6" style="228" customWidth="1"/>
    <col min="16138" max="16139" width="9" style="228"/>
    <col min="16140" max="16140" width="11.1" style="228" customWidth="1"/>
    <col min="16141" max="16384" width="9" style="228"/>
  </cols>
  <sheetData>
    <row r="1" s="188" customFormat="1" ht="20.25" spans="1:9">
      <c r="A1" s="229"/>
      <c r="B1" s="230"/>
      <c r="C1" s="231" t="s">
        <v>364</v>
      </c>
      <c r="D1" s="231"/>
      <c r="E1" s="231"/>
      <c r="F1" s="231"/>
      <c r="G1" s="231"/>
      <c r="H1" s="231"/>
      <c r="I1" s="247"/>
    </row>
    <row r="2" s="188" customFormat="1" spans="1:10">
      <c r="A2" s="232"/>
      <c r="B2" s="232"/>
      <c r="C2" s="232"/>
      <c r="D2" s="232"/>
      <c r="E2" s="232"/>
      <c r="F2" s="232"/>
      <c r="G2" s="232"/>
      <c r="H2" s="232"/>
      <c r="I2" s="247"/>
      <c r="J2" s="248"/>
    </row>
    <row r="3" s="227" customFormat="1" ht="17.25" spans="1:11">
      <c r="A3" s="233" t="s">
        <v>1231</v>
      </c>
      <c r="B3" s="233"/>
      <c r="I3" s="247"/>
      <c r="J3" s="249"/>
      <c r="K3" s="250"/>
    </row>
    <row r="4" s="227" customFormat="1" ht="12" spans="1:9">
      <c r="A4" s="234" t="s">
        <v>29</v>
      </c>
      <c r="B4" s="235" t="s">
        <v>195</v>
      </c>
      <c r="C4" s="236" t="s">
        <v>247</v>
      </c>
      <c r="D4" s="235" t="s">
        <v>248</v>
      </c>
      <c r="E4" s="235" t="s">
        <v>249</v>
      </c>
      <c r="F4" s="235" t="s">
        <v>250</v>
      </c>
      <c r="G4" s="235" t="s">
        <v>251</v>
      </c>
      <c r="H4" s="235" t="s">
        <v>1218</v>
      </c>
      <c r="I4" s="251" t="s">
        <v>1235</v>
      </c>
    </row>
    <row r="5" s="227" customFormat="1" ht="12" spans="1:9">
      <c r="A5" s="237"/>
      <c r="B5" s="238"/>
      <c r="C5" s="238" t="s">
        <v>226</v>
      </c>
      <c r="D5" s="238" t="s">
        <v>226</v>
      </c>
      <c r="E5" s="238" t="s">
        <v>226</v>
      </c>
      <c r="F5" s="238" t="s">
        <v>226</v>
      </c>
      <c r="G5" s="238" t="s">
        <v>226</v>
      </c>
      <c r="H5" s="238" t="s">
        <v>226</v>
      </c>
      <c r="I5" s="252"/>
    </row>
    <row r="6" s="227" customFormat="1" ht="12" spans="1:9">
      <c r="A6" s="237"/>
      <c r="B6" s="238"/>
      <c r="C6" s="238"/>
      <c r="D6" s="238"/>
      <c r="E6" s="238"/>
      <c r="F6" s="238"/>
      <c r="G6" s="238"/>
      <c r="H6" s="238"/>
      <c r="I6" s="252"/>
    </row>
    <row r="7" s="227" customFormat="1" ht="12" spans="1:9">
      <c r="A7" s="237">
        <v>1</v>
      </c>
      <c r="B7" s="239" t="s">
        <v>1237</v>
      </c>
      <c r="C7" s="240">
        <f>人员费用表!B22</f>
        <v>107.64</v>
      </c>
      <c r="D7" s="240">
        <f>人员费用表!C22</f>
        <v>113.022</v>
      </c>
      <c r="E7" s="240">
        <f>人员费用表!D22</f>
        <v>118.6731</v>
      </c>
      <c r="F7" s="240">
        <f>人员费用表!E22</f>
        <v>124.606755</v>
      </c>
      <c r="G7" s="240">
        <f>人员费用表!F22</f>
        <v>130.83709275</v>
      </c>
      <c r="H7" s="240">
        <f>人员费用表!G22</f>
        <v>130.83709275</v>
      </c>
      <c r="I7" s="253"/>
    </row>
    <row r="8" s="227" customFormat="1" ht="12" spans="1:10">
      <c r="A8" s="237">
        <v>2</v>
      </c>
      <c r="B8" s="239" t="s">
        <v>1300</v>
      </c>
      <c r="C8" s="240">
        <f>收入预测表!C9*管理费用!$J$8</f>
        <v>41.26755</v>
      </c>
      <c r="D8" s="240">
        <f>收入预测表!D9*管理费用!$J$8</f>
        <v>49.52106</v>
      </c>
      <c r="E8" s="240">
        <f>收入预测表!E9*管理费用!$J$8</f>
        <v>58.4348508</v>
      </c>
      <c r="F8" s="240">
        <f>收入预测表!F9*管理费用!$J$8</f>
        <v>67.20007842</v>
      </c>
      <c r="G8" s="240">
        <f>收入预测表!G9*管理费用!$J$8</f>
        <v>73.920086262</v>
      </c>
      <c r="H8" s="240">
        <f>收入预测表!H9*管理费用!$J$8</f>
        <v>73.920086262</v>
      </c>
      <c r="I8" s="254" t="s">
        <v>1301</v>
      </c>
      <c r="J8" s="255">
        <v>0.015</v>
      </c>
    </row>
    <row r="9" s="227" customFormat="1" ht="22.5" spans="1:9">
      <c r="A9" s="237">
        <v>3</v>
      </c>
      <c r="B9" s="239" t="s">
        <v>1302</v>
      </c>
      <c r="C9" s="240">
        <f>折旧和资本化支出!D57+折旧和资本化支出!D58</f>
        <v>74.15203</v>
      </c>
      <c r="D9" s="240">
        <f>折旧和资本化支出!E57+折旧和资本化支出!E58</f>
        <v>74.15203</v>
      </c>
      <c r="E9" s="240">
        <f>折旧和资本化支出!F57+折旧和资本化支出!F58</f>
        <v>74.15203</v>
      </c>
      <c r="F9" s="240">
        <f>折旧和资本化支出!G57+折旧和资本化支出!G58</f>
        <v>74.15203</v>
      </c>
      <c r="G9" s="240">
        <f>折旧和资本化支出!H57+折旧和资本化支出!H58</f>
        <v>74.15203</v>
      </c>
      <c r="H9" s="240">
        <f>折旧和资本化支出!I57+折旧和资本化支出!I58</f>
        <v>74.15203</v>
      </c>
      <c r="I9" s="253"/>
    </row>
    <row r="10" s="227" customFormat="1" ht="12" spans="1:9">
      <c r="A10" s="241"/>
      <c r="B10" s="242"/>
      <c r="C10" s="240"/>
      <c r="D10" s="240"/>
      <c r="E10" s="240"/>
      <c r="F10" s="240"/>
      <c r="G10" s="240"/>
      <c r="H10" s="240"/>
      <c r="I10" s="256"/>
    </row>
    <row r="11" s="227" customFormat="1" ht="12" spans="1:9">
      <c r="A11" s="241"/>
      <c r="B11" s="242"/>
      <c r="C11" s="243"/>
      <c r="D11" s="243"/>
      <c r="E11" s="243"/>
      <c r="F11" s="243"/>
      <c r="G11" s="243"/>
      <c r="H11" s="243"/>
      <c r="I11" s="256"/>
    </row>
    <row r="12" s="227" customFormat="1" ht="12" spans="1:9">
      <c r="A12" s="241"/>
      <c r="B12" s="242"/>
      <c r="C12" s="243"/>
      <c r="D12" s="243"/>
      <c r="E12" s="243"/>
      <c r="F12" s="243"/>
      <c r="G12" s="243"/>
      <c r="H12" s="243"/>
      <c r="I12" s="256"/>
    </row>
    <row r="13" s="227" customFormat="1" ht="12" spans="1:9">
      <c r="A13" s="241"/>
      <c r="B13" s="242"/>
      <c r="C13" s="243"/>
      <c r="D13" s="243"/>
      <c r="E13" s="243"/>
      <c r="F13" s="243"/>
      <c r="G13" s="243"/>
      <c r="H13" s="243"/>
      <c r="I13" s="256"/>
    </row>
    <row r="14" s="227" customFormat="1" ht="12.75" spans="1:9">
      <c r="A14" s="244"/>
      <c r="B14" s="245" t="s">
        <v>157</v>
      </c>
      <c r="C14" s="246">
        <f>SUM(C7:C13)</f>
        <v>223.05958</v>
      </c>
      <c r="D14" s="246">
        <f t="shared" ref="D14:H14" si="0">SUM(D7:D13)</f>
        <v>236.69509</v>
      </c>
      <c r="E14" s="246">
        <f t="shared" si="0"/>
        <v>251.2599808</v>
      </c>
      <c r="F14" s="246">
        <f t="shared" si="0"/>
        <v>265.95886342</v>
      </c>
      <c r="G14" s="246">
        <f t="shared" si="0"/>
        <v>278.909209012</v>
      </c>
      <c r="H14" s="246">
        <f t="shared" si="0"/>
        <v>278.909209012</v>
      </c>
      <c r="I14" s="257"/>
    </row>
  </sheetData>
  <mergeCells count="14">
    <mergeCell ref="A1:B1"/>
    <mergeCell ref="C1:G1"/>
    <mergeCell ref="A2:B2"/>
    <mergeCell ref="C2:G2"/>
    <mergeCell ref="A3:B3"/>
    <mergeCell ref="A4:A6"/>
    <mergeCell ref="B4:B6"/>
    <mergeCell ref="C5:C6"/>
    <mergeCell ref="D5:D6"/>
    <mergeCell ref="E5:E6"/>
    <mergeCell ref="F5:F6"/>
    <mergeCell ref="G5:G6"/>
    <mergeCell ref="H5:H6"/>
    <mergeCell ref="I4:I6"/>
  </mergeCells>
  <pageMargins left="0.699305555555556" right="0.699305555555556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1"/>
  <sheetViews>
    <sheetView topLeftCell="A16" workbookViewId="0">
      <selection activeCell="B22" sqref="B22"/>
    </sheetView>
  </sheetViews>
  <sheetFormatPr defaultColWidth="9" defaultRowHeight="12"/>
  <cols>
    <col min="1" max="1" width="24.6" style="142" customWidth="1"/>
    <col min="2" max="2" width="25.7" style="142" customWidth="1"/>
    <col min="3" max="3" width="16.7" style="142" hidden="1" customWidth="1"/>
    <col min="4" max="4" width="16.2" style="142" customWidth="1"/>
    <col min="5" max="5" width="16.7" style="142" customWidth="1"/>
    <col min="6" max="6" width="15.5" style="142" customWidth="1"/>
    <col min="7" max="7" width="16.2" style="142" customWidth="1"/>
    <col min="8" max="8" width="16.1" style="142" customWidth="1"/>
    <col min="9" max="9" width="17" style="142" customWidth="1"/>
    <col min="10" max="10" width="12.5" style="142" hidden="1" customWidth="1"/>
    <col min="11" max="11" width="12" style="189" hidden="1" customWidth="1"/>
    <col min="12" max="12" width="14.7" style="189" hidden="1" customWidth="1"/>
    <col min="13" max="13" width="13.2" style="189" hidden="1" customWidth="1"/>
    <col min="14" max="18" width="9" style="142" hidden="1" customWidth="1"/>
    <col min="19" max="19" width="9" style="142"/>
    <col min="20" max="20" width="10" style="142" customWidth="1"/>
    <col min="21" max="16384" width="9" style="142"/>
  </cols>
  <sheetData>
    <row r="1" s="187" customFormat="1" ht="23.25" spans="1:13">
      <c r="A1" s="190" t="s">
        <v>1303</v>
      </c>
      <c r="B1" s="191"/>
      <c r="C1" s="191"/>
      <c r="D1" s="191"/>
      <c r="E1" s="191"/>
      <c r="F1" s="191"/>
      <c r="G1" s="191"/>
      <c r="K1" s="224"/>
      <c r="L1" s="224"/>
      <c r="M1" s="224"/>
    </row>
    <row r="2" s="187" customFormat="1" ht="15" spans="1:13">
      <c r="A2" s="192"/>
      <c r="D2" s="193"/>
      <c r="E2" s="193"/>
      <c r="F2" s="193"/>
      <c r="G2" s="193"/>
      <c r="K2" s="224"/>
      <c r="L2" s="224"/>
      <c r="M2" s="224"/>
    </row>
    <row r="3" s="187" customFormat="1" ht="19.5" spans="1:13">
      <c r="A3" s="194"/>
      <c r="B3" s="195"/>
      <c r="C3" s="195"/>
      <c r="K3" s="224"/>
      <c r="L3" s="224"/>
      <c r="M3" s="224"/>
    </row>
    <row r="4" s="188" customFormat="1" ht="14.25" spans="2:18">
      <c r="B4" s="196" t="s">
        <v>195</v>
      </c>
      <c r="C4" s="129" t="s">
        <v>1304</v>
      </c>
      <c r="D4" s="129" t="s">
        <v>262</v>
      </c>
      <c r="E4" s="129" t="s">
        <v>247</v>
      </c>
      <c r="F4" s="129" t="s">
        <v>248</v>
      </c>
      <c r="G4" s="129" t="s">
        <v>249</v>
      </c>
      <c r="H4" s="129" t="s">
        <v>250</v>
      </c>
      <c r="I4" s="129" t="s">
        <v>251</v>
      </c>
      <c r="J4" s="129" t="s">
        <v>1218</v>
      </c>
      <c r="K4" s="129" t="s">
        <v>1254</v>
      </c>
      <c r="L4" s="129" t="s">
        <v>1219</v>
      </c>
      <c r="M4" s="225" t="s">
        <v>1305</v>
      </c>
      <c r="N4" s="226">
        <v>2040</v>
      </c>
      <c r="O4" s="225" t="s">
        <v>1306</v>
      </c>
      <c r="P4" s="225">
        <v>2044</v>
      </c>
      <c r="Q4" s="226" t="s">
        <v>1307</v>
      </c>
      <c r="R4" s="226" t="s">
        <v>1308</v>
      </c>
    </row>
    <row r="5" s="188" customFormat="1" ht="15" spans="2:18">
      <c r="B5" s="197" t="s">
        <v>1309</v>
      </c>
      <c r="C5" s="198" t="e">
        <f t="shared" ref="C5:I5" si="0">C6+C8+C9+C11+C7+C10</f>
        <v>#REF!</v>
      </c>
      <c r="D5" s="198" t="e">
        <f t="shared" si="0"/>
        <v>#REF!</v>
      </c>
      <c r="E5" s="198" t="e">
        <f t="shared" si="0"/>
        <v>#REF!</v>
      </c>
      <c r="F5" s="198" t="e">
        <f t="shared" si="0"/>
        <v>#REF!</v>
      </c>
      <c r="G5" s="198" t="e">
        <f t="shared" si="0"/>
        <v>#REF!</v>
      </c>
      <c r="H5" s="198" t="e">
        <f t="shared" si="0"/>
        <v>#REF!</v>
      </c>
      <c r="I5" s="198" t="e">
        <f t="shared" si="0"/>
        <v>#REF!</v>
      </c>
      <c r="J5" s="198" t="e">
        <f t="shared" ref="J5:R5" si="1">J6+J8+J9+J11+J7</f>
        <v>#REF!</v>
      </c>
      <c r="K5" s="198" t="e">
        <f t="shared" si="1"/>
        <v>#REF!</v>
      </c>
      <c r="L5" s="198" t="e">
        <f t="shared" si="1"/>
        <v>#REF!</v>
      </c>
      <c r="M5" s="198" t="e">
        <f t="shared" si="1"/>
        <v>#REF!</v>
      </c>
      <c r="N5" s="198" t="e">
        <f t="shared" si="1"/>
        <v>#REF!</v>
      </c>
      <c r="O5" s="198" t="e">
        <f t="shared" si="1"/>
        <v>#REF!</v>
      </c>
      <c r="P5" s="198" t="e">
        <f t="shared" si="1"/>
        <v>#REF!</v>
      </c>
      <c r="Q5" s="198" t="e">
        <f t="shared" si="1"/>
        <v>#REF!</v>
      </c>
      <c r="R5" s="198" t="e">
        <f t="shared" si="1"/>
        <v>#REF!</v>
      </c>
    </row>
    <row r="6" s="188" customFormat="1" ht="14.25" spans="2:18">
      <c r="B6" s="199" t="s">
        <v>1310</v>
      </c>
      <c r="C6" s="200" t="e">
        <f>#REF!</f>
        <v>#REF!</v>
      </c>
      <c r="D6" s="200" t="e">
        <f>#REF!+#REF!</f>
        <v>#REF!</v>
      </c>
      <c r="E6" s="200" t="e">
        <f>ROUND(#REF!/10000,2)</f>
        <v>#REF!</v>
      </c>
      <c r="F6" s="200" t="e">
        <f>ROUND(#REF!/10000,2)</f>
        <v>#REF!</v>
      </c>
      <c r="G6" s="200" t="e">
        <f>ROUND(#REF!/10000,2)</f>
        <v>#REF!</v>
      </c>
      <c r="H6" s="200" t="e">
        <f>ROUND(#REF!/10000,2)</f>
        <v>#REF!</v>
      </c>
      <c r="I6" s="200" t="e">
        <f>ROUND(#REF!/10000,2)</f>
        <v>#REF!</v>
      </c>
      <c r="J6" s="200" t="e">
        <f>#REF!</f>
        <v>#REF!</v>
      </c>
      <c r="K6" s="200" t="e">
        <f>#REF!</f>
        <v>#REF!</v>
      </c>
      <c r="L6" s="200" t="e">
        <f>#REF!</f>
        <v>#REF!</v>
      </c>
      <c r="M6" s="200" t="e">
        <f>#REF!</f>
        <v>#REF!</v>
      </c>
      <c r="N6" s="200" t="e">
        <f>#REF!</f>
        <v>#REF!</v>
      </c>
      <c r="O6" s="200" t="e">
        <f>#REF!</f>
        <v>#REF!</v>
      </c>
      <c r="P6" s="200" t="e">
        <f>#REF!</f>
        <v>#REF!</v>
      </c>
      <c r="Q6" s="200" t="e">
        <f>#REF!</f>
        <v>#REF!</v>
      </c>
      <c r="R6" s="200" t="e">
        <f>#REF!</f>
        <v>#REF!</v>
      </c>
    </row>
    <row r="7" ht="14.25" spans="2:18">
      <c r="B7" s="201" t="s">
        <v>1311</v>
      </c>
      <c r="C7" s="200" t="e">
        <f>#REF!</f>
        <v>#REF!</v>
      </c>
      <c r="D7" s="200" t="e">
        <f>#REF!</f>
        <v>#REF!</v>
      </c>
      <c r="E7" s="200" t="e">
        <f>#REF!</f>
        <v>#REF!</v>
      </c>
      <c r="F7" s="200" t="e">
        <f>#REF!</f>
        <v>#REF!</v>
      </c>
      <c r="G7" s="200" t="e">
        <f>#REF!</f>
        <v>#REF!</v>
      </c>
      <c r="H7" s="200" t="e">
        <f>#REF!</f>
        <v>#REF!</v>
      </c>
      <c r="I7" s="200" t="e">
        <f>#REF!</f>
        <v>#REF!</v>
      </c>
      <c r="J7" s="200" t="e">
        <f>#REF!</f>
        <v>#REF!</v>
      </c>
      <c r="K7" s="200" t="e">
        <f>#REF!</f>
        <v>#REF!</v>
      </c>
      <c r="L7" s="200" t="e">
        <f>#REF!</f>
        <v>#REF!</v>
      </c>
      <c r="M7" s="200" t="e">
        <f>#REF!</f>
        <v>#REF!</v>
      </c>
      <c r="N7" s="200" t="e">
        <f>#REF!</f>
        <v>#REF!</v>
      </c>
      <c r="O7" s="200" t="e">
        <f>#REF!</f>
        <v>#REF!</v>
      </c>
      <c r="P7" s="200" t="e">
        <f>#REF!</f>
        <v>#REF!</v>
      </c>
      <c r="Q7" s="200" t="e">
        <f>#REF!</f>
        <v>#REF!</v>
      </c>
      <c r="R7" s="200" t="e">
        <f>#REF!</f>
        <v>#REF!</v>
      </c>
    </row>
    <row r="8" ht="14.25" spans="2:18">
      <c r="B8" s="201" t="s">
        <v>1312</v>
      </c>
      <c r="C8" s="200" t="e">
        <f>#REF!</f>
        <v>#REF!</v>
      </c>
      <c r="D8" s="200" t="e">
        <f>#REF!</f>
        <v>#REF!</v>
      </c>
      <c r="E8" s="200" t="e">
        <f>#REF!</f>
        <v>#REF!</v>
      </c>
      <c r="F8" s="200" t="e">
        <f>#REF!</f>
        <v>#REF!</v>
      </c>
      <c r="G8" s="200" t="e">
        <f>#REF!</f>
        <v>#REF!</v>
      </c>
      <c r="H8" s="200" t="e">
        <f>#REF!</f>
        <v>#REF!</v>
      </c>
      <c r="I8" s="200" t="e">
        <f>#REF!</f>
        <v>#REF!</v>
      </c>
      <c r="J8" s="200" t="e">
        <f>#REF!</f>
        <v>#REF!</v>
      </c>
      <c r="K8" s="200" t="e">
        <f>#REF!</f>
        <v>#REF!</v>
      </c>
      <c r="L8" s="200" t="e">
        <f>#REF!</f>
        <v>#REF!</v>
      </c>
      <c r="M8" s="200" t="e">
        <f>#REF!</f>
        <v>#REF!</v>
      </c>
      <c r="N8" s="200" t="e">
        <f>#REF!</f>
        <v>#REF!</v>
      </c>
      <c r="O8" s="200" t="e">
        <f>#REF!</f>
        <v>#REF!</v>
      </c>
      <c r="P8" s="200" t="e">
        <f>#REF!</f>
        <v>#REF!</v>
      </c>
      <c r="Q8" s="200" t="e">
        <f>#REF!</f>
        <v>#REF!</v>
      </c>
      <c r="R8" s="200" t="e">
        <f>#REF!</f>
        <v>#REF!</v>
      </c>
    </row>
    <row r="9" ht="14.25" spans="2:18">
      <c r="B9" s="201" t="s">
        <v>1313</v>
      </c>
      <c r="C9" s="200" t="e">
        <f>#REF!</f>
        <v>#REF!</v>
      </c>
      <c r="D9" s="200" t="e">
        <f>#REF!</f>
        <v>#REF!</v>
      </c>
      <c r="E9" s="200" t="e">
        <f>#REF!</f>
        <v>#REF!</v>
      </c>
      <c r="F9" s="200" t="e">
        <f>#REF!</f>
        <v>#REF!</v>
      </c>
      <c r="G9" s="200" t="e">
        <f>#REF!</f>
        <v>#REF!</v>
      </c>
      <c r="H9" s="200" t="e">
        <f>#REF!</f>
        <v>#REF!</v>
      </c>
      <c r="I9" s="200" t="e">
        <f>#REF!</f>
        <v>#REF!</v>
      </c>
      <c r="J9" s="200" t="e">
        <f>#REF!</f>
        <v>#REF!</v>
      </c>
      <c r="K9" s="200" t="e">
        <f>#REF!</f>
        <v>#REF!</v>
      </c>
      <c r="L9" s="200" t="e">
        <f>#REF!</f>
        <v>#REF!</v>
      </c>
      <c r="M9" s="200" t="e">
        <f>#REF!</f>
        <v>#REF!</v>
      </c>
      <c r="N9" s="200" t="e">
        <f>#REF!</f>
        <v>#REF!</v>
      </c>
      <c r="O9" s="200" t="e">
        <f>#REF!</f>
        <v>#REF!</v>
      </c>
      <c r="P9" s="200" t="e">
        <f>#REF!</f>
        <v>#REF!</v>
      </c>
      <c r="Q9" s="200" t="e">
        <f>#REF!</f>
        <v>#REF!</v>
      </c>
      <c r="R9" s="200" t="e">
        <f>#REF!</f>
        <v>#REF!</v>
      </c>
    </row>
    <row r="10" ht="14.25" spans="2:18">
      <c r="B10" s="199" t="s">
        <v>1314</v>
      </c>
      <c r="C10" s="200" t="e">
        <f>#REF!</f>
        <v>#REF!</v>
      </c>
      <c r="D10" s="200" t="e">
        <f>#REF!</f>
        <v>#REF!</v>
      </c>
      <c r="E10" s="200" t="e">
        <f>#REF!</f>
        <v>#REF!</v>
      </c>
      <c r="F10" s="200" t="e">
        <f>#REF!</f>
        <v>#REF!</v>
      </c>
      <c r="G10" s="200" t="e">
        <f>#REF!</f>
        <v>#REF!</v>
      </c>
      <c r="H10" s="200" t="e">
        <f>#REF!</f>
        <v>#REF!</v>
      </c>
      <c r="I10" s="200"/>
      <c r="J10" s="200"/>
      <c r="K10" s="200"/>
      <c r="L10" s="200"/>
      <c r="M10" s="200"/>
      <c r="N10" s="200"/>
      <c r="O10" s="200"/>
      <c r="P10" s="200"/>
      <c r="Q10" s="200"/>
      <c r="R10" s="200"/>
    </row>
    <row r="11" ht="14.25" spans="2:18">
      <c r="B11" s="201" t="s">
        <v>1315</v>
      </c>
      <c r="C11" s="200" t="e">
        <f>#REF!</f>
        <v>#REF!</v>
      </c>
      <c r="D11" s="200" t="e">
        <f>#REF!</f>
        <v>#REF!</v>
      </c>
      <c r="E11" s="200" t="e">
        <f>#REF!</f>
        <v>#REF!</v>
      </c>
      <c r="F11" s="200" t="e">
        <f>#REF!</f>
        <v>#REF!</v>
      </c>
      <c r="G11" s="200" t="e">
        <f>#REF!</f>
        <v>#REF!</v>
      </c>
      <c r="H11" s="200" t="e">
        <f>#REF!</f>
        <v>#REF!</v>
      </c>
      <c r="I11" s="200" t="e">
        <f>#REF!</f>
        <v>#REF!</v>
      </c>
      <c r="J11" s="200" t="e">
        <f>#REF!</f>
        <v>#REF!</v>
      </c>
      <c r="K11" s="200" t="e">
        <f>#REF!</f>
        <v>#REF!</v>
      </c>
      <c r="L11" s="200" t="e">
        <f>#REF!</f>
        <v>#REF!</v>
      </c>
      <c r="M11" s="200" t="e">
        <f>#REF!</f>
        <v>#REF!</v>
      </c>
      <c r="N11" s="200" t="e">
        <f>#REF!</f>
        <v>#REF!</v>
      </c>
      <c r="O11" s="200" t="e">
        <f>#REF!</f>
        <v>#REF!</v>
      </c>
      <c r="P11" s="200" t="e">
        <f>#REF!</f>
        <v>#REF!</v>
      </c>
      <c r="Q11" s="200" t="e">
        <f>#REF!</f>
        <v>#REF!</v>
      </c>
      <c r="R11" s="200" t="e">
        <f>#REF!</f>
        <v>#REF!</v>
      </c>
    </row>
    <row r="12" ht="15" spans="2:18">
      <c r="B12" s="202" t="s">
        <v>1316</v>
      </c>
      <c r="C12" s="203" t="e">
        <f>C13</f>
        <v>#REF!</v>
      </c>
      <c r="D12" s="203" t="e">
        <f>D13</f>
        <v>#REF!</v>
      </c>
      <c r="E12" s="203" t="e">
        <f>E13</f>
        <v>#REF!</v>
      </c>
      <c r="F12" s="203" t="e">
        <f t="shared" ref="F12:R12" si="2">F13</f>
        <v>#REF!</v>
      </c>
      <c r="G12" s="203" t="e">
        <f t="shared" si="2"/>
        <v>#REF!</v>
      </c>
      <c r="H12" s="203" t="e">
        <f t="shared" si="2"/>
        <v>#REF!</v>
      </c>
      <c r="I12" s="203" t="e">
        <f t="shared" si="2"/>
        <v>#REF!</v>
      </c>
      <c r="J12" s="203" t="e">
        <f t="shared" si="2"/>
        <v>#REF!</v>
      </c>
      <c r="K12" s="203" t="e">
        <f t="shared" si="2"/>
        <v>#REF!</v>
      </c>
      <c r="L12" s="203" t="e">
        <f t="shared" si="2"/>
        <v>#REF!</v>
      </c>
      <c r="M12" s="203" t="e">
        <f t="shared" si="2"/>
        <v>#REF!</v>
      </c>
      <c r="N12" s="203" t="e">
        <f t="shared" si="2"/>
        <v>#REF!</v>
      </c>
      <c r="O12" s="203" t="e">
        <f t="shared" si="2"/>
        <v>#REF!</v>
      </c>
      <c r="P12" s="203" t="e">
        <f t="shared" si="2"/>
        <v>#REF!</v>
      </c>
      <c r="Q12" s="203" t="e">
        <f t="shared" si="2"/>
        <v>#REF!</v>
      </c>
      <c r="R12" s="203" t="e">
        <f t="shared" si="2"/>
        <v>#REF!</v>
      </c>
    </row>
    <row r="13" ht="14.25" spans="2:18">
      <c r="B13" s="199" t="s">
        <v>1317</v>
      </c>
      <c r="C13" s="200" t="e">
        <f>#REF!</f>
        <v>#REF!</v>
      </c>
      <c r="D13" s="200" t="e">
        <f>ROUND((管理费用预测表!#REF!+销售费用预测表!K10),2)</f>
        <v>#REF!</v>
      </c>
      <c r="E13" s="200" t="e">
        <f>管理费用预测表!#REF!+销售费用预测表!N10</f>
        <v>#REF!</v>
      </c>
      <c r="F13" s="200" t="e">
        <f>管理费用预测表!#REF!+销售费用预测表!O10</f>
        <v>#REF!</v>
      </c>
      <c r="G13" s="200" t="e">
        <f>管理费用预测表!#REF!+销售费用预测表!P10</f>
        <v>#REF!</v>
      </c>
      <c r="H13" s="200" t="e">
        <f>管理费用预测表!#REF!+销售费用预测表!Q10</f>
        <v>#REF!</v>
      </c>
      <c r="I13" s="200" t="e">
        <f>管理费用预测表!#REF!+销售费用预测表!R10</f>
        <v>#REF!</v>
      </c>
      <c r="J13" s="200" t="e">
        <f>#REF!</f>
        <v>#REF!</v>
      </c>
      <c r="K13" s="200" t="e">
        <f>#REF!</f>
        <v>#REF!</v>
      </c>
      <c r="L13" s="200" t="e">
        <f>#REF!</f>
        <v>#REF!</v>
      </c>
      <c r="M13" s="200" t="e">
        <f>#REF!</f>
        <v>#REF!</v>
      </c>
      <c r="N13" s="200" t="e">
        <f>#REF!</f>
        <v>#REF!</v>
      </c>
      <c r="O13" s="200" t="e">
        <f>#REF!</f>
        <v>#REF!</v>
      </c>
      <c r="P13" s="200" t="e">
        <f>#REF!</f>
        <v>#REF!</v>
      </c>
      <c r="Q13" s="200" t="e">
        <f>#REF!</f>
        <v>#REF!</v>
      </c>
      <c r="R13" s="200" t="e">
        <f>#REF!</f>
        <v>#REF!</v>
      </c>
    </row>
    <row r="14" ht="15" spans="2:18">
      <c r="B14" s="204" t="s">
        <v>157</v>
      </c>
      <c r="C14" s="203" t="e">
        <f>(C5-C12)</f>
        <v>#REF!</v>
      </c>
      <c r="D14" s="203" t="e">
        <f>(D5-D12)</f>
        <v>#REF!</v>
      </c>
      <c r="E14" s="203" t="e">
        <f t="shared" ref="E14:R14" si="3">(E5-E12)</f>
        <v>#REF!</v>
      </c>
      <c r="F14" s="203" t="e">
        <f t="shared" si="3"/>
        <v>#REF!</v>
      </c>
      <c r="G14" s="203" t="e">
        <f t="shared" si="3"/>
        <v>#REF!</v>
      </c>
      <c r="H14" s="203" t="e">
        <f t="shared" si="3"/>
        <v>#REF!</v>
      </c>
      <c r="I14" s="203" t="e">
        <f t="shared" si="3"/>
        <v>#REF!</v>
      </c>
      <c r="J14" s="203" t="e">
        <f t="shared" si="3"/>
        <v>#REF!</v>
      </c>
      <c r="K14" s="203" t="e">
        <f t="shared" si="3"/>
        <v>#REF!</v>
      </c>
      <c r="L14" s="203" t="e">
        <f t="shared" si="3"/>
        <v>#REF!</v>
      </c>
      <c r="M14" s="203" t="e">
        <f t="shared" si="3"/>
        <v>#REF!</v>
      </c>
      <c r="N14" s="203" t="e">
        <f t="shared" si="3"/>
        <v>#REF!</v>
      </c>
      <c r="O14" s="203" t="e">
        <f t="shared" si="3"/>
        <v>#REF!</v>
      </c>
      <c r="P14" s="203" t="e">
        <f t="shared" si="3"/>
        <v>#REF!</v>
      </c>
      <c r="Q14" s="203" t="e">
        <f t="shared" si="3"/>
        <v>#REF!</v>
      </c>
      <c r="R14" s="203" t="e">
        <f t="shared" si="3"/>
        <v>#REF!</v>
      </c>
    </row>
    <row r="15" ht="15" spans="2:18">
      <c r="B15" s="205" t="s">
        <v>1318</v>
      </c>
      <c r="C15" s="206" t="e">
        <f>ROUND(C14/6,2)</f>
        <v>#REF!</v>
      </c>
      <c r="D15" s="206" t="e">
        <f>ROUND(D14/12,2)</f>
        <v>#REF!</v>
      </c>
      <c r="E15" s="206" t="e">
        <f t="shared" ref="E15:R15" si="4">ROUND(E14/12,2)</f>
        <v>#REF!</v>
      </c>
      <c r="F15" s="206" t="e">
        <f t="shared" si="4"/>
        <v>#REF!</v>
      </c>
      <c r="G15" s="206" t="e">
        <f t="shared" si="4"/>
        <v>#REF!</v>
      </c>
      <c r="H15" s="206" t="e">
        <f t="shared" si="4"/>
        <v>#REF!</v>
      </c>
      <c r="I15" s="206" t="e">
        <f t="shared" si="4"/>
        <v>#REF!</v>
      </c>
      <c r="J15" s="206" t="e">
        <f t="shared" si="4"/>
        <v>#REF!</v>
      </c>
      <c r="K15" s="206" t="e">
        <f t="shared" si="4"/>
        <v>#REF!</v>
      </c>
      <c r="L15" s="206" t="e">
        <f t="shared" si="4"/>
        <v>#REF!</v>
      </c>
      <c r="M15" s="206" t="e">
        <f t="shared" si="4"/>
        <v>#REF!</v>
      </c>
      <c r="N15" s="206" t="e">
        <f t="shared" si="4"/>
        <v>#REF!</v>
      </c>
      <c r="O15" s="206" t="e">
        <f t="shared" si="4"/>
        <v>#REF!</v>
      </c>
      <c r="P15" s="206" t="e">
        <f t="shared" si="4"/>
        <v>#REF!</v>
      </c>
      <c r="Q15" s="206" t="e">
        <f t="shared" si="4"/>
        <v>#REF!</v>
      </c>
      <c r="R15" s="206" t="e">
        <f t="shared" si="4"/>
        <v>#REF!</v>
      </c>
    </row>
    <row r="16" ht="26.25" customHeight="1" spans="2:18">
      <c r="B16" s="207" t="s">
        <v>1319</v>
      </c>
      <c r="C16" s="208">
        <v>3</v>
      </c>
      <c r="D16" s="208">
        <v>3</v>
      </c>
      <c r="E16" s="208">
        <v>3</v>
      </c>
      <c r="F16" s="208">
        <v>3</v>
      </c>
      <c r="G16" s="208">
        <v>3</v>
      </c>
      <c r="H16" s="208">
        <v>3</v>
      </c>
      <c r="I16" s="208">
        <v>3</v>
      </c>
      <c r="J16" s="208">
        <v>3</v>
      </c>
      <c r="K16" s="208">
        <v>3</v>
      </c>
      <c r="L16" s="208">
        <v>3</v>
      </c>
      <c r="M16" s="208">
        <v>3</v>
      </c>
      <c r="N16" s="208">
        <v>3</v>
      </c>
      <c r="O16" s="208">
        <v>3</v>
      </c>
      <c r="P16" s="208">
        <v>3</v>
      </c>
      <c r="Q16" s="208">
        <v>3</v>
      </c>
      <c r="R16" s="208">
        <v>3</v>
      </c>
    </row>
    <row r="17" ht="15" spans="2:18">
      <c r="B17" s="204" t="s">
        <v>1320</v>
      </c>
      <c r="C17" s="209" t="e">
        <f>C15*C16</f>
        <v>#REF!</v>
      </c>
      <c r="D17" s="209" t="e">
        <f>D15*D16</f>
        <v>#REF!</v>
      </c>
      <c r="E17" s="209" t="e">
        <f t="shared" ref="E17:R17" si="5">E15*E16</f>
        <v>#REF!</v>
      </c>
      <c r="F17" s="209" t="e">
        <f t="shared" si="5"/>
        <v>#REF!</v>
      </c>
      <c r="G17" s="209" t="e">
        <f t="shared" si="5"/>
        <v>#REF!</v>
      </c>
      <c r="H17" s="209" t="e">
        <f t="shared" si="5"/>
        <v>#REF!</v>
      </c>
      <c r="I17" s="209" t="e">
        <f t="shared" si="5"/>
        <v>#REF!</v>
      </c>
      <c r="J17" s="209" t="e">
        <f t="shared" si="5"/>
        <v>#REF!</v>
      </c>
      <c r="K17" s="209" t="e">
        <f t="shared" si="5"/>
        <v>#REF!</v>
      </c>
      <c r="L17" s="209" t="e">
        <f t="shared" si="5"/>
        <v>#REF!</v>
      </c>
      <c r="M17" s="209" t="e">
        <f t="shared" si="5"/>
        <v>#REF!</v>
      </c>
      <c r="N17" s="209" t="e">
        <f t="shared" si="5"/>
        <v>#REF!</v>
      </c>
      <c r="O17" s="209" t="e">
        <f t="shared" si="5"/>
        <v>#REF!</v>
      </c>
      <c r="P17" s="209" t="e">
        <f t="shared" si="5"/>
        <v>#REF!</v>
      </c>
      <c r="Q17" s="209" t="e">
        <f t="shared" si="5"/>
        <v>#REF!</v>
      </c>
      <c r="R17" s="209" t="e">
        <f t="shared" si="5"/>
        <v>#REF!</v>
      </c>
    </row>
    <row r="18" ht="15" spans="2:7">
      <c r="B18" s="204"/>
      <c r="C18" s="209"/>
      <c r="D18" s="209"/>
      <c r="E18" s="209"/>
      <c r="F18" s="209"/>
      <c r="G18" s="209"/>
    </row>
    <row r="19" ht="15" spans="2:7">
      <c r="B19" s="204"/>
      <c r="C19" s="209"/>
      <c r="D19" s="209"/>
      <c r="E19" s="209"/>
      <c r="F19" s="209"/>
      <c r="G19" s="209"/>
    </row>
    <row r="20" ht="15" spans="2:7">
      <c r="B20" s="204"/>
      <c r="C20" s="209"/>
      <c r="D20" s="209"/>
      <c r="E20" s="209"/>
      <c r="F20" s="209"/>
      <c r="G20" s="209"/>
    </row>
    <row r="21" ht="12.75" spans="2:18">
      <c r="B21" s="210" t="s">
        <v>1321</v>
      </c>
      <c r="C21" s="129" t="s">
        <v>1304</v>
      </c>
      <c r="D21" s="129" t="s">
        <v>262</v>
      </c>
      <c r="E21" s="129" t="s">
        <v>247</v>
      </c>
      <c r="F21" s="129" t="s">
        <v>248</v>
      </c>
      <c r="G21" s="129" t="s">
        <v>249</v>
      </c>
      <c r="H21" s="129" t="s">
        <v>250</v>
      </c>
      <c r="I21" s="129" t="s">
        <v>251</v>
      </c>
      <c r="J21" s="129" t="s">
        <v>1218</v>
      </c>
      <c r="K21" s="129" t="s">
        <v>1254</v>
      </c>
      <c r="L21" s="129" t="s">
        <v>1219</v>
      </c>
      <c r="M21" s="225" t="s">
        <v>1305</v>
      </c>
      <c r="N21" s="226">
        <v>2040</v>
      </c>
      <c r="O21" s="225" t="s">
        <v>1306</v>
      </c>
      <c r="P21" s="225">
        <v>2044</v>
      </c>
      <c r="Q21" s="226" t="s">
        <v>1307</v>
      </c>
      <c r="R21" s="226" t="s">
        <v>1308</v>
      </c>
    </row>
    <row r="22" ht="28.5" spans="1:18">
      <c r="A22" s="211" t="s">
        <v>1322</v>
      </c>
      <c r="B22" s="142">
        <v>1.36</v>
      </c>
      <c r="C22" s="212" t="e">
        <f>ROUND('收入--历史经营情况分析'!#REF!/$B$22,2)</f>
        <v>#REF!</v>
      </c>
      <c r="D22" s="212" t="e">
        <f>ROUND('收入--历史经营情况分析'!#REF!/$B$22,2)</f>
        <v>#REF!</v>
      </c>
      <c r="E22" s="212" t="e">
        <f>ROUND('收入--历史经营情况分析'!#REF!/$B$22,2)</f>
        <v>#REF!</v>
      </c>
      <c r="F22" s="212" t="e">
        <f>ROUND('收入--历史经营情况分析'!#REF!/$B$22,2)</f>
        <v>#REF!</v>
      </c>
      <c r="G22" s="212" t="e">
        <f>ROUND('收入--历史经营情况分析'!#REF!/$B$22,2)</f>
        <v>#REF!</v>
      </c>
      <c r="H22" s="212" t="e">
        <f>ROUND('收入--历史经营情况分析'!#REF!/$B$22,2)</f>
        <v>#REF!</v>
      </c>
      <c r="I22" s="212" t="e">
        <f>ROUND('收入--历史经营情况分析'!#REF!/$B$22,2)</f>
        <v>#REF!</v>
      </c>
      <c r="J22" s="212" t="e">
        <f>ROUND('收入--历史经营情况分析'!#REF!/$B$22,2)</f>
        <v>#REF!</v>
      </c>
      <c r="K22" s="212" t="e">
        <f>ROUND('收入--历史经营情况分析'!#REF!/$B$22,2)</f>
        <v>#REF!</v>
      </c>
      <c r="L22" s="212" t="e">
        <f>ROUND('收入--历史经营情况分析'!#REF!/$B$22,2)</f>
        <v>#REF!</v>
      </c>
      <c r="M22" s="212" t="e">
        <f>ROUND('收入--历史经营情况分析'!#REF!/$B$22,2)</f>
        <v>#REF!</v>
      </c>
      <c r="N22" s="212" t="e">
        <f>ROUND('收入--历史经营情况分析'!#REF!/$B$22,2)</f>
        <v>#REF!</v>
      </c>
      <c r="O22" s="212" t="e">
        <f>ROUND('收入--历史经营情况分析'!#REF!/$B$22,2)</f>
        <v>#REF!</v>
      </c>
      <c r="P22" s="212" t="e">
        <f>ROUND('收入--历史经营情况分析'!#REF!/$B$22,2)</f>
        <v>#REF!</v>
      </c>
      <c r="Q22" s="212" t="e">
        <f>ROUND('收入--历史经营情况分析'!#REF!/$B$22,2)</f>
        <v>#REF!</v>
      </c>
      <c r="R22" s="212" t="e">
        <f>ROUND('收入--历史经营情况分析'!#REF!/$B$22,2)</f>
        <v>#REF!</v>
      </c>
    </row>
    <row r="23" ht="28.5" spans="1:18">
      <c r="A23" s="211" t="s">
        <v>1323</v>
      </c>
      <c r="B23" s="142">
        <v>11.3</v>
      </c>
      <c r="C23" s="212" t="e">
        <f>ROUND(#REF!/$B$23,2)</f>
        <v>#REF!</v>
      </c>
      <c r="D23" s="212" t="e">
        <f>ROUND(#REF!/$B$23,2)</f>
        <v>#REF!</v>
      </c>
      <c r="E23" s="212" t="e">
        <f>ROUND(#REF!/$B$23,2)</f>
        <v>#REF!</v>
      </c>
      <c r="F23" s="212" t="e">
        <f>ROUND(#REF!/$B$23,2)</f>
        <v>#REF!</v>
      </c>
      <c r="G23" s="212" t="e">
        <f>ROUND(#REF!/$B$23,2)</f>
        <v>#REF!</v>
      </c>
      <c r="H23" s="212" t="e">
        <f>ROUND(#REF!/$B$23,2)</f>
        <v>#REF!</v>
      </c>
      <c r="I23" s="212" t="e">
        <f>ROUND(#REF!/$B$23,2)</f>
        <v>#REF!</v>
      </c>
      <c r="J23" s="212" t="e">
        <f>ROUND(#REF!/$B$23,2)</f>
        <v>#REF!</v>
      </c>
      <c r="K23" s="212" t="e">
        <f>ROUND(#REF!/$B$23,2)</f>
        <v>#REF!</v>
      </c>
      <c r="L23" s="212" t="e">
        <f>ROUND(#REF!/$B$23,2)</f>
        <v>#REF!</v>
      </c>
      <c r="M23" s="212" t="e">
        <f>ROUND(#REF!/$B$23,2)</f>
        <v>#REF!</v>
      </c>
      <c r="N23" s="212" t="e">
        <f>ROUND(#REF!/$B$23,2)</f>
        <v>#REF!</v>
      </c>
      <c r="O23" s="212" t="e">
        <f>ROUND(#REF!/$B$23,2)</f>
        <v>#REF!</v>
      </c>
      <c r="P23" s="212" t="e">
        <f>ROUND(#REF!/$B$23,2)</f>
        <v>#REF!</v>
      </c>
      <c r="Q23" s="212" t="e">
        <f>ROUND(#REF!/$B$23,2)</f>
        <v>#REF!</v>
      </c>
      <c r="R23" s="212" t="e">
        <f>ROUND(#REF!/$B$23,2)</f>
        <v>#REF!</v>
      </c>
    </row>
    <row r="24" ht="14.25" spans="1:13">
      <c r="A24" s="211" t="s">
        <v>1324</v>
      </c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</row>
    <row r="25" ht="28.5" spans="1:18">
      <c r="A25" s="211" t="s">
        <v>1325</v>
      </c>
      <c r="B25" s="142">
        <v>2.82</v>
      </c>
      <c r="C25" s="212" t="e">
        <f>ROUND(#REF!/$B$25,2)</f>
        <v>#REF!</v>
      </c>
      <c r="D25" s="212" t="e">
        <f>ROUND(#REF!/$B$25,2)</f>
        <v>#REF!</v>
      </c>
      <c r="E25" s="212" t="e">
        <f>ROUND(#REF!/$B$25,2)</f>
        <v>#REF!</v>
      </c>
      <c r="F25" s="212" t="e">
        <f>ROUND(#REF!/$B$25,2)</f>
        <v>#REF!</v>
      </c>
      <c r="G25" s="212" t="e">
        <f>ROUND(#REF!/$B$25,2)</f>
        <v>#REF!</v>
      </c>
      <c r="H25" s="212" t="e">
        <f>ROUND(#REF!/$B$25,2)</f>
        <v>#REF!</v>
      </c>
      <c r="I25" s="212" t="e">
        <f>ROUND(#REF!/$B$25,2)</f>
        <v>#REF!</v>
      </c>
      <c r="J25" s="212" t="e">
        <f>ROUND(#REF!/$B$25,2)</f>
        <v>#REF!</v>
      </c>
      <c r="K25" s="212" t="e">
        <f>ROUND(#REF!/$B$25,2)</f>
        <v>#REF!</v>
      </c>
      <c r="L25" s="212" t="e">
        <f>ROUND(#REF!/$B$25,2)</f>
        <v>#REF!</v>
      </c>
      <c r="M25" s="212" t="e">
        <f>ROUND(#REF!/$B$25,2)</f>
        <v>#REF!</v>
      </c>
      <c r="N25" s="212" t="e">
        <f>ROUND(#REF!/$B$25,2)</f>
        <v>#REF!</v>
      </c>
      <c r="O25" s="212" t="e">
        <f>ROUND(#REF!/$B$25,2)</f>
        <v>#REF!</v>
      </c>
      <c r="P25" s="212" t="e">
        <f>ROUND(#REF!/$B$25,2)</f>
        <v>#REF!</v>
      </c>
      <c r="Q25" s="212" t="e">
        <f>ROUND(#REF!/$B$25,2)</f>
        <v>#REF!</v>
      </c>
      <c r="R25" s="212" t="e">
        <f>ROUND(#REF!/$B$25,2)</f>
        <v>#REF!</v>
      </c>
    </row>
    <row r="26" ht="28.5" spans="1:13">
      <c r="A26" s="211" t="s">
        <v>1326</v>
      </c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</row>
    <row r="31" ht="12.75" spans="2:19">
      <c r="B31" s="142" t="s">
        <v>1274</v>
      </c>
      <c r="C31" s="129" t="s">
        <v>1304</v>
      </c>
      <c r="D31" s="129" t="s">
        <v>262</v>
      </c>
      <c r="E31" s="129" t="s">
        <v>247</v>
      </c>
      <c r="F31" s="129" t="s">
        <v>248</v>
      </c>
      <c r="G31" s="129" t="s">
        <v>249</v>
      </c>
      <c r="H31" s="129" t="s">
        <v>250</v>
      </c>
      <c r="I31" s="129" t="s">
        <v>251</v>
      </c>
      <c r="J31" s="129" t="s">
        <v>1218</v>
      </c>
      <c r="K31" s="129" t="s">
        <v>1254</v>
      </c>
      <c r="L31" s="129" t="s">
        <v>1219</v>
      </c>
      <c r="M31" s="225" t="s">
        <v>1305</v>
      </c>
      <c r="N31" s="226">
        <v>2040</v>
      </c>
      <c r="O31" s="225" t="s">
        <v>1306</v>
      </c>
      <c r="P31" s="225">
        <v>2044</v>
      </c>
      <c r="Q31" s="226" t="s">
        <v>1307</v>
      </c>
      <c r="R31" s="226" t="s">
        <v>1308</v>
      </c>
      <c r="S31" s="142">
        <v>2022</v>
      </c>
    </row>
    <row r="32" ht="15.75" spans="1:20">
      <c r="A32" s="213">
        <v>1</v>
      </c>
      <c r="B32" s="214" t="s">
        <v>1327</v>
      </c>
      <c r="C32" s="215">
        <v>59.47</v>
      </c>
      <c r="D32" s="215">
        <f>T42</f>
        <v>7757.58</v>
      </c>
      <c r="E32" s="215" t="e">
        <f>D42</f>
        <v>#REF!</v>
      </c>
      <c r="F32" s="215" t="e">
        <f t="shared" ref="F32:L32" si="6">E42</f>
        <v>#REF!</v>
      </c>
      <c r="G32" s="215" t="e">
        <f t="shared" si="6"/>
        <v>#REF!</v>
      </c>
      <c r="H32" s="215" t="e">
        <f t="shared" si="6"/>
        <v>#REF!</v>
      </c>
      <c r="I32" s="215" t="e">
        <f t="shared" si="6"/>
        <v>#REF!</v>
      </c>
      <c r="J32" s="215" t="e">
        <f t="shared" si="6"/>
        <v>#REF!</v>
      </c>
      <c r="K32" s="215" t="e">
        <f t="shared" si="6"/>
        <v>#REF!</v>
      </c>
      <c r="L32" s="215" t="e">
        <f t="shared" si="6"/>
        <v>#REF!</v>
      </c>
      <c r="M32" s="215" t="e">
        <f t="shared" ref="M32:R32" si="7">L42</f>
        <v>#REF!</v>
      </c>
      <c r="N32" s="215" t="e">
        <f t="shared" si="7"/>
        <v>#REF!</v>
      </c>
      <c r="O32" s="215" t="e">
        <f t="shared" si="7"/>
        <v>#REF!</v>
      </c>
      <c r="P32" s="215" t="e">
        <f t="shared" si="7"/>
        <v>#REF!</v>
      </c>
      <c r="Q32" s="215" t="e">
        <f t="shared" si="7"/>
        <v>#REF!</v>
      </c>
      <c r="R32" s="215" t="e">
        <f t="shared" si="7"/>
        <v>#REF!</v>
      </c>
      <c r="T32" s="142">
        <v>13.49</v>
      </c>
    </row>
    <row r="33" ht="15.75" spans="1:20">
      <c r="A33" s="213">
        <v>2</v>
      </c>
      <c r="B33" s="216" t="s">
        <v>1328</v>
      </c>
      <c r="C33" s="215" t="e">
        <f>C22</f>
        <v>#REF!</v>
      </c>
      <c r="D33" s="215" t="e">
        <f t="shared" ref="D33:R33" si="8">D22</f>
        <v>#REF!</v>
      </c>
      <c r="E33" s="215" t="e">
        <f t="shared" si="8"/>
        <v>#REF!</v>
      </c>
      <c r="F33" s="215" t="e">
        <f t="shared" si="8"/>
        <v>#REF!</v>
      </c>
      <c r="G33" s="215" t="e">
        <f t="shared" si="8"/>
        <v>#REF!</v>
      </c>
      <c r="H33" s="215" t="e">
        <f t="shared" si="8"/>
        <v>#REF!</v>
      </c>
      <c r="I33" s="215" t="e">
        <f t="shared" si="8"/>
        <v>#REF!</v>
      </c>
      <c r="J33" s="215" t="e">
        <f t="shared" si="8"/>
        <v>#REF!</v>
      </c>
      <c r="K33" s="215" t="e">
        <f t="shared" si="8"/>
        <v>#REF!</v>
      </c>
      <c r="L33" s="215" t="e">
        <f t="shared" si="8"/>
        <v>#REF!</v>
      </c>
      <c r="M33" s="215" t="e">
        <f t="shared" si="8"/>
        <v>#REF!</v>
      </c>
      <c r="N33" s="215" t="e">
        <f t="shared" si="8"/>
        <v>#REF!</v>
      </c>
      <c r="O33" s="215" t="e">
        <f t="shared" si="8"/>
        <v>#REF!</v>
      </c>
      <c r="P33" s="215" t="e">
        <f t="shared" si="8"/>
        <v>#REF!</v>
      </c>
      <c r="Q33" s="215" t="e">
        <f t="shared" si="8"/>
        <v>#REF!</v>
      </c>
      <c r="R33" s="215" t="e">
        <f t="shared" si="8"/>
        <v>#REF!</v>
      </c>
      <c r="T33" s="142">
        <v>8947.91</v>
      </c>
    </row>
    <row r="34" ht="15.75" spans="1:9">
      <c r="A34" s="213">
        <v>3</v>
      </c>
      <c r="B34" s="214" t="s">
        <v>1329</v>
      </c>
      <c r="C34" s="217"/>
      <c r="D34" s="217"/>
      <c r="E34" s="217"/>
      <c r="F34" s="217"/>
      <c r="G34" s="217"/>
      <c r="H34" s="217"/>
      <c r="I34" s="217"/>
    </row>
    <row r="35" ht="15.75" spans="1:20">
      <c r="A35" s="213">
        <v>4</v>
      </c>
      <c r="B35" s="214" t="s">
        <v>1330</v>
      </c>
      <c r="C35" s="215" t="e">
        <f>C23</f>
        <v>#REF!</v>
      </c>
      <c r="D35" s="215" t="e">
        <f t="shared" ref="D35:L35" si="9">D23</f>
        <v>#REF!</v>
      </c>
      <c r="E35" s="215" t="e">
        <f t="shared" si="9"/>
        <v>#REF!</v>
      </c>
      <c r="F35" s="215" t="e">
        <f t="shared" si="9"/>
        <v>#REF!</v>
      </c>
      <c r="G35" s="215" t="e">
        <f t="shared" si="9"/>
        <v>#REF!</v>
      </c>
      <c r="H35" s="215" t="e">
        <f t="shared" si="9"/>
        <v>#REF!</v>
      </c>
      <c r="I35" s="215" t="e">
        <f t="shared" si="9"/>
        <v>#REF!</v>
      </c>
      <c r="J35" s="215" t="e">
        <f t="shared" si="9"/>
        <v>#REF!</v>
      </c>
      <c r="K35" s="215" t="e">
        <f t="shared" si="9"/>
        <v>#REF!</v>
      </c>
      <c r="L35" s="215" t="e">
        <f t="shared" si="9"/>
        <v>#REF!</v>
      </c>
      <c r="M35" s="215" t="e">
        <f t="shared" ref="M35:R35" si="10">M23</f>
        <v>#REF!</v>
      </c>
      <c r="N35" s="215" t="e">
        <f t="shared" si="10"/>
        <v>#REF!</v>
      </c>
      <c r="O35" s="215" t="e">
        <f t="shared" si="10"/>
        <v>#REF!</v>
      </c>
      <c r="P35" s="215" t="e">
        <f t="shared" si="10"/>
        <v>#REF!</v>
      </c>
      <c r="Q35" s="215" t="e">
        <f t="shared" si="10"/>
        <v>#REF!</v>
      </c>
      <c r="R35" s="215" t="e">
        <f t="shared" si="10"/>
        <v>#REF!</v>
      </c>
      <c r="T35" s="142">
        <v>323.47</v>
      </c>
    </row>
    <row r="36" ht="15.75" spans="1:18">
      <c r="A36" s="213">
        <v>5</v>
      </c>
      <c r="B36" s="214" t="s">
        <v>1331</v>
      </c>
      <c r="C36" s="215">
        <f t="shared" ref="C36:H36" si="11">C24</f>
        <v>0</v>
      </c>
      <c r="D36" s="215">
        <f t="shared" si="11"/>
        <v>0</v>
      </c>
      <c r="E36" s="215">
        <f t="shared" si="11"/>
        <v>0</v>
      </c>
      <c r="F36" s="215">
        <f t="shared" si="11"/>
        <v>0</v>
      </c>
      <c r="G36" s="215">
        <f t="shared" si="11"/>
        <v>0</v>
      </c>
      <c r="H36" s="215">
        <f t="shared" si="11"/>
        <v>0</v>
      </c>
      <c r="I36" s="215">
        <f t="shared" ref="I36:R36" si="12">I24</f>
        <v>0</v>
      </c>
      <c r="J36" s="215">
        <f t="shared" si="12"/>
        <v>0</v>
      </c>
      <c r="K36" s="215">
        <f t="shared" si="12"/>
        <v>0</v>
      </c>
      <c r="L36" s="215">
        <f t="shared" si="12"/>
        <v>0</v>
      </c>
      <c r="M36" s="215">
        <f t="shared" si="12"/>
        <v>0</v>
      </c>
      <c r="N36" s="215">
        <f t="shared" si="12"/>
        <v>0</v>
      </c>
      <c r="O36" s="215">
        <f t="shared" si="12"/>
        <v>0</v>
      </c>
      <c r="P36" s="215">
        <f t="shared" si="12"/>
        <v>0</v>
      </c>
      <c r="Q36" s="215">
        <f t="shared" si="12"/>
        <v>0</v>
      </c>
      <c r="R36" s="215">
        <f t="shared" si="12"/>
        <v>0</v>
      </c>
    </row>
    <row r="37" ht="15.75" spans="1:9">
      <c r="A37" s="213">
        <v>6</v>
      </c>
      <c r="B37" s="214" t="s">
        <v>1332</v>
      </c>
      <c r="C37" s="217"/>
      <c r="D37" s="217"/>
      <c r="E37" s="217"/>
      <c r="F37" s="217"/>
      <c r="G37" s="217"/>
      <c r="H37" s="217"/>
      <c r="I37" s="217"/>
    </row>
    <row r="38" ht="15.75" spans="1:20">
      <c r="A38" s="213">
        <v>7</v>
      </c>
      <c r="B38" s="216" t="s">
        <v>1333</v>
      </c>
      <c r="C38" s="215" t="e">
        <f>C25</f>
        <v>#REF!</v>
      </c>
      <c r="D38" s="215" t="e">
        <f t="shared" ref="D38:R38" si="13">D25</f>
        <v>#REF!</v>
      </c>
      <c r="E38" s="215" t="e">
        <f t="shared" si="13"/>
        <v>#REF!</v>
      </c>
      <c r="F38" s="215" t="e">
        <f t="shared" si="13"/>
        <v>#REF!</v>
      </c>
      <c r="G38" s="215" t="e">
        <f t="shared" si="13"/>
        <v>#REF!</v>
      </c>
      <c r="H38" s="215" t="e">
        <f t="shared" si="13"/>
        <v>#REF!</v>
      </c>
      <c r="I38" s="215" t="e">
        <f t="shared" si="13"/>
        <v>#REF!</v>
      </c>
      <c r="J38" s="215" t="e">
        <f t="shared" si="13"/>
        <v>#REF!</v>
      </c>
      <c r="K38" s="215" t="e">
        <f t="shared" si="13"/>
        <v>#REF!</v>
      </c>
      <c r="L38" s="215" t="e">
        <f t="shared" si="13"/>
        <v>#REF!</v>
      </c>
      <c r="M38" s="215" t="e">
        <f t="shared" si="13"/>
        <v>#REF!</v>
      </c>
      <c r="N38" s="215" t="e">
        <f t="shared" si="13"/>
        <v>#REF!</v>
      </c>
      <c r="O38" s="215" t="e">
        <f t="shared" si="13"/>
        <v>#REF!</v>
      </c>
      <c r="P38" s="215" t="e">
        <f t="shared" si="13"/>
        <v>#REF!</v>
      </c>
      <c r="Q38" s="215" t="e">
        <f t="shared" si="13"/>
        <v>#REF!</v>
      </c>
      <c r="R38" s="215" t="e">
        <f t="shared" si="13"/>
        <v>#REF!</v>
      </c>
      <c r="T38" s="142">
        <v>1513.8</v>
      </c>
    </row>
    <row r="39" ht="15.75" spans="1:18">
      <c r="A39" s="213">
        <v>8</v>
      </c>
      <c r="B39" s="214" t="s">
        <v>1334</v>
      </c>
      <c r="C39" s="215">
        <f>C26</f>
        <v>0</v>
      </c>
      <c r="D39" s="215">
        <f t="shared" ref="D39:R39" si="14">D26</f>
        <v>0</v>
      </c>
      <c r="E39" s="215">
        <f t="shared" si="14"/>
        <v>0</v>
      </c>
      <c r="F39" s="215">
        <f t="shared" si="14"/>
        <v>0</v>
      </c>
      <c r="G39" s="215">
        <f t="shared" si="14"/>
        <v>0</v>
      </c>
      <c r="H39" s="215">
        <f t="shared" si="14"/>
        <v>0</v>
      </c>
      <c r="I39" s="215">
        <f t="shared" si="14"/>
        <v>0</v>
      </c>
      <c r="J39" s="215">
        <f t="shared" si="14"/>
        <v>0</v>
      </c>
      <c r="K39" s="215">
        <f t="shared" si="14"/>
        <v>0</v>
      </c>
      <c r="L39" s="215">
        <f t="shared" si="14"/>
        <v>0</v>
      </c>
      <c r="M39" s="215">
        <f t="shared" si="14"/>
        <v>0</v>
      </c>
      <c r="N39" s="215">
        <f t="shared" si="14"/>
        <v>0</v>
      </c>
      <c r="O39" s="215">
        <f t="shared" si="14"/>
        <v>0</v>
      </c>
      <c r="P39" s="215">
        <f t="shared" si="14"/>
        <v>0</v>
      </c>
      <c r="Q39" s="215">
        <f t="shared" si="14"/>
        <v>0</v>
      </c>
      <c r="R39" s="215">
        <f t="shared" si="14"/>
        <v>0</v>
      </c>
    </row>
    <row r="40" ht="15.75" spans="1:9">
      <c r="A40" s="213">
        <v>9</v>
      </c>
      <c r="B40" s="216" t="s">
        <v>1335</v>
      </c>
      <c r="C40" s="215"/>
      <c r="D40" s="215"/>
      <c r="E40" s="215"/>
      <c r="F40" s="215"/>
      <c r="G40" s="215"/>
      <c r="H40" s="215"/>
      <c r="I40" s="215"/>
    </row>
    <row r="41" ht="15.75" spans="1:18">
      <c r="A41" s="213">
        <v>10</v>
      </c>
      <c r="B41" s="214" t="s">
        <v>1336</v>
      </c>
      <c r="C41" s="215" t="e">
        <f>C17</f>
        <v>#REF!</v>
      </c>
      <c r="D41" s="215" t="e">
        <f t="shared" ref="D41:R41" si="15">D17</f>
        <v>#REF!</v>
      </c>
      <c r="E41" s="215" t="e">
        <f t="shared" si="15"/>
        <v>#REF!</v>
      </c>
      <c r="F41" s="215" t="e">
        <f t="shared" si="15"/>
        <v>#REF!</v>
      </c>
      <c r="G41" s="215" t="e">
        <f t="shared" si="15"/>
        <v>#REF!</v>
      </c>
      <c r="H41" s="215" t="e">
        <f t="shared" si="15"/>
        <v>#REF!</v>
      </c>
      <c r="I41" s="215" t="e">
        <f t="shared" si="15"/>
        <v>#REF!</v>
      </c>
      <c r="J41" s="215" t="e">
        <f t="shared" si="15"/>
        <v>#REF!</v>
      </c>
      <c r="K41" s="215" t="e">
        <f t="shared" si="15"/>
        <v>#REF!</v>
      </c>
      <c r="L41" s="215" t="e">
        <f t="shared" si="15"/>
        <v>#REF!</v>
      </c>
      <c r="M41" s="215" t="e">
        <f t="shared" si="15"/>
        <v>#REF!</v>
      </c>
      <c r="N41" s="215" t="e">
        <f t="shared" si="15"/>
        <v>#REF!</v>
      </c>
      <c r="O41" s="215" t="e">
        <f t="shared" si="15"/>
        <v>#REF!</v>
      </c>
      <c r="P41" s="215" t="e">
        <f t="shared" si="15"/>
        <v>#REF!</v>
      </c>
      <c r="Q41" s="215" t="e">
        <f t="shared" si="15"/>
        <v>#REF!</v>
      </c>
      <c r="R41" s="215" t="e">
        <f t="shared" si="15"/>
        <v>#REF!</v>
      </c>
    </row>
    <row r="42" ht="15.75" spans="1:20">
      <c r="A42" s="213"/>
      <c r="B42" s="218" t="s">
        <v>1337</v>
      </c>
      <c r="C42" s="219" t="e">
        <f>(C33+C35+C36-C38-C39)/6*3+C41</f>
        <v>#REF!</v>
      </c>
      <c r="D42" s="219" t="e">
        <f>(D33+D35+D36-D38-D39)+D41</f>
        <v>#REF!</v>
      </c>
      <c r="E42" s="219" t="e">
        <f>(E33+E35+E36-E38-E39)+E41</f>
        <v>#REF!</v>
      </c>
      <c r="F42" s="219" t="e">
        <f>(F33+F35+F36-F38-F39)+F41</f>
        <v>#REF!</v>
      </c>
      <c r="G42" s="219" t="e">
        <f>(G33+G35+G36-G38-G39)+G41</f>
        <v>#REF!</v>
      </c>
      <c r="H42" s="219" t="e">
        <f>(H33+H35+H36-H38-H39)+H41</f>
        <v>#REF!</v>
      </c>
      <c r="I42" s="219" t="e">
        <f t="shared" ref="I42:R42" si="16">I33+I35+I36-I38-I39+I41</f>
        <v>#REF!</v>
      </c>
      <c r="J42" s="219" t="e">
        <f t="shared" si="16"/>
        <v>#REF!</v>
      </c>
      <c r="K42" s="219" t="e">
        <f t="shared" si="16"/>
        <v>#REF!</v>
      </c>
      <c r="L42" s="219" t="e">
        <f t="shared" si="16"/>
        <v>#REF!</v>
      </c>
      <c r="M42" s="219" t="e">
        <f t="shared" si="16"/>
        <v>#REF!</v>
      </c>
      <c r="N42" s="219" t="e">
        <f t="shared" si="16"/>
        <v>#REF!</v>
      </c>
      <c r="O42" s="219" t="e">
        <f t="shared" si="16"/>
        <v>#REF!</v>
      </c>
      <c r="P42" s="219" t="e">
        <f t="shared" si="16"/>
        <v>#REF!</v>
      </c>
      <c r="Q42" s="219" t="e">
        <f t="shared" si="16"/>
        <v>#REF!</v>
      </c>
      <c r="R42" s="219" t="e">
        <f t="shared" si="16"/>
        <v>#REF!</v>
      </c>
      <c r="T42" s="219">
        <f>(T33+T35+T36-T38-T39)+T41</f>
        <v>7757.58</v>
      </c>
    </row>
    <row r="43" ht="15.75" spans="1:18">
      <c r="A43" s="213"/>
      <c r="B43" s="218" t="s">
        <v>1338</v>
      </c>
      <c r="C43" s="219" t="e">
        <f>C42-C32</f>
        <v>#REF!</v>
      </c>
      <c r="D43" s="219">
        <v>0</v>
      </c>
      <c r="E43" s="219" t="e">
        <f t="shared" ref="E43:R43" si="17">E42-E32</f>
        <v>#REF!</v>
      </c>
      <c r="F43" s="219" t="e">
        <f t="shared" si="17"/>
        <v>#REF!</v>
      </c>
      <c r="G43" s="219" t="e">
        <f t="shared" si="17"/>
        <v>#REF!</v>
      </c>
      <c r="H43" s="219" t="e">
        <f t="shared" si="17"/>
        <v>#REF!</v>
      </c>
      <c r="I43" s="219" t="e">
        <f t="shared" si="17"/>
        <v>#REF!</v>
      </c>
      <c r="J43" s="219" t="e">
        <f t="shared" si="17"/>
        <v>#REF!</v>
      </c>
      <c r="K43" s="219" t="e">
        <f t="shared" si="17"/>
        <v>#REF!</v>
      </c>
      <c r="L43" s="219" t="e">
        <f t="shared" si="17"/>
        <v>#REF!</v>
      </c>
      <c r="M43" s="219" t="e">
        <f t="shared" si="17"/>
        <v>#REF!</v>
      </c>
      <c r="N43" s="219" t="e">
        <f t="shared" si="17"/>
        <v>#REF!</v>
      </c>
      <c r="O43" s="219" t="e">
        <f t="shared" si="17"/>
        <v>#REF!</v>
      </c>
      <c r="P43" s="219" t="e">
        <f t="shared" si="17"/>
        <v>#REF!</v>
      </c>
      <c r="Q43" s="219" t="e">
        <f t="shared" si="17"/>
        <v>#REF!</v>
      </c>
      <c r="R43" s="219" t="e">
        <f t="shared" si="17"/>
        <v>#REF!</v>
      </c>
    </row>
    <row r="45" spans="3:4">
      <c r="C45" s="220"/>
      <c r="D45" s="212">
        <v>0</v>
      </c>
    </row>
    <row r="47" spans="4:4">
      <c r="D47" s="221"/>
    </row>
    <row r="48" ht="15" spans="4:4">
      <c r="D48" s="222"/>
    </row>
    <row r="49" spans="4:4">
      <c r="D49" s="221"/>
    </row>
    <row r="51" spans="5:5">
      <c r="E51" s="223"/>
    </row>
    <row r="53" spans="4:4">
      <c r="D53" s="212"/>
    </row>
    <row r="61" spans="2:8">
      <c r="B61" s="212"/>
      <c r="C61" s="212"/>
      <c r="D61" s="212"/>
      <c r="E61" s="212"/>
      <c r="F61" s="212"/>
      <c r="G61" s="212"/>
      <c r="H61" s="212"/>
    </row>
    <row r="62" spans="2:8">
      <c r="B62" s="212"/>
      <c r="C62" s="212"/>
      <c r="D62" s="212"/>
      <c r="E62" s="212"/>
      <c r="F62" s="212"/>
      <c r="G62" s="212"/>
      <c r="H62" s="212"/>
    </row>
    <row r="63" spans="2:8">
      <c r="B63" s="212"/>
      <c r="C63" s="212"/>
      <c r="D63" s="212"/>
      <c r="E63" s="212"/>
      <c r="F63" s="212"/>
      <c r="G63" s="212"/>
      <c r="H63" s="212"/>
    </row>
    <row r="64" spans="2:8">
      <c r="B64" s="212"/>
      <c r="C64" s="212"/>
      <c r="D64" s="212"/>
      <c r="E64" s="212"/>
      <c r="F64" s="212"/>
      <c r="G64" s="212"/>
      <c r="H64" s="212"/>
    </row>
    <row r="65" spans="2:8">
      <c r="B65" s="212"/>
      <c r="C65" s="212"/>
      <c r="D65" s="212"/>
      <c r="E65" s="212"/>
      <c r="F65" s="212"/>
      <c r="G65" s="212"/>
      <c r="H65" s="212"/>
    </row>
    <row r="66" spans="2:8">
      <c r="B66" s="212"/>
      <c r="C66" s="212"/>
      <c r="D66" s="212"/>
      <c r="E66" s="212"/>
      <c r="F66" s="212"/>
      <c r="G66" s="212"/>
      <c r="H66" s="212"/>
    </row>
    <row r="67" spans="2:8">
      <c r="B67" s="212"/>
      <c r="C67" s="212"/>
      <c r="D67" s="212"/>
      <c r="E67" s="212"/>
      <c r="F67" s="212"/>
      <c r="G67" s="212"/>
      <c r="H67" s="212"/>
    </row>
    <row r="68" spans="2:8">
      <c r="B68" s="212"/>
      <c r="C68" s="212"/>
      <c r="D68" s="212"/>
      <c r="E68" s="212"/>
      <c r="F68" s="212"/>
      <c r="G68" s="212"/>
      <c r="H68" s="212"/>
    </row>
    <row r="69" spans="2:8">
      <c r="B69" s="212"/>
      <c r="C69" s="212"/>
      <c r="D69" s="212"/>
      <c r="E69" s="212"/>
      <c r="F69" s="212"/>
      <c r="G69" s="212"/>
      <c r="H69" s="212"/>
    </row>
    <row r="70" spans="2:8">
      <c r="B70" s="212"/>
      <c r="C70" s="212"/>
      <c r="D70" s="212"/>
      <c r="E70" s="212"/>
      <c r="F70" s="212"/>
      <c r="G70" s="212"/>
      <c r="H70" s="212"/>
    </row>
    <row r="71" spans="2:8">
      <c r="B71" s="212"/>
      <c r="C71" s="212"/>
      <c r="D71" s="212"/>
      <c r="E71" s="212"/>
      <c r="F71" s="212"/>
      <c r="G71" s="212"/>
      <c r="H71" s="212"/>
    </row>
    <row r="72" spans="2:8">
      <c r="B72" s="212"/>
      <c r="C72" s="212"/>
      <c r="D72" s="212"/>
      <c r="E72" s="212"/>
      <c r="F72" s="212"/>
      <c r="G72" s="212"/>
      <c r="H72" s="212"/>
    </row>
    <row r="73" spans="2:8">
      <c r="B73" s="212"/>
      <c r="C73" s="212"/>
      <c r="D73" s="212"/>
      <c r="E73" s="212"/>
      <c r="F73" s="212"/>
      <c r="G73" s="212"/>
      <c r="H73" s="212"/>
    </row>
    <row r="79" spans="2:8">
      <c r="B79" s="212">
        <f>B61*10000</f>
        <v>0</v>
      </c>
      <c r="C79" s="212">
        <f t="shared" ref="C79:H79" si="18">C61*10000</f>
        <v>0</v>
      </c>
      <c r="D79" s="212">
        <f t="shared" si="18"/>
        <v>0</v>
      </c>
      <c r="E79" s="212">
        <f t="shared" si="18"/>
        <v>0</v>
      </c>
      <c r="F79" s="212">
        <f t="shared" si="18"/>
        <v>0</v>
      </c>
      <c r="G79" s="212">
        <f t="shared" si="18"/>
        <v>0</v>
      </c>
      <c r="H79" s="212">
        <f t="shared" si="18"/>
        <v>0</v>
      </c>
    </row>
    <row r="80" spans="2:8">
      <c r="B80" s="212">
        <f t="shared" ref="B80:H91" si="19">B62*10000</f>
        <v>0</v>
      </c>
      <c r="C80" s="212">
        <f t="shared" si="19"/>
        <v>0</v>
      </c>
      <c r="D80" s="212">
        <f t="shared" si="19"/>
        <v>0</v>
      </c>
      <c r="E80" s="212">
        <f t="shared" si="19"/>
        <v>0</v>
      </c>
      <c r="F80" s="212">
        <f t="shared" si="19"/>
        <v>0</v>
      </c>
      <c r="G80" s="212">
        <f t="shared" si="19"/>
        <v>0</v>
      </c>
      <c r="H80" s="212">
        <f t="shared" si="19"/>
        <v>0</v>
      </c>
    </row>
    <row r="81" spans="2:8">
      <c r="B81" s="212">
        <f t="shared" si="19"/>
        <v>0</v>
      </c>
      <c r="C81" s="212">
        <f t="shared" si="19"/>
        <v>0</v>
      </c>
      <c r="D81" s="212">
        <f t="shared" si="19"/>
        <v>0</v>
      </c>
      <c r="E81" s="212">
        <f t="shared" si="19"/>
        <v>0</v>
      </c>
      <c r="F81" s="212">
        <f t="shared" si="19"/>
        <v>0</v>
      </c>
      <c r="G81" s="212">
        <f t="shared" si="19"/>
        <v>0</v>
      </c>
      <c r="H81" s="212">
        <f t="shared" si="19"/>
        <v>0</v>
      </c>
    </row>
    <row r="82" spans="2:8">
      <c r="B82" s="212">
        <f t="shared" si="19"/>
        <v>0</v>
      </c>
      <c r="C82" s="212">
        <f t="shared" si="19"/>
        <v>0</v>
      </c>
      <c r="D82" s="212">
        <f t="shared" si="19"/>
        <v>0</v>
      </c>
      <c r="E82" s="212">
        <f t="shared" si="19"/>
        <v>0</v>
      </c>
      <c r="F82" s="212">
        <f t="shared" si="19"/>
        <v>0</v>
      </c>
      <c r="G82" s="212">
        <f t="shared" si="19"/>
        <v>0</v>
      </c>
      <c r="H82" s="212">
        <f t="shared" si="19"/>
        <v>0</v>
      </c>
    </row>
    <row r="83" spans="2:8">
      <c r="B83" s="212">
        <f t="shared" si="19"/>
        <v>0</v>
      </c>
      <c r="C83" s="212">
        <f t="shared" si="19"/>
        <v>0</v>
      </c>
      <c r="D83" s="212">
        <f t="shared" si="19"/>
        <v>0</v>
      </c>
      <c r="E83" s="212">
        <f t="shared" si="19"/>
        <v>0</v>
      </c>
      <c r="F83" s="212">
        <f t="shared" si="19"/>
        <v>0</v>
      </c>
      <c r="G83" s="212">
        <f t="shared" si="19"/>
        <v>0</v>
      </c>
      <c r="H83" s="212">
        <f t="shared" si="19"/>
        <v>0</v>
      </c>
    </row>
    <row r="84" spans="2:8">
      <c r="B84" s="212">
        <f t="shared" si="19"/>
        <v>0</v>
      </c>
      <c r="C84" s="212">
        <f t="shared" si="19"/>
        <v>0</v>
      </c>
      <c r="D84" s="212">
        <f t="shared" si="19"/>
        <v>0</v>
      </c>
      <c r="E84" s="212">
        <f t="shared" si="19"/>
        <v>0</v>
      </c>
      <c r="F84" s="212">
        <f t="shared" si="19"/>
        <v>0</v>
      </c>
      <c r="G84" s="212">
        <f t="shared" si="19"/>
        <v>0</v>
      </c>
      <c r="H84" s="212">
        <f t="shared" si="19"/>
        <v>0</v>
      </c>
    </row>
    <row r="85" spans="2:8">
      <c r="B85" s="212">
        <f t="shared" si="19"/>
        <v>0</v>
      </c>
      <c r="C85" s="212">
        <f t="shared" si="19"/>
        <v>0</v>
      </c>
      <c r="D85" s="212">
        <f t="shared" si="19"/>
        <v>0</v>
      </c>
      <c r="E85" s="212">
        <f t="shared" si="19"/>
        <v>0</v>
      </c>
      <c r="F85" s="212">
        <f t="shared" si="19"/>
        <v>0</v>
      </c>
      <c r="G85" s="212">
        <f t="shared" si="19"/>
        <v>0</v>
      </c>
      <c r="H85" s="212">
        <f t="shared" si="19"/>
        <v>0</v>
      </c>
    </row>
    <row r="86" spans="2:8">
      <c r="B86" s="212">
        <f t="shared" si="19"/>
        <v>0</v>
      </c>
      <c r="C86" s="212">
        <f t="shared" si="19"/>
        <v>0</v>
      </c>
      <c r="D86" s="212">
        <f t="shared" si="19"/>
        <v>0</v>
      </c>
      <c r="E86" s="212">
        <f t="shared" si="19"/>
        <v>0</v>
      </c>
      <c r="F86" s="212">
        <f t="shared" si="19"/>
        <v>0</v>
      </c>
      <c r="G86" s="212">
        <f t="shared" si="19"/>
        <v>0</v>
      </c>
      <c r="H86" s="212">
        <f t="shared" si="19"/>
        <v>0</v>
      </c>
    </row>
    <row r="87" spans="2:8">
      <c r="B87" s="212">
        <f t="shared" si="19"/>
        <v>0</v>
      </c>
      <c r="C87" s="212">
        <f t="shared" si="19"/>
        <v>0</v>
      </c>
      <c r="D87" s="212">
        <f t="shared" si="19"/>
        <v>0</v>
      </c>
      <c r="E87" s="212">
        <f t="shared" si="19"/>
        <v>0</v>
      </c>
      <c r="F87" s="212">
        <f t="shared" si="19"/>
        <v>0</v>
      </c>
      <c r="G87" s="212">
        <f t="shared" si="19"/>
        <v>0</v>
      </c>
      <c r="H87" s="212">
        <f t="shared" si="19"/>
        <v>0</v>
      </c>
    </row>
    <row r="88" spans="2:8">
      <c r="B88" s="212">
        <f t="shared" si="19"/>
        <v>0</v>
      </c>
      <c r="C88" s="212">
        <f t="shared" si="19"/>
        <v>0</v>
      </c>
      <c r="D88" s="212">
        <f t="shared" si="19"/>
        <v>0</v>
      </c>
      <c r="E88" s="212">
        <f t="shared" si="19"/>
        <v>0</v>
      </c>
      <c r="F88" s="212">
        <f t="shared" si="19"/>
        <v>0</v>
      </c>
      <c r="G88" s="212">
        <f t="shared" si="19"/>
        <v>0</v>
      </c>
      <c r="H88" s="212">
        <f t="shared" si="19"/>
        <v>0</v>
      </c>
    </row>
    <row r="89" spans="2:8">
      <c r="B89" s="212">
        <f t="shared" si="19"/>
        <v>0</v>
      </c>
      <c r="C89" s="212">
        <f t="shared" si="19"/>
        <v>0</v>
      </c>
      <c r="D89" s="212">
        <f t="shared" si="19"/>
        <v>0</v>
      </c>
      <c r="E89" s="212">
        <f t="shared" si="19"/>
        <v>0</v>
      </c>
      <c r="F89" s="212">
        <f t="shared" si="19"/>
        <v>0</v>
      </c>
      <c r="G89" s="212">
        <f t="shared" si="19"/>
        <v>0</v>
      </c>
      <c r="H89" s="212">
        <f t="shared" si="19"/>
        <v>0</v>
      </c>
    </row>
    <row r="90" spans="2:8">
      <c r="B90" s="212">
        <f>B72*10000</f>
        <v>0</v>
      </c>
      <c r="C90" s="212">
        <f t="shared" si="19"/>
        <v>0</v>
      </c>
      <c r="D90" s="212">
        <f t="shared" si="19"/>
        <v>0</v>
      </c>
      <c r="E90" s="212">
        <f t="shared" si="19"/>
        <v>0</v>
      </c>
      <c r="F90" s="212">
        <f t="shared" si="19"/>
        <v>0</v>
      </c>
      <c r="G90" s="212">
        <f t="shared" si="19"/>
        <v>0</v>
      </c>
      <c r="H90" s="212">
        <f t="shared" si="19"/>
        <v>0</v>
      </c>
    </row>
    <row r="91" spans="2:8">
      <c r="B91" s="212">
        <f t="shared" si="19"/>
        <v>0</v>
      </c>
      <c r="C91" s="212">
        <f t="shared" si="19"/>
        <v>0</v>
      </c>
      <c r="D91" s="212">
        <f t="shared" si="19"/>
        <v>0</v>
      </c>
      <c r="E91" s="212">
        <f t="shared" si="19"/>
        <v>0</v>
      </c>
      <c r="F91" s="212">
        <f t="shared" si="19"/>
        <v>0</v>
      </c>
      <c r="G91" s="212">
        <f t="shared" si="19"/>
        <v>0</v>
      </c>
      <c r="H91" s="212">
        <f t="shared" si="19"/>
        <v>0</v>
      </c>
    </row>
  </sheetData>
  <pageMargins left="0.75" right="0.75" top="1" bottom="1" header="0.5" footer="0.5"/>
  <pageSetup paperSize="9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Q13"/>
  <sheetViews>
    <sheetView workbookViewId="0">
      <selection activeCell="M19" sqref="M18:M19"/>
    </sheetView>
  </sheetViews>
  <sheetFormatPr defaultColWidth="9" defaultRowHeight="14.25"/>
  <cols>
    <col min="8" max="8" width="9" customWidth="1"/>
    <col min="13" max="13" width="9.4" customWidth="1"/>
  </cols>
  <sheetData>
    <row r="2" ht="18" spans="15:16">
      <c r="O2" s="167" t="s">
        <v>1339</v>
      </c>
      <c r="P2" s="151">
        <v>0.0418</v>
      </c>
    </row>
    <row r="3" ht="24" spans="5:16">
      <c r="E3" s="152" t="s">
        <v>29</v>
      </c>
      <c r="F3" s="153" t="s">
        <v>1340</v>
      </c>
      <c r="G3" s="153" t="s">
        <v>1341</v>
      </c>
      <c r="H3" s="153" t="s">
        <v>1342</v>
      </c>
      <c r="I3" s="153" t="s">
        <v>1343</v>
      </c>
      <c r="J3" s="153" t="s">
        <v>1344</v>
      </c>
      <c r="K3" s="168" t="s">
        <v>1345</v>
      </c>
      <c r="L3" s="169" t="s">
        <v>1346</v>
      </c>
      <c r="M3" s="169" t="s">
        <v>1347</v>
      </c>
      <c r="O3" s="170" t="s">
        <v>1348</v>
      </c>
      <c r="P3" s="171">
        <v>0.0719</v>
      </c>
    </row>
    <row r="4" ht="20.25" spans="5:17">
      <c r="E4" s="154">
        <v>1</v>
      </c>
      <c r="F4" s="155"/>
      <c r="G4" s="156"/>
      <c r="H4" s="157"/>
      <c r="I4" s="157"/>
      <c r="J4" s="172"/>
      <c r="K4" s="173"/>
      <c r="L4" s="174"/>
      <c r="M4" s="175">
        <f>K4/(1+J4*0.75)</f>
        <v>0</v>
      </c>
      <c r="N4" s="176"/>
      <c r="O4" s="170" t="s">
        <v>1349</v>
      </c>
      <c r="P4">
        <f>ROUND(M7*(1+(1-25%)*J7),4)</f>
        <v>0</v>
      </c>
      <c r="Q4" s="186"/>
    </row>
    <row r="5" ht="15" spans="5:16">
      <c r="E5" s="154">
        <v>2</v>
      </c>
      <c r="F5" s="158"/>
      <c r="G5" s="159"/>
      <c r="H5" s="157"/>
      <c r="I5" s="157"/>
      <c r="J5" s="172"/>
      <c r="K5" s="173"/>
      <c r="L5" s="177"/>
      <c r="M5" s="178">
        <f t="shared" ref="M5:M6" si="0">K5/(1+J5*0.75)</f>
        <v>0</v>
      </c>
      <c r="N5" s="176"/>
      <c r="O5" s="176" t="s">
        <v>1350</v>
      </c>
      <c r="P5" s="151">
        <f>ROUND(3.139%-0.2486%*3.806376,4)</f>
        <v>0.0219</v>
      </c>
    </row>
    <row r="6" ht="15" spans="5:16">
      <c r="E6" s="160">
        <v>3</v>
      </c>
      <c r="F6" s="161"/>
      <c r="G6" s="162"/>
      <c r="H6" s="163"/>
      <c r="I6" s="163"/>
      <c r="J6" s="179"/>
      <c r="K6" s="180"/>
      <c r="L6" s="181"/>
      <c r="M6" s="182">
        <f t="shared" si="0"/>
        <v>0</v>
      </c>
      <c r="N6" s="176"/>
      <c r="O6" s="176" t="s">
        <v>1351</v>
      </c>
      <c r="P6" s="151">
        <v>0.03</v>
      </c>
    </row>
    <row r="7" ht="15.75" spans="5:16">
      <c r="E7" s="164"/>
      <c r="F7" s="58"/>
      <c r="G7" s="58"/>
      <c r="H7" s="165">
        <f>SUM(H4:H6)</f>
        <v>0</v>
      </c>
      <c r="I7" s="183">
        <f>SUM(I4:I6)</f>
        <v>0</v>
      </c>
      <c r="J7" s="184">
        <f>ROUND((J4+J5+J6)/3,4)</f>
        <v>0</v>
      </c>
      <c r="K7" s="184">
        <f>(K4+K5+K6)/3</f>
        <v>0</v>
      </c>
      <c r="L7" s="164"/>
      <c r="M7" s="184">
        <f>ROUND((M4+M5+M6)/3,4)</f>
        <v>0</v>
      </c>
      <c r="O7" s="170" t="s">
        <v>1352</v>
      </c>
      <c r="P7" s="151">
        <f>P5+P6</f>
        <v>0.0519</v>
      </c>
    </row>
    <row r="8" ht="15.75" spans="15:15">
      <c r="O8" s="170" t="s">
        <v>1353</v>
      </c>
    </row>
    <row r="9" spans="4:16">
      <c r="D9" s="58"/>
      <c r="E9" s="58" t="s">
        <v>1354</v>
      </c>
      <c r="F9" s="58" t="s">
        <v>1355</v>
      </c>
      <c r="G9" s="58"/>
      <c r="H9" s="58" t="s">
        <v>1356</v>
      </c>
      <c r="I9" s="58" t="s">
        <v>1357</v>
      </c>
      <c r="J9" s="58" t="s">
        <v>157</v>
      </c>
      <c r="O9" t="s">
        <v>1358</v>
      </c>
      <c r="P9" s="151">
        <f>ROUND(4.18%+P4*7.19%+P7,4)</f>
        <v>0.0937</v>
      </c>
    </row>
    <row r="10" ht="15.75" spans="4:16">
      <c r="D10" s="58"/>
      <c r="E10" s="58"/>
      <c r="F10" s="58"/>
      <c r="G10" s="58"/>
      <c r="H10" s="58"/>
      <c r="I10" s="58"/>
      <c r="J10" s="58"/>
      <c r="L10" s="185" t="s">
        <v>1359</v>
      </c>
      <c r="O10" s="170" t="s">
        <v>1360</v>
      </c>
      <c r="P10" s="151">
        <f>ROUND(H13*4.35%+I13*4.9%,4)</f>
        <v>0</v>
      </c>
    </row>
    <row r="11" ht="15.75" spans="4:16">
      <c r="D11" s="58"/>
      <c r="E11" s="58"/>
      <c r="F11" s="58"/>
      <c r="G11" s="58"/>
      <c r="H11" s="166"/>
      <c r="I11" s="166"/>
      <c r="J11" s="58"/>
      <c r="L11" s="185" t="s">
        <v>1361</v>
      </c>
      <c r="O11" s="170" t="s">
        <v>1362</v>
      </c>
      <c r="P11" s="151">
        <f>38063.76/90644.4*P9+52580.64/90644.4*(1-25%)*P10</f>
        <v>0.0393468798072468</v>
      </c>
    </row>
    <row r="12" spans="4:10">
      <c r="D12" s="162"/>
      <c r="E12" s="58"/>
      <c r="F12" s="58"/>
      <c r="G12" s="58"/>
      <c r="H12" s="58">
        <f>E10+E11+E12</f>
        <v>0</v>
      </c>
      <c r="I12" s="58">
        <f>F10+F11+F12</f>
        <v>0</v>
      </c>
      <c r="J12" s="58">
        <f>H12+I12</f>
        <v>0</v>
      </c>
    </row>
    <row r="13" spans="4:10">
      <c r="D13" s="58"/>
      <c r="E13" s="58"/>
      <c r="F13" s="58"/>
      <c r="G13" s="58"/>
      <c r="H13" s="166"/>
      <c r="I13" s="166"/>
      <c r="J13" s="58"/>
    </row>
  </sheetData>
  <pageMargins left="0.699305555555556" right="0.699305555555556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L17"/>
  <sheetViews>
    <sheetView workbookViewId="0">
      <selection activeCell="D25" sqref="D25"/>
    </sheetView>
  </sheetViews>
  <sheetFormatPr defaultColWidth="9" defaultRowHeight="14.25"/>
  <cols>
    <col min="2" max="2" width="29.4" customWidth="1"/>
    <col min="3" max="8" width="11.6" customWidth="1"/>
    <col min="10" max="10" width="7.5" customWidth="1"/>
  </cols>
  <sheetData>
    <row r="4" spans="2:8">
      <c r="B4" s="142" t="s">
        <v>1274</v>
      </c>
      <c r="C4" s="129" t="s">
        <v>1363</v>
      </c>
      <c r="D4" s="129" t="s">
        <v>262</v>
      </c>
      <c r="E4" s="129" t="s">
        <v>247</v>
      </c>
      <c r="F4" s="129" t="s">
        <v>248</v>
      </c>
      <c r="G4" s="129" t="s">
        <v>249</v>
      </c>
      <c r="H4" s="129" t="s">
        <v>250</v>
      </c>
    </row>
    <row r="5" hidden="1" spans="2:8">
      <c r="B5" s="142" t="s">
        <v>1364</v>
      </c>
      <c r="C5" s="143">
        <f>[38]营运资金测算!D33</f>
        <v>7576.61</v>
      </c>
      <c r="D5" s="143">
        <f>[38]营运资金测算!E33</f>
        <v>7576.61</v>
      </c>
      <c r="E5" s="143">
        <f>[38]营运资金测算!F33</f>
        <v>13646.92</v>
      </c>
      <c r="F5" s="143">
        <f>[38]营运资金测算!G33</f>
        <v>14458.94</v>
      </c>
      <c r="G5" s="143">
        <f>[38]营运资金测算!H33</f>
        <v>14944.77</v>
      </c>
      <c r="H5" s="143">
        <f>[38]营运资金测算!I33</f>
        <v>15484.75</v>
      </c>
    </row>
    <row r="6" hidden="1" spans="2:8">
      <c r="B6" t="s">
        <v>1365</v>
      </c>
      <c r="C6" s="143">
        <f>[38]营运资金测算!D43</f>
        <v>7079.86</v>
      </c>
      <c r="D6" s="143">
        <f>[38]营运资金测算!E43</f>
        <v>13646.92</v>
      </c>
      <c r="E6" s="143">
        <f>[38]营运资金测算!F43</f>
        <v>14458.94</v>
      </c>
      <c r="F6" s="143">
        <f>[38]营运资金测算!G43</f>
        <v>14944.77</v>
      </c>
      <c r="G6" s="143">
        <f>[38]营运资金测算!H43</f>
        <v>15484.75</v>
      </c>
      <c r="H6" s="143">
        <f>[38]营运资金测算!I43</f>
        <v>15484.75</v>
      </c>
    </row>
    <row r="7" hidden="1" spans="2:8">
      <c r="B7" s="144" t="s">
        <v>1366</v>
      </c>
      <c r="C7" s="145">
        <f t="shared" ref="C7:H7" si="0">C5-C6</f>
        <v>496.75</v>
      </c>
      <c r="D7" s="146">
        <f t="shared" si="0"/>
        <v>-6070.31</v>
      </c>
      <c r="E7" s="146">
        <f t="shared" si="0"/>
        <v>-812.02</v>
      </c>
      <c r="F7" s="146">
        <f t="shared" si="0"/>
        <v>-485.83</v>
      </c>
      <c r="G7" s="146">
        <f t="shared" si="0"/>
        <v>-539.98</v>
      </c>
      <c r="H7" s="146">
        <f t="shared" si="0"/>
        <v>0</v>
      </c>
    </row>
    <row r="8" hidden="1" spans="2:10">
      <c r="B8" s="147" t="s">
        <v>1366</v>
      </c>
      <c r="C8" s="146">
        <f t="shared" ref="C8:H8" si="1">C6-C5</f>
        <v>-496.75</v>
      </c>
      <c r="D8" s="146">
        <f t="shared" si="1"/>
        <v>6070.31</v>
      </c>
      <c r="E8" s="146">
        <f t="shared" si="1"/>
        <v>812.02</v>
      </c>
      <c r="F8" s="146">
        <f t="shared" si="1"/>
        <v>485.83</v>
      </c>
      <c r="G8" s="146">
        <f t="shared" si="1"/>
        <v>539.98</v>
      </c>
      <c r="H8" s="146">
        <f t="shared" si="1"/>
        <v>0</v>
      </c>
      <c r="I8" s="149"/>
      <c r="J8" s="149"/>
    </row>
    <row r="9" hidden="1"/>
    <row r="10" hidden="1" spans="2:8">
      <c r="B10" s="144" t="s">
        <v>1367</v>
      </c>
      <c r="C10" s="143">
        <f>[38]评估值测算!N18</f>
        <v>10317.616493</v>
      </c>
      <c r="D10" s="143">
        <f>C13</f>
        <v>0</v>
      </c>
      <c r="E10" s="143">
        <f>D13</f>
        <v>0</v>
      </c>
      <c r="F10" s="143">
        <f>E13</f>
        <v>0</v>
      </c>
      <c r="G10" s="143">
        <f>F13</f>
        <v>0</v>
      </c>
      <c r="H10" s="143">
        <f>G13</f>
        <v>0</v>
      </c>
    </row>
    <row r="11" hidden="1" spans="2:8">
      <c r="B11" t="s">
        <v>1368</v>
      </c>
      <c r="C11" s="143">
        <f>[38]评估值测算!B8</f>
        <v>3604.03310623433</v>
      </c>
      <c r="D11" s="143">
        <f>[38]评估值测算!C8</f>
        <v>4762.74662398715</v>
      </c>
      <c r="E11" s="143">
        <f>[38]评估值测算!D8</f>
        <v>11176.0358748773</v>
      </c>
      <c r="F11" s="143">
        <f>[38]评估值测算!E8</f>
        <v>11983.849325819</v>
      </c>
      <c r="G11" s="143">
        <f>[38]评估值测算!F8</f>
        <v>12463.9991248566</v>
      </c>
      <c r="H11" s="143">
        <f>[38]评估值测算!G8</f>
        <v>13003.9791248566</v>
      </c>
    </row>
    <row r="12" hidden="1" spans="2:10">
      <c r="B12" s="148" t="s">
        <v>1369</v>
      </c>
      <c r="C12" s="145">
        <f>-C11</f>
        <v>-3604.03310623433</v>
      </c>
      <c r="D12" s="145">
        <f>-D11</f>
        <v>-4762.74662398715</v>
      </c>
      <c r="E12" s="145">
        <f>-E10</f>
        <v>0</v>
      </c>
      <c r="F12" s="145">
        <v>0</v>
      </c>
      <c r="G12" s="145">
        <v>0</v>
      </c>
      <c r="H12" s="145">
        <v>0</v>
      </c>
      <c r="I12" s="150"/>
      <c r="J12" s="150"/>
    </row>
    <row r="13" spans="2:8">
      <c r="B13" t="s">
        <v>1370</v>
      </c>
      <c r="C13" s="143"/>
      <c r="D13" s="143"/>
      <c r="E13" s="143"/>
      <c r="F13" s="143"/>
      <c r="G13" s="143"/>
      <c r="H13" s="143"/>
    </row>
    <row r="14" spans="3:8">
      <c r="C14" s="143"/>
      <c r="D14" s="143"/>
      <c r="E14" s="143"/>
      <c r="F14" s="143"/>
      <c r="G14" s="143"/>
      <c r="H14" s="143"/>
    </row>
    <row r="15" hidden="1" spans="2:10">
      <c r="B15" t="s">
        <v>1115</v>
      </c>
      <c r="C15" s="143">
        <v>123.953700258147</v>
      </c>
      <c r="D15" s="143">
        <v>201.060891735233</v>
      </c>
      <c r="E15" s="143">
        <v>53.6079496835408</v>
      </c>
      <c r="F15" s="143">
        <v>0</v>
      </c>
      <c r="G15" s="143">
        <v>0</v>
      </c>
      <c r="H15" s="143">
        <v>0</v>
      </c>
      <c r="J15" s="149"/>
    </row>
    <row r="16" spans="3:7">
      <c r="C16" s="143"/>
      <c r="D16" s="143"/>
      <c r="E16" s="143"/>
      <c r="F16" s="143"/>
      <c r="G16" s="143"/>
    </row>
    <row r="17" spans="2:12">
      <c r="B17" s="144" t="s">
        <v>1115</v>
      </c>
      <c r="C17" s="143">
        <f>ROUND(C13*$J$17/12*6,2)</f>
        <v>0</v>
      </c>
      <c r="D17" s="143">
        <f>ROUND(D13*$J$17,2)</f>
        <v>0</v>
      </c>
      <c r="E17" s="143">
        <f>ROUND(E13*$J$17,2)</f>
        <v>0</v>
      </c>
      <c r="F17" s="143">
        <f>ROUND(F13*$J$17,2)</f>
        <v>0</v>
      </c>
      <c r="G17" s="143">
        <f>ROUND(G13*$J$17,2)</f>
        <v>0</v>
      </c>
      <c r="H17" s="143">
        <f>ROUND(H13*$J$17,2)</f>
        <v>0</v>
      </c>
      <c r="J17" s="151">
        <f>K17+L17</f>
        <v>0.0612</v>
      </c>
      <c r="K17" s="151">
        <v>0.0435</v>
      </c>
      <c r="L17" s="151">
        <v>0.0177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15"/>
  <sheetViews>
    <sheetView workbookViewId="0">
      <selection activeCell="E23" sqref="E23"/>
    </sheetView>
  </sheetViews>
  <sheetFormatPr defaultColWidth="8.9" defaultRowHeight="19.5" customHeight="1"/>
  <cols>
    <col min="1" max="1" width="16" style="126" customWidth="1"/>
    <col min="2" max="2" width="16" style="127" customWidth="1"/>
    <col min="3" max="3" width="10.6" style="127" customWidth="1"/>
    <col min="4" max="4" width="11.7" style="127" customWidth="1"/>
    <col min="5" max="5" width="11.9" style="127" customWidth="1"/>
    <col min="6" max="6" width="12.4" style="127" customWidth="1"/>
    <col min="7" max="7" width="14" style="127" customWidth="1"/>
    <col min="8" max="8" width="11.7" style="127" customWidth="1"/>
    <col min="9" max="10" width="12.7" style="127" customWidth="1"/>
    <col min="11" max="12" width="12.7" style="127" hidden="1" customWidth="1"/>
    <col min="13" max="20" width="8.9" style="127"/>
    <col min="21" max="21" width="9.1" style="127" customWidth="1"/>
    <col min="22" max="16384" width="8.9" style="127"/>
  </cols>
  <sheetData>
    <row r="4" s="122" customFormat="1" customHeight="1" spans="1:12">
      <c r="A4" s="128" t="s">
        <v>1371</v>
      </c>
      <c r="B4" s="129" t="s">
        <v>1304</v>
      </c>
      <c r="C4" s="129" t="s">
        <v>262</v>
      </c>
      <c r="D4" s="129" t="s">
        <v>247</v>
      </c>
      <c r="E4" s="129" t="s">
        <v>248</v>
      </c>
      <c r="F4" s="129" t="s">
        <v>249</v>
      </c>
      <c r="G4" s="129" t="s">
        <v>250</v>
      </c>
      <c r="H4" s="129" t="s">
        <v>251</v>
      </c>
      <c r="I4" s="129" t="s">
        <v>1218</v>
      </c>
      <c r="J4" s="129" t="s">
        <v>1254</v>
      </c>
      <c r="K4" s="129" t="s">
        <v>1219</v>
      </c>
      <c r="L4" s="129" t="s">
        <v>1372</v>
      </c>
    </row>
    <row r="5" s="123" customFormat="1" customHeight="1" spans="1:12">
      <c r="A5" s="130" t="s">
        <v>1373</v>
      </c>
      <c r="B5" s="131" t="e">
        <f>'收入--历史经营情况分析'!#REF!</f>
        <v>#REF!</v>
      </c>
      <c r="C5" s="131" t="e">
        <f>'收入--历史经营情况分析'!#REF!</f>
        <v>#REF!</v>
      </c>
      <c r="D5" s="131" t="e">
        <f>'收入--历史经营情况分析'!#REF!</f>
        <v>#REF!</v>
      </c>
      <c r="E5" s="131" t="e">
        <f>'收入--历史经营情况分析'!#REF!</f>
        <v>#REF!</v>
      </c>
      <c r="F5" s="131" t="e">
        <f>'收入--历史经营情况分析'!#REF!</f>
        <v>#REF!</v>
      </c>
      <c r="G5" s="131" t="e">
        <f>'收入--历史经营情况分析'!#REF!</f>
        <v>#REF!</v>
      </c>
      <c r="H5" s="131" t="e">
        <f>'收入--历史经营情况分析'!#REF!</f>
        <v>#REF!</v>
      </c>
      <c r="I5" s="131" t="e">
        <f>'收入--历史经营情况分析'!#REF!</f>
        <v>#REF!</v>
      </c>
      <c r="J5" s="131" t="e">
        <f>'收入--历史经营情况分析'!#REF!</f>
        <v>#REF!</v>
      </c>
      <c r="K5" s="131" t="e">
        <f>'收入--历史经营情况分析'!#REF!</f>
        <v>#REF!</v>
      </c>
      <c r="L5" s="131" t="e">
        <f>'收入--历史经营情况分析'!#REF!</f>
        <v>#REF!</v>
      </c>
    </row>
    <row r="6" s="123" customFormat="1" customHeight="1" spans="1:12">
      <c r="A6" s="132" t="s">
        <v>1374</v>
      </c>
      <c r="B6" s="131" t="e">
        <f>#REF!</f>
        <v>#REF!</v>
      </c>
      <c r="C6" s="131" t="e">
        <f>#REF!</f>
        <v>#REF!</v>
      </c>
      <c r="D6" s="131" t="e">
        <f>#REF!</f>
        <v>#REF!</v>
      </c>
      <c r="E6" s="131" t="e">
        <f>#REF!</f>
        <v>#REF!</v>
      </c>
      <c r="F6" s="131" t="e">
        <f>#REF!</f>
        <v>#REF!</v>
      </c>
      <c r="G6" s="131" t="e">
        <f>#REF!</f>
        <v>#REF!</v>
      </c>
      <c r="H6" s="131" t="e">
        <f>#REF!</f>
        <v>#REF!</v>
      </c>
      <c r="I6" s="131" t="e">
        <f>#REF!</f>
        <v>#REF!</v>
      </c>
      <c r="J6" s="131" t="e">
        <f>#REF!</f>
        <v>#REF!</v>
      </c>
      <c r="K6" s="131" t="e">
        <f>#REF!</f>
        <v>#REF!</v>
      </c>
      <c r="L6" s="131" t="e">
        <f>#REF!</f>
        <v>#REF!</v>
      </c>
    </row>
    <row r="7" s="124" customFormat="1" hidden="1" customHeight="1" spans="1:12">
      <c r="A7" s="133" t="s">
        <v>1375</v>
      </c>
      <c r="B7" s="134" t="e">
        <f>(B5-B6)/B5</f>
        <v>#REF!</v>
      </c>
      <c r="C7" s="134" t="e">
        <f t="shared" ref="C7:L7" si="0">(C5-C6)/C5</f>
        <v>#REF!</v>
      </c>
      <c r="D7" s="134" t="e">
        <f t="shared" si="0"/>
        <v>#REF!</v>
      </c>
      <c r="E7" s="134" t="e">
        <f t="shared" si="0"/>
        <v>#REF!</v>
      </c>
      <c r="F7" s="134" t="e">
        <f t="shared" si="0"/>
        <v>#REF!</v>
      </c>
      <c r="G7" s="134" t="e">
        <f t="shared" si="0"/>
        <v>#REF!</v>
      </c>
      <c r="H7" s="134" t="e">
        <f t="shared" si="0"/>
        <v>#REF!</v>
      </c>
      <c r="I7" s="134" t="e">
        <f t="shared" si="0"/>
        <v>#REF!</v>
      </c>
      <c r="J7" s="134" t="e">
        <f t="shared" si="0"/>
        <v>#REF!</v>
      </c>
      <c r="K7" s="134" t="e">
        <f t="shared" si="0"/>
        <v>#REF!</v>
      </c>
      <c r="L7" s="134" t="e">
        <f t="shared" si="0"/>
        <v>#REF!</v>
      </c>
    </row>
    <row r="8" s="125" customFormat="1" customHeight="1" spans="1:12">
      <c r="A8" s="130" t="s">
        <v>1376</v>
      </c>
      <c r="B8" s="131" t="e">
        <f>#REF!</f>
        <v>#REF!</v>
      </c>
      <c r="C8" s="131" t="e">
        <f>#REF!</f>
        <v>#REF!</v>
      </c>
      <c r="D8" s="131" t="e">
        <f>#REF!</f>
        <v>#REF!</v>
      </c>
      <c r="E8" s="131" t="e">
        <f>#REF!</f>
        <v>#REF!</v>
      </c>
      <c r="F8" s="131" t="e">
        <f>#REF!</f>
        <v>#REF!</v>
      </c>
      <c r="G8" s="131" t="e">
        <f>#REF!</f>
        <v>#REF!</v>
      </c>
      <c r="H8" s="131" t="e">
        <f>#REF!</f>
        <v>#REF!</v>
      </c>
      <c r="I8" s="131" t="e">
        <f>#REF!</f>
        <v>#REF!</v>
      </c>
      <c r="J8" s="131" t="e">
        <f>#REF!</f>
        <v>#REF!</v>
      </c>
      <c r="K8" s="131" t="e">
        <f>#REF!</f>
        <v>#REF!</v>
      </c>
      <c r="L8" s="131" t="e">
        <f>#REF!</f>
        <v>#REF!</v>
      </c>
    </row>
    <row r="9" s="9" customFormat="1" customHeight="1" spans="1:12">
      <c r="A9" s="132" t="s">
        <v>1377</v>
      </c>
      <c r="B9" s="135" t="e">
        <f>经营费用!B9</f>
        <v>#REF!</v>
      </c>
      <c r="C9" s="135" t="e">
        <f>经营费用!C9</f>
        <v>#REF!</v>
      </c>
      <c r="D9" s="135" t="e">
        <f>经营费用!D9</f>
        <v>#REF!</v>
      </c>
      <c r="E9" s="135" t="e">
        <f>经营费用!E9</f>
        <v>#REF!</v>
      </c>
      <c r="F9" s="135" t="e">
        <f>经营费用!F9</f>
        <v>#REF!</v>
      </c>
      <c r="G9" s="135" t="e">
        <f>经营费用!G9</f>
        <v>#REF!</v>
      </c>
      <c r="H9" s="135" t="e">
        <f>经营费用!H9</f>
        <v>#REF!</v>
      </c>
      <c r="I9" s="135" t="e">
        <f>经营费用!I9</f>
        <v>#REF!</v>
      </c>
      <c r="J9" s="135" t="e">
        <f>经营费用!J9</f>
        <v>#REF!</v>
      </c>
      <c r="K9" s="135" t="e">
        <f>经营费用!K9</f>
        <v>#REF!</v>
      </c>
      <c r="L9" s="135" t="e">
        <f>经营费用!P9</f>
        <v>#REF!</v>
      </c>
    </row>
    <row r="10" s="123" customFormat="1" customHeight="1" spans="1:12">
      <c r="A10" s="136" t="s">
        <v>1378</v>
      </c>
      <c r="B10" s="131" t="e">
        <f>#REF!</f>
        <v>#REF!</v>
      </c>
      <c r="C10" s="131" t="e">
        <f>#REF!</f>
        <v>#REF!</v>
      </c>
      <c r="D10" s="131" t="e">
        <f>#REF!</f>
        <v>#REF!</v>
      </c>
      <c r="E10" s="131" t="e">
        <f>#REF!</f>
        <v>#REF!</v>
      </c>
      <c r="F10" s="131" t="e">
        <f>#REF!</f>
        <v>#REF!</v>
      </c>
      <c r="G10" s="131" t="e">
        <f>#REF!</f>
        <v>#REF!</v>
      </c>
      <c r="H10" s="131" t="e">
        <f>#REF!</f>
        <v>#REF!</v>
      </c>
      <c r="I10" s="131" t="e">
        <f>#REF!</f>
        <v>#REF!</v>
      </c>
      <c r="J10" s="131" t="e">
        <f>#REF!</f>
        <v>#REF!</v>
      </c>
      <c r="K10" s="131" t="e">
        <f>#REF!</f>
        <v>#REF!</v>
      </c>
      <c r="L10" s="131" t="e">
        <f>#REF!</f>
        <v>#REF!</v>
      </c>
    </row>
    <row r="11" s="123" customFormat="1" customHeight="1" spans="1:12">
      <c r="A11" s="136" t="s">
        <v>1379</v>
      </c>
      <c r="B11" s="131">
        <v>0</v>
      </c>
      <c r="C11" s="131">
        <v>0</v>
      </c>
      <c r="D11" s="131">
        <v>0</v>
      </c>
      <c r="E11" s="131">
        <v>0</v>
      </c>
      <c r="F11" s="131">
        <v>0</v>
      </c>
      <c r="G11" s="131">
        <v>0</v>
      </c>
      <c r="H11" s="131">
        <v>0</v>
      </c>
      <c r="I11" s="131">
        <v>0</v>
      </c>
      <c r="J11" s="131">
        <v>0</v>
      </c>
      <c r="K11" s="131">
        <v>0</v>
      </c>
      <c r="L11" s="131">
        <v>0</v>
      </c>
    </row>
    <row r="12" customHeight="1" spans="1:12">
      <c r="A12" s="137" t="s">
        <v>1380</v>
      </c>
      <c r="B12" s="131">
        <v>0</v>
      </c>
      <c r="C12" s="131">
        <v>0</v>
      </c>
      <c r="D12" s="131">
        <v>0</v>
      </c>
      <c r="E12" s="131">
        <v>0</v>
      </c>
      <c r="F12" s="131">
        <v>0</v>
      </c>
      <c r="G12" s="131">
        <v>0</v>
      </c>
      <c r="H12" s="131">
        <v>0</v>
      </c>
      <c r="I12" s="131">
        <v>0</v>
      </c>
      <c r="J12" s="131">
        <v>0</v>
      </c>
      <c r="K12" s="131">
        <v>0</v>
      </c>
      <c r="L12" s="131">
        <v>0</v>
      </c>
    </row>
    <row r="13" s="9" customFormat="1" customHeight="1" spans="1:12">
      <c r="A13" s="138" t="s">
        <v>1381</v>
      </c>
      <c r="B13" s="131" t="e">
        <f>B5-B6-B8-B9-B10-B11+B12</f>
        <v>#REF!</v>
      </c>
      <c r="C13" s="131" t="e">
        <f t="shared" ref="C13:L13" si="1">C5-C6-C8-C9-C10-C11+C12</f>
        <v>#REF!</v>
      </c>
      <c r="D13" s="131" t="e">
        <f t="shared" si="1"/>
        <v>#REF!</v>
      </c>
      <c r="E13" s="131" t="e">
        <f t="shared" si="1"/>
        <v>#REF!</v>
      </c>
      <c r="F13" s="131" t="e">
        <f t="shared" si="1"/>
        <v>#REF!</v>
      </c>
      <c r="G13" s="131" t="e">
        <f t="shared" si="1"/>
        <v>#REF!</v>
      </c>
      <c r="H13" s="131" t="e">
        <f t="shared" si="1"/>
        <v>#REF!</v>
      </c>
      <c r="I13" s="131" t="e">
        <f t="shared" si="1"/>
        <v>#REF!</v>
      </c>
      <c r="J13" s="131" t="e">
        <f t="shared" si="1"/>
        <v>#REF!</v>
      </c>
      <c r="K13" s="131" t="e">
        <f t="shared" si="1"/>
        <v>#REF!</v>
      </c>
      <c r="L13" s="131" t="e">
        <f t="shared" si="1"/>
        <v>#REF!</v>
      </c>
    </row>
    <row r="14" s="12" customFormat="1" customHeight="1" spans="1:13">
      <c r="A14" s="139" t="s">
        <v>1382</v>
      </c>
      <c r="B14" s="140">
        <v>0</v>
      </c>
      <c r="C14" s="131" t="e">
        <f>C13*$M$14</f>
        <v>#REF!</v>
      </c>
      <c r="D14" s="131" t="e">
        <f>D13*$M$14</f>
        <v>#REF!</v>
      </c>
      <c r="E14" s="131" t="e">
        <f>E13*$M$14</f>
        <v>#REF!</v>
      </c>
      <c r="F14" s="131" t="e">
        <f>F13*$M$14</f>
        <v>#REF!</v>
      </c>
      <c r="G14" s="131" t="e">
        <f t="shared" ref="G14:L14" si="2">G13*$M$14</f>
        <v>#REF!</v>
      </c>
      <c r="H14" s="131" t="e">
        <f t="shared" si="2"/>
        <v>#REF!</v>
      </c>
      <c r="I14" s="131" t="e">
        <f t="shared" si="2"/>
        <v>#REF!</v>
      </c>
      <c r="J14" s="131" t="e">
        <f t="shared" si="2"/>
        <v>#REF!</v>
      </c>
      <c r="K14" s="131" t="e">
        <f t="shared" si="2"/>
        <v>#REF!</v>
      </c>
      <c r="L14" s="131" t="e">
        <f t="shared" si="2"/>
        <v>#REF!</v>
      </c>
      <c r="M14" s="141">
        <v>0.15</v>
      </c>
    </row>
    <row r="15" s="9" customFormat="1" customHeight="1" spans="1:12">
      <c r="A15" s="138" t="s">
        <v>1383</v>
      </c>
      <c r="B15" s="131" t="e">
        <f t="shared" ref="B15:L15" si="3">B13-B14</f>
        <v>#REF!</v>
      </c>
      <c r="C15" s="131" t="e">
        <f t="shared" si="3"/>
        <v>#REF!</v>
      </c>
      <c r="D15" s="131" t="e">
        <f t="shared" si="3"/>
        <v>#REF!</v>
      </c>
      <c r="E15" s="131" t="e">
        <f t="shared" si="3"/>
        <v>#REF!</v>
      </c>
      <c r="F15" s="131" t="e">
        <f t="shared" si="3"/>
        <v>#REF!</v>
      </c>
      <c r="G15" s="131" t="e">
        <f t="shared" si="3"/>
        <v>#REF!</v>
      </c>
      <c r="H15" s="131" t="e">
        <f t="shared" si="3"/>
        <v>#REF!</v>
      </c>
      <c r="I15" s="131" t="e">
        <f t="shared" si="3"/>
        <v>#REF!</v>
      </c>
      <c r="J15" s="131" t="e">
        <f t="shared" si="3"/>
        <v>#REF!</v>
      </c>
      <c r="K15" s="131" t="e">
        <f t="shared" si="3"/>
        <v>#REF!</v>
      </c>
      <c r="L15" s="131" t="e">
        <f t="shared" si="3"/>
        <v>#REF!</v>
      </c>
    </row>
  </sheetData>
  <pageMargins left="0.75" right="0.75" top="1" bottom="1" header="0.5" footer="0.5"/>
  <pageSetup paperSize="9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699305555555556" right="0.699305555555556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5"/>
  <sheetViews>
    <sheetView topLeftCell="A13" workbookViewId="0">
      <selection activeCell="A20" sqref="A20:H20"/>
    </sheetView>
  </sheetViews>
  <sheetFormatPr defaultColWidth="13.9" defaultRowHeight="11.25"/>
  <cols>
    <col min="1" max="1" width="3.6" style="114" customWidth="1"/>
    <col min="2" max="2" width="20.4" style="114" customWidth="1"/>
    <col min="3" max="4" width="11.9" style="114" customWidth="1"/>
    <col min="5" max="8" width="9.6" style="114" customWidth="1"/>
    <col min="9" max="9" width="13.9" style="114" customWidth="1"/>
    <col min="10" max="16384" width="13.9" style="114"/>
  </cols>
  <sheetData>
    <row r="2" ht="28.5" customHeight="1" spans="1:8">
      <c r="A2" s="115" t="s">
        <v>29</v>
      </c>
      <c r="B2" s="115" t="s">
        <v>195</v>
      </c>
      <c r="C2" s="115" t="s">
        <v>247</v>
      </c>
      <c r="D2" s="115" t="s">
        <v>248</v>
      </c>
      <c r="E2" s="115" t="s">
        <v>249</v>
      </c>
      <c r="F2" s="115" t="s">
        <v>250</v>
      </c>
      <c r="G2" s="115" t="s">
        <v>251</v>
      </c>
      <c r="H2" s="115" t="s">
        <v>1218</v>
      </c>
    </row>
    <row r="3" ht="28.5" customHeight="1" spans="1:8">
      <c r="A3" s="115">
        <v>1</v>
      </c>
      <c r="B3" s="116" t="s">
        <v>1384</v>
      </c>
      <c r="C3" s="117">
        <f>收入预测表!C9</f>
        <v>2751.17</v>
      </c>
      <c r="D3" s="117">
        <f>收入预测表!D9</f>
        <v>3301.404</v>
      </c>
      <c r="E3" s="117">
        <f>收入预测表!E9</f>
        <v>3895.65672</v>
      </c>
      <c r="F3" s="117">
        <f>收入预测表!F9</f>
        <v>4480.005228</v>
      </c>
      <c r="G3" s="117">
        <f>收入预测表!G9</f>
        <v>4928.0057508</v>
      </c>
      <c r="H3" s="117">
        <f>收入预测表!H9</f>
        <v>4928.0057508</v>
      </c>
    </row>
    <row r="4" ht="28.5" customHeight="1" spans="1:8">
      <c r="A4" s="115">
        <v>2</v>
      </c>
      <c r="B4" s="116" t="s">
        <v>1385</v>
      </c>
      <c r="C4" s="117">
        <f>成本预测表!C5</f>
        <v>2279.73160506117</v>
      </c>
      <c r="D4" s="117">
        <f>成本预测表!D5</f>
        <v>2610.4136760734</v>
      </c>
      <c r="E4" s="117">
        <f>成本预测表!E5</f>
        <v>2967.11291276662</v>
      </c>
      <c r="F4" s="117">
        <f>成本预测表!F5</f>
        <v>3318.88776218161</v>
      </c>
      <c r="G4" s="117">
        <f>成本预测表!G5</f>
        <v>3593.13624089977</v>
      </c>
      <c r="H4" s="117">
        <f>成本预测表!H5</f>
        <v>3593.13624089977</v>
      </c>
    </row>
    <row r="5" ht="28.5" customHeight="1" spans="1:8">
      <c r="A5" s="115"/>
      <c r="B5" s="116"/>
      <c r="C5" s="117">
        <f>1-C4/C3</f>
        <v>0.171359238047388</v>
      </c>
      <c r="D5" s="117">
        <f t="shared" ref="D5:H5" si="0">1-D4/D3</f>
        <v>0.209301958780748</v>
      </c>
      <c r="E5" s="117">
        <f t="shared" si="0"/>
        <v>0.238353600938787</v>
      </c>
      <c r="F5" s="117">
        <f t="shared" si="0"/>
        <v>0.259177703311911</v>
      </c>
      <c r="G5" s="117">
        <f t="shared" si="0"/>
        <v>0.270874178603288</v>
      </c>
      <c r="H5" s="117">
        <f t="shared" si="0"/>
        <v>0.270874178603288</v>
      </c>
    </row>
    <row r="6" ht="28.5" customHeight="1" spans="1:8">
      <c r="A6" s="115">
        <v>3</v>
      </c>
      <c r="B6" s="116" t="s">
        <v>1386</v>
      </c>
      <c r="C6" s="117">
        <f>税金及附加预测表!D23</f>
        <v>0.825351</v>
      </c>
      <c r="D6" s="117">
        <f>税金及附加预测表!E23</f>
        <v>5.04243813685474</v>
      </c>
      <c r="E6" s="117">
        <f>税金及附加预测表!F23</f>
        <v>26.959557229641</v>
      </c>
      <c r="F6" s="117">
        <f>税金及附加预测表!G23</f>
        <v>32.1862466508872</v>
      </c>
      <c r="G6" s="117">
        <f>税金及附加预测表!H23</f>
        <v>36.1933752071759</v>
      </c>
      <c r="H6" s="117">
        <f>税金及附加预测表!I23</f>
        <v>36.1933752071759</v>
      </c>
    </row>
    <row r="7" ht="28.5" customHeight="1" spans="1:8">
      <c r="A7" s="115">
        <v>4</v>
      </c>
      <c r="B7" s="116" t="s">
        <v>1387</v>
      </c>
      <c r="C7" s="117">
        <f>C3-C4-C6</f>
        <v>470.613043938831</v>
      </c>
      <c r="D7" s="117">
        <f t="shared" ref="D7:F7" si="1">D3-D4-D6</f>
        <v>685.947885789743</v>
      </c>
      <c r="E7" s="117">
        <f t="shared" si="1"/>
        <v>901.584250003743</v>
      </c>
      <c r="F7" s="117">
        <f t="shared" si="1"/>
        <v>1128.93121916751</v>
      </c>
      <c r="G7" s="117">
        <f t="shared" ref="G7" si="2">G3-G4-G6</f>
        <v>1298.67613469306</v>
      </c>
      <c r="H7" s="117">
        <f t="shared" ref="H7" si="3">H3-H4-H6</f>
        <v>1298.67613469306</v>
      </c>
    </row>
    <row r="8" ht="28.5" customHeight="1" spans="1:8">
      <c r="A8" s="115">
        <v>5</v>
      </c>
      <c r="B8" s="116" t="s">
        <v>1388</v>
      </c>
      <c r="C8" s="118"/>
      <c r="D8" s="118"/>
      <c r="E8" s="118"/>
      <c r="F8" s="118"/>
      <c r="G8" s="118"/>
      <c r="H8" s="118"/>
    </row>
    <row r="9" ht="28.5" customHeight="1" spans="1:8">
      <c r="A9" s="115">
        <v>6</v>
      </c>
      <c r="B9" s="116" t="s">
        <v>1389</v>
      </c>
      <c r="C9" s="117">
        <f>销售费用!O15</f>
        <v>49.25819</v>
      </c>
      <c r="D9" s="117">
        <f>销售费用!P15</f>
        <v>54.009828</v>
      </c>
      <c r="E9" s="117">
        <f>销售费用!Q15</f>
        <v>59.11459704</v>
      </c>
      <c r="F9" s="117">
        <f>销售费用!R15</f>
        <v>64.197286596</v>
      </c>
      <c r="G9" s="117">
        <f>销售费用!S15</f>
        <v>68.3751527556</v>
      </c>
      <c r="H9" s="117">
        <f>销售费用!T15</f>
        <v>68.3751527556</v>
      </c>
    </row>
    <row r="10" ht="28.5" customHeight="1" spans="1:8">
      <c r="A10" s="115">
        <v>7</v>
      </c>
      <c r="B10" s="116" t="s">
        <v>1390</v>
      </c>
      <c r="C10" s="117">
        <f>管理费用!C14</f>
        <v>223.05958</v>
      </c>
      <c r="D10" s="117">
        <f>管理费用!D14</f>
        <v>236.69509</v>
      </c>
      <c r="E10" s="117">
        <f>管理费用!E14</f>
        <v>251.2599808</v>
      </c>
      <c r="F10" s="117">
        <f>管理费用!F14</f>
        <v>265.95886342</v>
      </c>
      <c r="G10" s="117">
        <f>管理费用!G14</f>
        <v>278.909209012</v>
      </c>
      <c r="H10" s="117">
        <f>管理费用!H14</f>
        <v>278.909209012</v>
      </c>
    </row>
    <row r="11" ht="28.5" customHeight="1" spans="1:8">
      <c r="A11" s="115">
        <v>8</v>
      </c>
      <c r="B11" s="116" t="s">
        <v>1391</v>
      </c>
      <c r="C11" s="117"/>
      <c r="D11" s="117"/>
      <c r="E11" s="117"/>
      <c r="F11" s="117"/>
      <c r="G11" s="117"/>
      <c r="H11" s="117"/>
    </row>
    <row r="12" ht="28.5" customHeight="1" spans="1:8">
      <c r="A12" s="115">
        <v>9</v>
      </c>
      <c r="B12" s="116" t="s">
        <v>1392</v>
      </c>
      <c r="C12" s="117">
        <f>C7+C8-C9-C10-C11</f>
        <v>198.295273938831</v>
      </c>
      <c r="D12" s="117">
        <f t="shared" ref="D12:H12" si="4">D7+D8-D9-D10-D11</f>
        <v>395.242967789743</v>
      </c>
      <c r="E12" s="117">
        <f t="shared" si="4"/>
        <v>591.209672163743</v>
      </c>
      <c r="F12" s="117">
        <f t="shared" si="4"/>
        <v>798.775069151506</v>
      </c>
      <c r="G12" s="117">
        <f t="shared" si="4"/>
        <v>951.391772925455</v>
      </c>
      <c r="H12" s="117">
        <f t="shared" si="4"/>
        <v>951.391772925455</v>
      </c>
    </row>
    <row r="13" ht="28.5" customHeight="1" spans="1:8">
      <c r="A13" s="115">
        <v>10</v>
      </c>
      <c r="B13" s="116" t="s">
        <v>1393</v>
      </c>
      <c r="C13" s="118"/>
      <c r="D13" s="118"/>
      <c r="E13" s="118"/>
      <c r="F13" s="118"/>
      <c r="G13" s="118"/>
      <c r="H13" s="118"/>
    </row>
    <row r="14" ht="28.5" customHeight="1" spans="1:8">
      <c r="A14" s="115">
        <v>11</v>
      </c>
      <c r="B14" s="116" t="s">
        <v>1394</v>
      </c>
      <c r="C14" s="118"/>
      <c r="D14" s="118"/>
      <c r="E14" s="118"/>
      <c r="F14" s="118"/>
      <c r="G14" s="118"/>
      <c r="H14" s="118"/>
    </row>
    <row r="15" ht="28.5" customHeight="1" spans="1:8">
      <c r="A15" s="115">
        <v>12</v>
      </c>
      <c r="B15" s="116" t="s">
        <v>1395</v>
      </c>
      <c r="C15" s="118"/>
      <c r="D15" s="118"/>
      <c r="E15" s="118"/>
      <c r="F15" s="118"/>
      <c r="G15" s="118"/>
      <c r="H15" s="118"/>
    </row>
    <row r="16" ht="28.5" customHeight="1" spans="1:8">
      <c r="A16" s="115">
        <v>13</v>
      </c>
      <c r="B16" s="116" t="s">
        <v>1396</v>
      </c>
      <c r="C16" s="118"/>
      <c r="D16" s="118"/>
      <c r="E16" s="118"/>
      <c r="F16" s="118"/>
      <c r="G16" s="118"/>
      <c r="H16" s="118"/>
    </row>
    <row r="17" ht="28.5" customHeight="1" spans="1:8">
      <c r="A17" s="115">
        <v>14</v>
      </c>
      <c r="B17" s="116" t="s">
        <v>1397</v>
      </c>
      <c r="C17" s="117">
        <f>C12+C13+C14+C15-C16</f>
        <v>198.295273938831</v>
      </c>
      <c r="D17" s="117">
        <f t="shared" ref="D17:H17" si="5">D12+D13+D14+D15-D16</f>
        <v>395.242967789743</v>
      </c>
      <c r="E17" s="117">
        <f t="shared" si="5"/>
        <v>591.209672163743</v>
      </c>
      <c r="F17" s="117">
        <f t="shared" si="5"/>
        <v>798.775069151506</v>
      </c>
      <c r="G17" s="117">
        <f t="shared" si="5"/>
        <v>951.391772925455</v>
      </c>
      <c r="H17" s="117">
        <f t="shared" si="5"/>
        <v>951.391772925455</v>
      </c>
    </row>
    <row r="18" ht="28.5" customHeight="1" spans="1:10">
      <c r="A18" s="115">
        <v>15</v>
      </c>
      <c r="B18" s="116" t="s">
        <v>1398</v>
      </c>
      <c r="C18" s="119"/>
      <c r="D18" s="119"/>
      <c r="E18" s="119"/>
      <c r="F18" s="119"/>
      <c r="G18" s="117">
        <f>(C17+D17+E17+F17+G17-2452.67)*25%</f>
        <v>120.56118899232</v>
      </c>
      <c r="H18" s="117">
        <f>H17*25%</f>
        <v>237.847943231364</v>
      </c>
      <c r="J18" s="114" t="s">
        <v>1399</v>
      </c>
    </row>
    <row r="19" ht="28.5" customHeight="1" spans="1:8">
      <c r="A19" s="115">
        <v>16</v>
      </c>
      <c r="B19" s="116" t="s">
        <v>1400</v>
      </c>
      <c r="C19" s="117">
        <f>C17-C18</f>
        <v>198.295273938831</v>
      </c>
      <c r="D19" s="117">
        <f t="shared" ref="D19:F19" si="6">D17-D18</f>
        <v>395.242967789743</v>
      </c>
      <c r="E19" s="117">
        <f t="shared" si="6"/>
        <v>591.209672163743</v>
      </c>
      <c r="F19" s="117">
        <f t="shared" si="6"/>
        <v>798.775069151506</v>
      </c>
      <c r="G19" s="117">
        <f t="shared" ref="G19:H19" si="7">G17-G18</f>
        <v>830.830583933136</v>
      </c>
      <c r="H19" s="117">
        <f t="shared" si="7"/>
        <v>713.543829694091</v>
      </c>
    </row>
    <row r="20" ht="33.75" customHeight="1" spans="1:8">
      <c r="A20" s="120"/>
      <c r="B20" s="120"/>
      <c r="C20" s="120"/>
      <c r="D20" s="120"/>
      <c r="E20" s="120"/>
      <c r="F20" s="120"/>
      <c r="G20" s="120"/>
      <c r="H20" s="120"/>
    </row>
    <row r="21" ht="21.75" customHeight="1" spans="1:8">
      <c r="A21" s="121"/>
      <c r="B21" s="121"/>
      <c r="C21" s="121"/>
      <c r="D21" s="121"/>
      <c r="E21" s="121"/>
      <c r="F21" s="121"/>
      <c r="G21" s="121"/>
      <c r="H21" s="121"/>
    </row>
    <row r="22" ht="26.25" customHeight="1" spans="1:8">
      <c r="A22" s="121"/>
      <c r="B22" s="121"/>
      <c r="C22" s="121"/>
      <c r="D22" s="121"/>
      <c r="E22" s="121"/>
      <c r="F22" s="121"/>
      <c r="G22" s="121"/>
      <c r="H22" s="121"/>
    </row>
    <row r="23" spans="2:4">
      <c r="B23" s="117">
        <v>-6711077.24</v>
      </c>
      <c r="C23" s="117">
        <v>-3158853.08</v>
      </c>
      <c r="D23" s="117">
        <v>-7245584.3</v>
      </c>
    </row>
    <row r="24" spans="2:4">
      <c r="B24" s="114">
        <v>15</v>
      </c>
      <c r="C24" s="114">
        <v>16</v>
      </c>
      <c r="D24" s="114">
        <v>17</v>
      </c>
    </row>
    <row r="25" spans="2:4">
      <c r="B25" s="114">
        <v>20</v>
      </c>
      <c r="C25" s="114">
        <v>21</v>
      </c>
      <c r="D25" s="114">
        <v>22</v>
      </c>
    </row>
  </sheetData>
  <mergeCells count="3">
    <mergeCell ref="A20:H20"/>
    <mergeCell ref="A21:H21"/>
    <mergeCell ref="A22:H22"/>
  </mergeCells>
  <pageMargins left="0.699305555555556" right="0.699305555555556" top="0.75" bottom="0.75" header="0.3" footer="0.3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B9" sqref="B9"/>
    </sheetView>
  </sheetViews>
  <sheetFormatPr defaultColWidth="9" defaultRowHeight="11.25" outlineLevelCol="7"/>
  <cols>
    <col min="1" max="7" width="14.3" style="79" customWidth="1"/>
    <col min="8" max="16384" width="9" style="79"/>
  </cols>
  <sheetData>
    <row r="1" ht="12" spans="1:7">
      <c r="A1" s="80" t="s">
        <v>1401</v>
      </c>
      <c r="B1" s="81"/>
      <c r="C1" s="81"/>
      <c r="D1" s="81"/>
      <c r="E1" s="81"/>
      <c r="F1" s="81"/>
      <c r="G1" s="81"/>
    </row>
    <row r="2" ht="12" spans="1:7">
      <c r="A2" s="82" t="s">
        <v>195</v>
      </c>
      <c r="B2" s="83" t="s">
        <v>1402</v>
      </c>
      <c r="C2" s="84" t="s">
        <v>1403</v>
      </c>
      <c r="D2" s="84" t="s">
        <v>1404</v>
      </c>
      <c r="E2" s="84" t="s">
        <v>1405</v>
      </c>
      <c r="F2" s="84" t="s">
        <v>1406</v>
      </c>
      <c r="G2" s="84" t="s">
        <v>1407</v>
      </c>
    </row>
    <row r="3" ht="12" spans="1:7">
      <c r="A3" s="90" t="s">
        <v>1408</v>
      </c>
      <c r="B3" s="87">
        <f>预测利润表!C4/财务指标分析表!$G$17</f>
        <v>189.977633755097</v>
      </c>
      <c r="C3" s="87">
        <f>预测利润表!D4/财务指标分析表!$G$17</f>
        <v>217.534473006117</v>
      </c>
      <c r="D3" s="87">
        <f>预测利润表!E4/财务指标分析表!$G$17</f>
        <v>247.259409397218</v>
      </c>
      <c r="E3" s="87">
        <f>预测利润表!F4/财务指标分析表!$G$17</f>
        <v>276.573980181801</v>
      </c>
      <c r="F3" s="87">
        <f>预测利润表!G4/财务指标分析表!$G$17</f>
        <v>299.428020074981</v>
      </c>
      <c r="G3" s="87">
        <f>预测利润表!H4/财务指标分析表!$G$17</f>
        <v>299.428020074981</v>
      </c>
    </row>
    <row r="4" ht="12" spans="1:8">
      <c r="A4" s="90" t="s">
        <v>1409</v>
      </c>
      <c r="B4" s="87">
        <f>预测利润表!C3*$H$4/财务指标分析表!$G$18</f>
        <v>183.411333333333</v>
      </c>
      <c r="C4" s="87">
        <f>预测利润表!D3*$H$4/财务指标分析表!$G$18</f>
        <v>220.0936</v>
      </c>
      <c r="D4" s="87">
        <f>预测利润表!E3*$H$4/财务指标分析表!$G$18</f>
        <v>259.710448</v>
      </c>
      <c r="E4" s="87">
        <f>预测利润表!F3*$H$4/财务指标分析表!$G$18</f>
        <v>298.6670152</v>
      </c>
      <c r="F4" s="87">
        <f>预测利润表!G3*$H$4/财务指标分析表!$G$18</f>
        <v>328.53371672</v>
      </c>
      <c r="G4" s="87">
        <f>预测利润表!H3*$H$4/财务指标分析表!$G$18</f>
        <v>328.53371672</v>
      </c>
      <c r="H4" s="109">
        <v>0.8</v>
      </c>
    </row>
    <row r="5" s="108" customFormat="1" ht="12" spans="1:8">
      <c r="A5" s="110" t="s">
        <v>1410</v>
      </c>
      <c r="B5" s="111">
        <f>预测利润表!C4*$H$5/财务指标分析表!$G$19</f>
        <v>37.9955267510195</v>
      </c>
      <c r="C5" s="111">
        <f>预测利润表!D4*$H$5/财务指标分析表!$G$19</f>
        <v>43.5068946012234</v>
      </c>
      <c r="D5" s="111">
        <f>预测利润表!E4*$H$5/财务指标分析表!$G$19</f>
        <v>49.4518818794436</v>
      </c>
      <c r="E5" s="111">
        <f>预测利润表!F4*$H$5/财务指标分析表!$G$19</f>
        <v>55.3147960363601</v>
      </c>
      <c r="F5" s="111">
        <f>预测利润表!G4*$H$5/财务指标分析表!$G$19</f>
        <v>59.8856040149961</v>
      </c>
      <c r="G5" s="111">
        <f>预测利润表!H4*$H$5/财务指标分析表!$G$19</f>
        <v>59.8856040149961</v>
      </c>
      <c r="H5" s="112">
        <v>0.2</v>
      </c>
    </row>
    <row r="6" s="78" customFormat="1" ht="12" spans="1:8">
      <c r="A6" s="92" t="s">
        <v>1411</v>
      </c>
      <c r="B6" s="87">
        <f>预测利润表!C4*$H$6/财务指标分析表!$G$22</f>
        <v>151.982107004078</v>
      </c>
      <c r="C6" s="87">
        <f>预测利润表!D4*$H$6/财务指标分析表!$G$22</f>
        <v>174.027578404894</v>
      </c>
      <c r="D6" s="87">
        <f>预测利润表!E4*$H$6/财务指标分析表!$G$22</f>
        <v>197.807527517774</v>
      </c>
      <c r="E6" s="87">
        <f>预测利润表!F4*$H$6/财务指标分析表!$G$22</f>
        <v>221.25918414544</v>
      </c>
      <c r="F6" s="87">
        <f>预测利润表!G4*$H$6/财务指标分析表!$G$22</f>
        <v>239.542416059985</v>
      </c>
      <c r="G6" s="87">
        <f>预测利润表!H4*$H$6/财务指标分析表!$G$22</f>
        <v>239.542416059985</v>
      </c>
      <c r="H6" s="113">
        <v>0.8</v>
      </c>
    </row>
    <row r="7" s="78" customFormat="1" ht="12" spans="1:8">
      <c r="A7" s="90" t="s">
        <v>1412</v>
      </c>
      <c r="B7" s="87">
        <f>预测利润表!C3*$H$7/财务指标分析表!$G$23</f>
        <v>91.7056666666667</v>
      </c>
      <c r="C7" s="87">
        <f>预测利润表!D3*$H$7/财务指标分析表!$G$23</f>
        <v>110.0468</v>
      </c>
      <c r="D7" s="87">
        <f>预测利润表!E3*$H$7/财务指标分析表!$G$23</f>
        <v>129.855224</v>
      </c>
      <c r="E7" s="87">
        <f>预测利润表!F3*$H$7/财务指标分析表!$G$23</f>
        <v>149.3335076</v>
      </c>
      <c r="F7" s="87">
        <f>预测利润表!G3*$H$7/财务指标分析表!$G$23</f>
        <v>164.26685836</v>
      </c>
      <c r="G7" s="87">
        <f>预测利润表!H3*$H$7/财务指标分析表!$G$23</f>
        <v>164.26685836</v>
      </c>
      <c r="H7" s="113">
        <v>0.2</v>
      </c>
    </row>
    <row r="8" s="78" customFormat="1" ht="12" spans="1:7">
      <c r="A8" s="94" t="str">
        <f>资产负债分析调整表!B50</f>
        <v>应付职工薪酬</v>
      </c>
      <c r="B8" s="87">
        <f>人员费用表!B24</f>
        <v>417.24</v>
      </c>
      <c r="C8" s="87">
        <f>人员费用表!C24</f>
        <v>438.102</v>
      </c>
      <c r="D8" s="87">
        <f>人员费用表!D24</f>
        <v>460.0071</v>
      </c>
      <c r="E8" s="87">
        <f>人员费用表!E24</f>
        <v>483.007455</v>
      </c>
      <c r="F8" s="87">
        <f>人员费用表!F24</f>
        <v>507.15782775</v>
      </c>
      <c r="G8" s="87">
        <f>人员费用表!G24</f>
        <v>507.15782775</v>
      </c>
    </row>
    <row r="9" s="78" customFormat="1" ht="12" spans="1:7">
      <c r="A9" s="94" t="str">
        <f>资产负债分析调整表!B52</f>
        <v>应交税费</v>
      </c>
      <c r="B9" s="87">
        <f>税金及附加预测表!D9+税金及附加预测表!D23</f>
        <v>0.825351</v>
      </c>
      <c r="C9" s="87">
        <f>税金及附加预测表!E9+税金及附加预测表!E23</f>
        <v>38.8092459439775</v>
      </c>
      <c r="D9" s="87">
        <f>税金及附加预测表!F9+税金及附加预测表!F23</f>
        <v>241.883392343316</v>
      </c>
      <c r="E9" s="87">
        <f>税金及附加预测表!G9+税金及附加预测表!G23</f>
        <v>289.204955671614</v>
      </c>
      <c r="F9" s="87">
        <f>税金及附加预测表!H9+税金及附加预测表!H23</f>
        <v>325.484820889975</v>
      </c>
      <c r="G9" s="87">
        <f>税金及附加预测表!I9+税金及附加预测表!I23</f>
        <v>325.484820889975</v>
      </c>
    </row>
  </sheetData>
  <mergeCells count="1">
    <mergeCell ref="A1:G1"/>
  </mergeCells>
  <pageMargins left="0.7" right="0.7" top="0.75" bottom="0.75" header="0.3" footer="0.3"/>
  <headerFooter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G9" sqref="G9"/>
    </sheetView>
  </sheetViews>
  <sheetFormatPr defaultColWidth="9" defaultRowHeight="11.25"/>
  <cols>
    <col min="1" max="1" width="13.6" style="79" customWidth="1"/>
    <col min="2" max="2" width="11" style="79" customWidth="1"/>
    <col min="3" max="3" width="8.9" style="79" customWidth="1"/>
    <col min="4" max="4" width="7.7" style="79" customWidth="1"/>
    <col min="5" max="5" width="8.5" style="79" customWidth="1"/>
    <col min="6" max="6" width="8.2" style="79" customWidth="1"/>
    <col min="7" max="8" width="8.5" style="79" customWidth="1"/>
    <col min="9" max="9" width="7.7" style="79" customWidth="1"/>
    <col min="10" max="10" width="6" style="79" customWidth="1"/>
    <col min="11" max="16384" width="9" style="79"/>
  </cols>
  <sheetData>
    <row r="1" ht="12" spans="1:9">
      <c r="A1" s="80" t="s">
        <v>1413</v>
      </c>
      <c r="B1" s="80"/>
      <c r="C1" s="81"/>
      <c r="D1" s="81"/>
      <c r="E1" s="81"/>
      <c r="F1" s="81"/>
      <c r="G1" s="81"/>
      <c r="H1" s="81"/>
      <c r="I1" s="81"/>
    </row>
    <row r="2" ht="12" spans="1:10">
      <c r="A2" s="82" t="s">
        <v>195</v>
      </c>
      <c r="B2" s="83" t="s">
        <v>1414</v>
      </c>
      <c r="C2" s="83" t="s">
        <v>1402</v>
      </c>
      <c r="D2" s="84" t="s">
        <v>1403</v>
      </c>
      <c r="E2" s="84" t="s">
        <v>1404</v>
      </c>
      <c r="F2" s="84" t="s">
        <v>1405</v>
      </c>
      <c r="G2" s="84" t="s">
        <v>1406</v>
      </c>
      <c r="H2" s="84" t="s">
        <v>1407</v>
      </c>
      <c r="I2" s="84"/>
      <c r="J2" s="84"/>
    </row>
    <row r="3" ht="12" spans="1:10">
      <c r="A3" s="85" t="s">
        <v>263</v>
      </c>
      <c r="B3" s="86">
        <f>利润分析调整表!D7/10000</f>
        <v>311.417571</v>
      </c>
      <c r="C3" s="87">
        <f>预测利润表!C3</f>
        <v>2751.17</v>
      </c>
      <c r="D3" s="87">
        <f>预测利润表!D3</f>
        <v>3301.404</v>
      </c>
      <c r="E3" s="87">
        <f>预测利润表!E3</f>
        <v>3895.65672</v>
      </c>
      <c r="F3" s="87">
        <f>预测利润表!F3</f>
        <v>4480.005228</v>
      </c>
      <c r="G3" s="87">
        <f>预测利润表!G3</f>
        <v>4928.0057508</v>
      </c>
      <c r="H3" s="87">
        <f>预测利润表!H3</f>
        <v>4928.0057508</v>
      </c>
      <c r="I3" s="102"/>
      <c r="J3" s="102"/>
    </row>
    <row r="4" ht="12" spans="1:10">
      <c r="A4" s="85" t="s">
        <v>264</v>
      </c>
      <c r="B4" s="86">
        <f>利润分析调整表!D11/10000</f>
        <v>457.749765</v>
      </c>
      <c r="C4" s="87">
        <f>预测利润表!C4</f>
        <v>2279.73160506117</v>
      </c>
      <c r="D4" s="87">
        <f>预测利润表!D4</f>
        <v>2610.4136760734</v>
      </c>
      <c r="E4" s="87">
        <f>预测利润表!E4</f>
        <v>2967.11291276662</v>
      </c>
      <c r="F4" s="87">
        <f>预测利润表!F4</f>
        <v>3318.88776218161</v>
      </c>
      <c r="G4" s="87">
        <f>预测利润表!G4</f>
        <v>3593.13624089977</v>
      </c>
      <c r="H4" s="87">
        <f>预测利润表!H4</f>
        <v>3593.13624089977</v>
      </c>
      <c r="I4" s="102"/>
      <c r="J4" s="102"/>
    </row>
    <row r="5" ht="12" spans="1:10">
      <c r="A5" s="85" t="s">
        <v>220</v>
      </c>
      <c r="B5" s="86">
        <f>利润分析调整表!D16/10000</f>
        <v>14.237442</v>
      </c>
      <c r="C5" s="87">
        <f>管理费用!C14</f>
        <v>223.05958</v>
      </c>
      <c r="D5" s="87">
        <f>管理费用!D14</f>
        <v>236.69509</v>
      </c>
      <c r="E5" s="87">
        <f>管理费用!E14</f>
        <v>251.2599808</v>
      </c>
      <c r="F5" s="87">
        <f>管理费用!F14</f>
        <v>265.95886342</v>
      </c>
      <c r="G5" s="87">
        <f>管理费用!G14</f>
        <v>278.909209012</v>
      </c>
      <c r="H5" s="87">
        <f>管理费用!H14</f>
        <v>278.909209012</v>
      </c>
      <c r="I5" s="102"/>
      <c r="J5" s="102"/>
    </row>
    <row r="6" ht="12" spans="1:10">
      <c r="A6" s="85" t="s">
        <v>381</v>
      </c>
      <c r="B6" s="86">
        <f>利润分析调整表!D16/10000</f>
        <v>14.237442</v>
      </c>
      <c r="C6" s="87">
        <f>预测利润表!C9</f>
        <v>49.25819</v>
      </c>
      <c r="D6" s="87">
        <f>预测利润表!D9</f>
        <v>54.009828</v>
      </c>
      <c r="E6" s="87">
        <f>预测利润表!E9</f>
        <v>59.11459704</v>
      </c>
      <c r="F6" s="87">
        <f>预测利润表!F9</f>
        <v>64.197286596</v>
      </c>
      <c r="G6" s="87">
        <f>预测利润表!G9</f>
        <v>68.3751527556</v>
      </c>
      <c r="H6" s="87">
        <f>预测利润表!H9</f>
        <v>68.3751527556</v>
      </c>
      <c r="I6" s="102"/>
      <c r="J6" s="102"/>
    </row>
    <row r="7" ht="12" spans="1:10">
      <c r="A7" s="85" t="s">
        <v>221</v>
      </c>
      <c r="B7" s="86"/>
      <c r="C7" s="87"/>
      <c r="D7" s="87"/>
      <c r="E7" s="87"/>
      <c r="F7" s="87"/>
      <c r="G7" s="87"/>
      <c r="H7" s="87"/>
      <c r="I7" s="102"/>
      <c r="J7" s="102"/>
    </row>
    <row r="8" ht="12" spans="1:10">
      <c r="A8" s="85" t="s">
        <v>1376</v>
      </c>
      <c r="B8" s="86">
        <f>利润分析调整表!D15/10000</f>
        <v>0.42286</v>
      </c>
      <c r="C8" s="87">
        <f>预测利润表!C6</f>
        <v>0.825351</v>
      </c>
      <c r="D8" s="87">
        <f>预测利润表!D6</f>
        <v>5.04243813685474</v>
      </c>
      <c r="E8" s="87">
        <f>预测利润表!E6</f>
        <v>26.959557229641</v>
      </c>
      <c r="F8" s="87">
        <f>预测利润表!F6</f>
        <v>32.1862466508872</v>
      </c>
      <c r="G8" s="87">
        <f>预测利润表!G6</f>
        <v>36.1933752071759</v>
      </c>
      <c r="H8" s="87">
        <f>预测利润表!H6</f>
        <v>36.1933752071759</v>
      </c>
      <c r="I8" s="102"/>
      <c r="J8" s="102"/>
    </row>
    <row r="9" ht="12" spans="1:10">
      <c r="A9" s="85" t="s">
        <v>1415</v>
      </c>
      <c r="B9" s="86">
        <v>0</v>
      </c>
      <c r="C9" s="87">
        <f>预测利润表!C18</f>
        <v>0</v>
      </c>
      <c r="D9" s="87">
        <f>预测利润表!D18</f>
        <v>0</v>
      </c>
      <c r="E9" s="87">
        <f>预测利润表!E18</f>
        <v>0</v>
      </c>
      <c r="F9" s="87">
        <f>预测利润表!F18</f>
        <v>0</v>
      </c>
      <c r="G9" s="87">
        <f>预测利润表!G18</f>
        <v>120.56118899232</v>
      </c>
      <c r="H9" s="87">
        <f>预测利润表!H18</f>
        <v>237.847943231364</v>
      </c>
      <c r="I9" s="102"/>
      <c r="J9" s="102"/>
    </row>
    <row r="10" ht="12" spans="1:10">
      <c r="A10" s="88" t="s">
        <v>1416</v>
      </c>
      <c r="B10" s="89">
        <f t="shared" ref="B10:H10" si="0">SUM(B11:B11)</f>
        <v>184.623796</v>
      </c>
      <c r="C10" s="89">
        <f t="shared" si="0"/>
        <v>211.89328</v>
      </c>
      <c r="D10" s="89">
        <f t="shared" si="0"/>
        <v>211.89328</v>
      </c>
      <c r="E10" s="89">
        <f t="shared" si="0"/>
        <v>211.89328</v>
      </c>
      <c r="F10" s="89">
        <f t="shared" si="0"/>
        <v>211.89328</v>
      </c>
      <c r="G10" s="89">
        <f t="shared" si="0"/>
        <v>211.89328</v>
      </c>
      <c r="H10" s="89">
        <f t="shared" si="0"/>
        <v>211.89328</v>
      </c>
      <c r="I10" s="103"/>
      <c r="J10" s="103"/>
    </row>
    <row r="11" ht="12" spans="1:10">
      <c r="A11" s="85" t="s">
        <v>1416</v>
      </c>
      <c r="B11" s="86">
        <f>(资产负债分析调整表!E28-资产负债分析调整表!D28)/10000</f>
        <v>184.623796</v>
      </c>
      <c r="C11" s="87">
        <f>折旧和资本化支出!D59</f>
        <v>211.89328</v>
      </c>
      <c r="D11" s="87">
        <f>折旧和资本化支出!E59</f>
        <v>211.89328</v>
      </c>
      <c r="E11" s="87">
        <f>折旧和资本化支出!F59</f>
        <v>211.89328</v>
      </c>
      <c r="F11" s="87">
        <f>折旧和资本化支出!G59</f>
        <v>211.89328</v>
      </c>
      <c r="G11" s="87">
        <f>折旧和资本化支出!H59</f>
        <v>211.89328</v>
      </c>
      <c r="H11" s="87">
        <f>折旧和资本化支出!I59</f>
        <v>211.89328</v>
      </c>
      <c r="I11" s="102"/>
      <c r="J11" s="102"/>
    </row>
    <row r="12" ht="12" spans="1:10">
      <c r="A12" s="85" t="s">
        <v>1417</v>
      </c>
      <c r="B12" s="87">
        <f>B4+B5+B6+B7+B8+B9-B10</f>
        <v>302.023713</v>
      </c>
      <c r="C12" s="87">
        <f>C4+C5+C6+C7+C8+C9-C10</f>
        <v>2340.98144606117</v>
      </c>
      <c r="D12" s="87">
        <f t="shared" ref="D12:H12" si="1">D4+D5+D6+D7+D8+D9-D10</f>
        <v>2694.26775221026</v>
      </c>
      <c r="E12" s="87">
        <f t="shared" si="1"/>
        <v>3092.55376783626</v>
      </c>
      <c r="F12" s="87">
        <f t="shared" si="1"/>
        <v>3469.33687884849</v>
      </c>
      <c r="G12" s="87">
        <f t="shared" si="1"/>
        <v>3885.28188686686</v>
      </c>
      <c r="H12" s="87">
        <f t="shared" si="1"/>
        <v>4002.56864110591</v>
      </c>
      <c r="I12" s="102"/>
      <c r="J12" s="102"/>
    </row>
    <row r="13" ht="12" spans="1:10">
      <c r="A13" s="85" t="s">
        <v>1418</v>
      </c>
      <c r="B13" s="87">
        <f>B12/12*3</f>
        <v>75.50592825</v>
      </c>
      <c r="C13" s="87">
        <f>C12/12*3</f>
        <v>585.245361515292</v>
      </c>
      <c r="D13" s="87">
        <f t="shared" ref="D13:H13" si="2">D12/12*3</f>
        <v>673.566938052564</v>
      </c>
      <c r="E13" s="87">
        <f t="shared" si="2"/>
        <v>773.138441959064</v>
      </c>
      <c r="F13" s="87">
        <f t="shared" si="2"/>
        <v>867.334219712124</v>
      </c>
      <c r="G13" s="87">
        <f t="shared" si="2"/>
        <v>971.320471716716</v>
      </c>
      <c r="H13" s="87">
        <f t="shared" si="2"/>
        <v>1000.64216027648</v>
      </c>
      <c r="I13" s="102"/>
      <c r="J13" s="102"/>
    </row>
    <row r="14" ht="12" spans="1:10">
      <c r="A14" s="90" t="s">
        <v>1408</v>
      </c>
      <c r="B14" s="91">
        <f>资产负债分析调整表!E16/10000</f>
        <v>530.390156</v>
      </c>
      <c r="C14" s="87">
        <f>'预测 主要资产负债项目'!B3</f>
        <v>189.977633755097</v>
      </c>
      <c r="D14" s="87">
        <f>'预测 主要资产负债项目'!C3</f>
        <v>217.534473006117</v>
      </c>
      <c r="E14" s="87">
        <f>'预测 主要资产负债项目'!D3</f>
        <v>247.259409397218</v>
      </c>
      <c r="F14" s="87">
        <f>'预测 主要资产负债项目'!E3</f>
        <v>276.573980181801</v>
      </c>
      <c r="G14" s="87">
        <f>'预测 主要资产负债项目'!F3</f>
        <v>299.428020074981</v>
      </c>
      <c r="H14" s="87">
        <f>'预测 主要资产负债项目'!G3</f>
        <v>299.428020074981</v>
      </c>
      <c r="I14" s="102"/>
      <c r="J14" s="102"/>
    </row>
    <row r="15" ht="12" spans="1:10">
      <c r="A15" s="90" t="s">
        <v>1409</v>
      </c>
      <c r="B15" s="91">
        <f>资产负债分析调整表!E12/10000</f>
        <v>325.983179</v>
      </c>
      <c r="C15" s="87">
        <f>'预测 主要资产负债项目'!B4</f>
        <v>183.411333333333</v>
      </c>
      <c r="D15" s="87">
        <f>'预测 主要资产负债项目'!C4</f>
        <v>220.0936</v>
      </c>
      <c r="E15" s="87">
        <f>'预测 主要资产负债项目'!D4</f>
        <v>259.710448</v>
      </c>
      <c r="F15" s="87">
        <f>'预测 主要资产负债项目'!E4</f>
        <v>298.6670152</v>
      </c>
      <c r="G15" s="87">
        <f>'预测 主要资产负债项目'!F4</f>
        <v>328.53371672</v>
      </c>
      <c r="H15" s="87">
        <f>'预测 主要资产负债项目'!G4</f>
        <v>328.53371672</v>
      </c>
      <c r="I15" s="102"/>
      <c r="J15" s="102"/>
    </row>
    <row r="16" ht="12" spans="1:10">
      <c r="A16" s="92" t="s">
        <v>1410</v>
      </c>
      <c r="B16" s="93">
        <f>资产负债分析调整表!E14/10000</f>
        <v>228.144341</v>
      </c>
      <c r="C16" s="87">
        <f>'预测 主要资产负债项目'!B5</f>
        <v>37.9955267510195</v>
      </c>
      <c r="D16" s="87">
        <f>'预测 主要资产负债项目'!C5</f>
        <v>43.5068946012234</v>
      </c>
      <c r="E16" s="87">
        <f>'预测 主要资产负债项目'!D5</f>
        <v>49.4518818794436</v>
      </c>
      <c r="F16" s="87">
        <f>'预测 主要资产负债项目'!E5</f>
        <v>55.3147960363601</v>
      </c>
      <c r="G16" s="87">
        <f>'预测 主要资产负债项目'!F5</f>
        <v>59.8856040149961</v>
      </c>
      <c r="H16" s="87">
        <f>'预测 主要资产负债项目'!G5</f>
        <v>59.8856040149961</v>
      </c>
      <c r="I16" s="102"/>
      <c r="J16" s="102"/>
    </row>
    <row r="17" s="78" customFormat="1" ht="12" spans="1:10">
      <c r="A17" s="92" t="s">
        <v>1411</v>
      </c>
      <c r="B17" s="93">
        <f>资产负债分析调整表!E48/10000</f>
        <v>201.439948</v>
      </c>
      <c r="C17" s="87">
        <f>'预测 主要资产负债项目'!B6</f>
        <v>151.982107004078</v>
      </c>
      <c r="D17" s="87">
        <f>'预测 主要资产负债项目'!C6</f>
        <v>174.027578404894</v>
      </c>
      <c r="E17" s="87">
        <f>'预测 主要资产负债项目'!D6</f>
        <v>197.807527517774</v>
      </c>
      <c r="F17" s="87">
        <f>'预测 主要资产负债项目'!E6</f>
        <v>221.25918414544</v>
      </c>
      <c r="G17" s="87">
        <f>'预测 主要资产负债项目'!F6</f>
        <v>239.542416059985</v>
      </c>
      <c r="H17" s="87">
        <f>'预测 主要资产负债项目'!G6</f>
        <v>239.542416059985</v>
      </c>
      <c r="I17" s="104"/>
      <c r="J17" s="104"/>
    </row>
    <row r="18" s="78" customFormat="1" ht="12" spans="1:10">
      <c r="A18" s="90" t="s">
        <v>1412</v>
      </c>
      <c r="B18" s="91">
        <f>资产负债分析调整表!E49/10000</f>
        <v>24.04556</v>
      </c>
      <c r="C18" s="87">
        <f>'预测 主要资产负债项目'!B7</f>
        <v>91.7056666666667</v>
      </c>
      <c r="D18" s="87">
        <f>'预测 主要资产负债项目'!C7</f>
        <v>110.0468</v>
      </c>
      <c r="E18" s="87">
        <f>'预测 主要资产负债项目'!D7</f>
        <v>129.855224</v>
      </c>
      <c r="F18" s="87">
        <f>'预测 主要资产负债项目'!E7</f>
        <v>149.3335076</v>
      </c>
      <c r="G18" s="87">
        <f>'预测 主要资产负债项目'!F7</f>
        <v>164.26685836</v>
      </c>
      <c r="H18" s="87">
        <f>'预测 主要资产负债项目'!G7</f>
        <v>164.26685836</v>
      </c>
      <c r="I18" s="104"/>
      <c r="J18" s="104"/>
    </row>
    <row r="19" s="78" customFormat="1" ht="12" spans="1:10">
      <c r="A19" s="94" t="str">
        <f>资产负债分析调整表!B50</f>
        <v>应付职工薪酬</v>
      </c>
      <c r="B19" s="91">
        <v>464</v>
      </c>
      <c r="C19" s="87">
        <f>'预测 主要资产负债项目'!B8</f>
        <v>417.24</v>
      </c>
      <c r="D19" s="87">
        <f>'预测 主要资产负债项目'!C8</f>
        <v>438.102</v>
      </c>
      <c r="E19" s="87">
        <f>'预测 主要资产负债项目'!D8</f>
        <v>460.0071</v>
      </c>
      <c r="F19" s="87">
        <f>'预测 主要资产负债项目'!E8</f>
        <v>483.007455</v>
      </c>
      <c r="G19" s="87">
        <f>'预测 主要资产负债项目'!F8</f>
        <v>507.15782775</v>
      </c>
      <c r="H19" s="87">
        <f>'预测 主要资产负债项目'!G8</f>
        <v>507.15782775</v>
      </c>
      <c r="I19" s="104"/>
      <c r="J19" s="104"/>
    </row>
    <row r="20" s="78" customFormat="1" ht="12" spans="1:10">
      <c r="A20" s="94" t="str">
        <f>资产负债分析调整表!B52</f>
        <v>应交税费</v>
      </c>
      <c r="B20" s="95">
        <f>资产负债分析调整表!G52/10000</f>
        <v>-270.826812</v>
      </c>
      <c r="C20" s="87">
        <f>'预测 主要资产负债项目'!B9</f>
        <v>0.825351</v>
      </c>
      <c r="D20" s="87">
        <f>'预测 主要资产负债项目'!C9</f>
        <v>38.8092459439775</v>
      </c>
      <c r="E20" s="87">
        <f>'预测 主要资产负债项目'!D9</f>
        <v>241.883392343316</v>
      </c>
      <c r="F20" s="87">
        <f>'预测 主要资产负债项目'!E9</f>
        <v>289.204955671614</v>
      </c>
      <c r="G20" s="87">
        <f>'预测 主要资产负债项目'!F9</f>
        <v>325.484820889975</v>
      </c>
      <c r="H20" s="87">
        <f>'预测 主要资产负债项目'!G9</f>
        <v>325.484820889975</v>
      </c>
      <c r="I20" s="104"/>
      <c r="J20" s="104"/>
    </row>
    <row r="21" ht="12" spans="1:10">
      <c r="A21" s="90" t="s">
        <v>1419</v>
      </c>
      <c r="B21" s="87">
        <f>B13+B14+B15+B16-B17-B18-B19-B20</f>
        <v>741.36490825</v>
      </c>
      <c r="C21" s="87">
        <f>C13+C14+C15+C16-C17-C18-C19-C20</f>
        <v>334.876730683998</v>
      </c>
      <c r="D21" s="87">
        <f t="shared" ref="D21:H21" si="3">D13+D14+D15+D16-D17-D18-D19-D20</f>
        <v>393.716281311034</v>
      </c>
      <c r="E21" s="87">
        <f t="shared" si="3"/>
        <v>300.006937374635</v>
      </c>
      <c r="F21" s="87">
        <f t="shared" si="3"/>
        <v>355.08490871323</v>
      </c>
      <c r="G21" s="87">
        <f t="shared" si="3"/>
        <v>422.715889466733</v>
      </c>
      <c r="H21" s="87">
        <f t="shared" si="3"/>
        <v>452.037578026494</v>
      </c>
      <c r="I21" s="105"/>
      <c r="J21" s="105"/>
    </row>
    <row r="22" ht="12" hidden="1" spans="1:10">
      <c r="A22" s="96" t="s">
        <v>1420</v>
      </c>
      <c r="B22" s="97"/>
      <c r="C22" s="98">
        <f>71698.02-(31010.28-13939.17)</f>
        <v>54626.91</v>
      </c>
      <c r="D22" s="98" t="e">
        <f>#REF!</f>
        <v>#REF!</v>
      </c>
      <c r="E22" s="98">
        <f t="shared" ref="E22:H22" si="4">D21</f>
        <v>393.716281311034</v>
      </c>
      <c r="F22" s="98">
        <f t="shared" si="4"/>
        <v>300.006937374635</v>
      </c>
      <c r="G22" s="98">
        <f t="shared" si="4"/>
        <v>355.08490871323</v>
      </c>
      <c r="H22" s="98">
        <f t="shared" si="4"/>
        <v>422.715889466733</v>
      </c>
      <c r="I22" s="106"/>
      <c r="J22" s="106"/>
    </row>
    <row r="23" ht="12.75" spans="1:10">
      <c r="A23" s="99" t="s">
        <v>1421</v>
      </c>
      <c r="B23" s="100"/>
      <c r="C23" s="101">
        <f>C21-B21</f>
        <v>-406.488177566002</v>
      </c>
      <c r="D23" s="101">
        <f>D21-C21</f>
        <v>58.839550627036</v>
      </c>
      <c r="E23" s="101">
        <f>E21-D21</f>
        <v>-93.7093439363989</v>
      </c>
      <c r="F23" s="101">
        <f>F21-E21</f>
        <v>55.0779713385951</v>
      </c>
      <c r="G23" s="101">
        <f t="shared" ref="G23:H23" si="5">G21-F21</f>
        <v>67.6309807535027</v>
      </c>
      <c r="H23" s="101">
        <f t="shared" si="5"/>
        <v>29.321688559761</v>
      </c>
      <c r="I23" s="107"/>
      <c r="J23" s="107"/>
    </row>
  </sheetData>
  <mergeCells count="1">
    <mergeCell ref="A1:I1"/>
  </mergeCells>
  <pageMargins left="0.699305555555556" right="0.699305555555556" top="0.75" bottom="0.75" header="0.3" footer="0.3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0"/>
  <sheetViews>
    <sheetView workbookViewId="0">
      <selection activeCell="C7" sqref="C7"/>
    </sheetView>
  </sheetViews>
  <sheetFormatPr defaultColWidth="9" defaultRowHeight="13.5" outlineLevelCol="7"/>
  <cols>
    <col min="1" max="1" width="16.8" style="59" customWidth="1"/>
    <col min="2" max="2" width="22.1" style="60" customWidth="1"/>
    <col min="3" max="3" width="19.2" style="60" customWidth="1"/>
    <col min="4" max="4" width="18.4" style="61" customWidth="1"/>
    <col min="5" max="7" width="9" style="60"/>
    <col min="8" max="8" width="11.5" style="60"/>
    <col min="9" max="16384" width="9" style="60"/>
  </cols>
  <sheetData>
    <row r="2" ht="20.1" customHeight="1" spans="1:4">
      <c r="A2" s="62"/>
      <c r="B2" s="63" t="s">
        <v>195</v>
      </c>
      <c r="C2" s="63" t="s">
        <v>31</v>
      </c>
      <c r="D2" s="64" t="s">
        <v>1422</v>
      </c>
    </row>
    <row r="3" spans="1:4">
      <c r="A3" s="65" t="s">
        <v>1423</v>
      </c>
      <c r="B3" s="66" t="s">
        <v>1424</v>
      </c>
      <c r="C3" s="67">
        <f>D3</f>
        <v>6051.167</v>
      </c>
      <c r="D3" s="67">
        <f>资产负债分析调整表!$F$13/10000</f>
        <v>6051.167</v>
      </c>
    </row>
    <row r="4" spans="1:8">
      <c r="A4" s="68" t="s">
        <v>1425</v>
      </c>
      <c r="B4" s="69"/>
      <c r="C4" s="67">
        <f>资产负债分析调整表!$F$23/10000</f>
        <v>1500</v>
      </c>
      <c r="D4" s="67">
        <f>14833859.84/10000</f>
        <v>1483.385984</v>
      </c>
      <c r="H4" s="61"/>
    </row>
    <row r="5" spans="1:8">
      <c r="A5" s="70" t="s">
        <v>1426</v>
      </c>
      <c r="B5" s="71"/>
      <c r="C5" s="72">
        <f>SUM(C3:C4)</f>
        <v>7551.167</v>
      </c>
      <c r="D5" s="72">
        <f>SUM(D3:D4)</f>
        <v>7534.552984</v>
      </c>
      <c r="H5" s="61"/>
    </row>
    <row r="6" spans="1:8">
      <c r="A6" s="68"/>
      <c r="B6" s="69"/>
      <c r="C6" s="67"/>
      <c r="D6" s="67"/>
      <c r="H6" s="61"/>
    </row>
    <row r="7" spans="1:8">
      <c r="A7" s="68" t="s">
        <v>83</v>
      </c>
      <c r="B7" s="69"/>
      <c r="C7" s="67">
        <f>资产负债分析调整表!$F$54/10000</f>
        <v>1152.5</v>
      </c>
      <c r="D7" s="67">
        <f>C7</f>
        <v>1152.5</v>
      </c>
      <c r="H7" s="61"/>
    </row>
    <row r="8" spans="1:8">
      <c r="A8" s="68" t="s">
        <v>1427</v>
      </c>
      <c r="B8" s="69"/>
      <c r="C8" s="67">
        <f>资产负债分析调整表!F52/10000</f>
        <v>0</v>
      </c>
      <c r="D8" s="67">
        <f>C8</f>
        <v>0</v>
      </c>
      <c r="H8" s="61"/>
    </row>
    <row r="9" spans="1:8">
      <c r="A9" s="73" t="s">
        <v>1428</v>
      </c>
      <c r="B9" s="74"/>
      <c r="C9" s="72">
        <f>SUM(C7:C8)</f>
        <v>1152.5</v>
      </c>
      <c r="D9" s="72">
        <f>SUM(D7:D8)</f>
        <v>1152.5</v>
      </c>
      <c r="H9" s="61"/>
    </row>
    <row r="10" spans="1:8">
      <c r="A10" s="75"/>
      <c r="B10" s="76"/>
      <c r="C10" s="76"/>
      <c r="D10" s="77"/>
      <c r="H10" s="61"/>
    </row>
  </sheetData>
  <pageMargins left="0.75" right="0.75" top="1" bottom="1" header="0.511805555555556" footer="0.511805555555556"/>
  <pageSetup paperSize="9" orientation="portrait" horizontalDpi="200" verticalDpi="300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E6"/>
  <sheetViews>
    <sheetView workbookViewId="0">
      <selection activeCell="H18" sqref="H18"/>
    </sheetView>
  </sheetViews>
  <sheetFormatPr defaultColWidth="9" defaultRowHeight="14.25" outlineLevelRow="5" outlineLevelCol="4"/>
  <cols>
    <col min="4" max="4" width="19" customWidth="1"/>
    <col min="5" max="5" width="17.2" customWidth="1"/>
  </cols>
  <sheetData>
    <row r="3" spans="4:5">
      <c r="D3" s="55" t="s">
        <v>1429</v>
      </c>
      <c r="E3" s="56">
        <f>资产负债分析调整表!$E$7/10000</f>
        <v>6.408064</v>
      </c>
    </row>
    <row r="4" spans="4:5">
      <c r="D4" s="55" t="s">
        <v>1430</v>
      </c>
      <c r="E4" s="57">
        <f>营运资金!B13</f>
        <v>75.50592825</v>
      </c>
    </row>
    <row r="5" spans="4:5">
      <c r="D5" s="55" t="s">
        <v>1431</v>
      </c>
      <c r="E5" s="56">
        <f>E3-E4</f>
        <v>-69.09786425</v>
      </c>
    </row>
    <row r="6" spans="4:5">
      <c r="D6" s="55" t="s">
        <v>1432</v>
      </c>
      <c r="E6" s="58">
        <v>0</v>
      </c>
    </row>
  </sheetData>
  <pageMargins left="0.699305555555556" right="0.699305555555556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27"/>
  <sheetViews>
    <sheetView tabSelected="1" workbookViewId="0">
      <selection activeCell="A2" sqref="A2:J21"/>
    </sheetView>
  </sheetViews>
  <sheetFormatPr defaultColWidth="9" defaultRowHeight="14.25"/>
  <cols>
    <col min="1" max="1" width="19.7" style="13" customWidth="1"/>
    <col min="2" max="2" width="11.6" style="13" hidden="1" customWidth="1"/>
    <col min="3" max="3" width="14.1" style="13" hidden="1" customWidth="1"/>
    <col min="4" max="4" width="10.9" style="13" customWidth="1"/>
    <col min="5" max="5" width="10" style="13" customWidth="1"/>
    <col min="6" max="7" width="9.1" style="13" customWidth="1"/>
    <col min="8" max="8" width="8.6" style="13" customWidth="1"/>
    <col min="9" max="9" width="8.9" style="13" customWidth="1"/>
    <col min="10" max="10" width="8.1" style="13" hidden="1" customWidth="1"/>
    <col min="11" max="11" width="6.4" style="14" customWidth="1"/>
    <col min="12" max="14" width="8.4" style="13" customWidth="1"/>
    <col min="15" max="15" width="11.5" style="13" customWidth="1"/>
    <col min="16" max="16" width="10.1" style="13" customWidth="1"/>
    <col min="17" max="17" width="8.5" style="13" customWidth="1"/>
    <col min="18" max="18" width="9.1" style="13" customWidth="1"/>
    <col min="19" max="19" width="10.5" style="13" customWidth="1"/>
    <col min="20" max="16384" width="9" style="13"/>
  </cols>
  <sheetData>
    <row r="2" s="8" customFormat="1" ht="12.75" spans="1:19">
      <c r="A2" s="15" t="s">
        <v>1274</v>
      </c>
      <c r="B2" s="16" t="s">
        <v>1433</v>
      </c>
      <c r="C2" s="16" t="s">
        <v>1434</v>
      </c>
      <c r="D2" s="16" t="s">
        <v>1435</v>
      </c>
      <c r="E2" s="16" t="s">
        <v>1436</v>
      </c>
      <c r="F2" s="16" t="s">
        <v>1437</v>
      </c>
      <c r="G2" s="16" t="s">
        <v>1438</v>
      </c>
      <c r="H2" s="16" t="s">
        <v>1439</v>
      </c>
      <c r="I2" s="16" t="s">
        <v>1440</v>
      </c>
      <c r="J2" s="16" t="s">
        <v>1441</v>
      </c>
      <c r="K2" s="38"/>
      <c r="L2" s="38"/>
      <c r="M2" s="38"/>
      <c r="N2" s="39"/>
      <c r="O2" s="39"/>
      <c r="P2" s="39"/>
      <c r="Q2" s="39"/>
      <c r="R2" s="39"/>
      <c r="S2" s="39"/>
    </row>
    <row r="3" s="9" customFormat="1" ht="16.5" customHeight="1" spans="1:19">
      <c r="A3" s="17" t="s">
        <v>1383</v>
      </c>
      <c r="B3" s="18" t="e">
        <f>#REF!</f>
        <v>#REF!</v>
      </c>
      <c r="C3" s="19" t="e">
        <f>#REF!</f>
        <v>#REF!</v>
      </c>
      <c r="D3" s="20">
        <f>预测利润表!C19</f>
        <v>198.295273938831</v>
      </c>
      <c r="E3" s="20">
        <f>预测利润表!D19</f>
        <v>395.242967789743</v>
      </c>
      <c r="F3" s="20">
        <f>预测利润表!E19</f>
        <v>591.209672163743</v>
      </c>
      <c r="G3" s="20">
        <f>预测利润表!F19</f>
        <v>798.775069151506</v>
      </c>
      <c r="H3" s="20">
        <f>预测利润表!G19</f>
        <v>830.830583933136</v>
      </c>
      <c r="I3" s="20">
        <f>预测利润表!H19</f>
        <v>713.543829694091</v>
      </c>
      <c r="J3" s="20">
        <f>预测利润表!I19</f>
        <v>0</v>
      </c>
      <c r="K3" s="40"/>
      <c r="L3" s="41"/>
      <c r="M3" s="41"/>
      <c r="N3" s="41"/>
      <c r="O3" s="41"/>
      <c r="P3" s="41"/>
      <c r="Q3" s="41"/>
      <c r="R3" s="41"/>
      <c r="S3" s="41"/>
    </row>
    <row r="4" s="10" customFormat="1" ht="18.75" hidden="1" customHeight="1" spans="1:11">
      <c r="A4" s="21" t="s">
        <v>1442</v>
      </c>
      <c r="B4" s="19"/>
      <c r="C4" s="22" t="s">
        <v>109</v>
      </c>
      <c r="D4" s="23"/>
      <c r="E4" s="23"/>
      <c r="F4" s="23"/>
      <c r="G4" s="23"/>
      <c r="H4" s="23"/>
      <c r="I4" s="23"/>
      <c r="J4" s="23"/>
      <c r="K4" s="42"/>
    </row>
    <row r="5" s="10" customFormat="1" ht="18.75" customHeight="1" spans="1:19">
      <c r="A5" s="24" t="s">
        <v>1443</v>
      </c>
      <c r="B5" s="19">
        <f>折旧和资本化支出!D54+折旧和资本化支出!D44</f>
        <v>211.89328</v>
      </c>
      <c r="C5" s="19">
        <f>折旧和资本化支出!E54+折旧和资本化支出!E44</f>
        <v>211.89328</v>
      </c>
      <c r="D5" s="20">
        <f>折旧和资本化支出!D59</f>
        <v>211.89328</v>
      </c>
      <c r="E5" s="20">
        <f>折旧和资本化支出!E59</f>
        <v>211.89328</v>
      </c>
      <c r="F5" s="20">
        <f>折旧和资本化支出!F59</f>
        <v>211.89328</v>
      </c>
      <c r="G5" s="20">
        <f>折旧和资本化支出!G59</f>
        <v>211.89328</v>
      </c>
      <c r="H5" s="20">
        <f>折旧和资本化支出!H59</f>
        <v>211.89328</v>
      </c>
      <c r="I5" s="20">
        <f>折旧和资本化支出!I59</f>
        <v>211.89328</v>
      </c>
      <c r="J5" s="20">
        <f>折旧和资本化支出!J59</f>
        <v>0</v>
      </c>
      <c r="K5" s="43"/>
      <c r="L5" s="43"/>
      <c r="M5" s="43"/>
      <c r="N5" s="43"/>
      <c r="O5" s="43"/>
      <c r="P5" s="43"/>
      <c r="Q5" s="43"/>
      <c r="R5" s="43"/>
      <c r="S5" s="43"/>
    </row>
    <row r="6" s="10" customFormat="1" ht="18.75" customHeight="1" spans="1:19">
      <c r="A6" s="24" t="s">
        <v>1444</v>
      </c>
      <c r="B6" s="19" t="e">
        <f>折旧和资本化支出!#REF!</f>
        <v>#REF!</v>
      </c>
      <c r="C6" s="19">
        <f>折旧和资本化支出!E60</f>
        <v>211.89328</v>
      </c>
      <c r="D6" s="20">
        <f>折旧和资本化支出!D60</f>
        <v>211.89328</v>
      </c>
      <c r="E6" s="20">
        <f>折旧和资本化支出!E60</f>
        <v>211.89328</v>
      </c>
      <c r="F6" s="20">
        <f>折旧和资本化支出!F60</f>
        <v>211.89328</v>
      </c>
      <c r="G6" s="20">
        <f>折旧和资本化支出!G60</f>
        <v>211.89328</v>
      </c>
      <c r="H6" s="20">
        <f>折旧和资本化支出!H60</f>
        <v>211.89328</v>
      </c>
      <c r="I6" s="20">
        <f>折旧和资本化支出!I60</f>
        <v>211.89328</v>
      </c>
      <c r="J6" s="20">
        <f>折旧和资本化支出!J60</f>
        <v>0</v>
      </c>
      <c r="K6" s="43"/>
      <c r="L6" s="43"/>
      <c r="M6" s="43"/>
      <c r="N6" s="43"/>
      <c r="O6" s="43"/>
      <c r="P6" s="43"/>
      <c r="Q6" s="43"/>
      <c r="R6" s="43"/>
      <c r="S6" s="43"/>
    </row>
    <row r="7" s="10" customFormat="1" ht="18.75" customHeight="1" spans="1:19">
      <c r="A7" s="24" t="s">
        <v>1445</v>
      </c>
      <c r="B7" s="19" t="e">
        <f>营运资金测算!C43</f>
        <v>#REF!</v>
      </c>
      <c r="C7" s="19">
        <f>营运资金!C23</f>
        <v>-406.488177566002</v>
      </c>
      <c r="D7" s="20">
        <f>营运资金!C23</f>
        <v>-406.488177566002</v>
      </c>
      <c r="E7" s="20">
        <f>营运资金!D23</f>
        <v>58.839550627036</v>
      </c>
      <c r="F7" s="20">
        <f>营运资金!E23</f>
        <v>-93.7093439363989</v>
      </c>
      <c r="G7" s="20">
        <f>营运资金!F23</f>
        <v>55.0779713385951</v>
      </c>
      <c r="H7" s="20">
        <f>营运资金!G23</f>
        <v>67.6309807535027</v>
      </c>
      <c r="I7" s="20">
        <f>营运资金!H23</f>
        <v>29.321688559761</v>
      </c>
      <c r="J7" s="20">
        <f>营运资金!I23</f>
        <v>0</v>
      </c>
      <c r="K7" s="43"/>
      <c r="L7" s="43"/>
      <c r="M7" s="43"/>
      <c r="N7" s="43"/>
      <c r="O7" s="43"/>
      <c r="P7" s="43"/>
      <c r="Q7" s="43"/>
      <c r="R7" s="43"/>
      <c r="S7" s="43"/>
    </row>
    <row r="8" s="11" customFormat="1" ht="13.5" spans="1:19">
      <c r="A8" s="25" t="s">
        <v>1446</v>
      </c>
      <c r="B8" s="26" t="e">
        <f t="shared" ref="B8:D8" si="0">B3+B5-B6-B7</f>
        <v>#REF!</v>
      </c>
      <c r="C8" s="26" t="e">
        <f t="shared" si="0"/>
        <v>#REF!</v>
      </c>
      <c r="D8" s="23">
        <f t="shared" si="0"/>
        <v>604.783451504833</v>
      </c>
      <c r="E8" s="23">
        <f t="shared" ref="E8:J8" si="1">E3+E5-E6-E7</f>
        <v>336.403417162707</v>
      </c>
      <c r="F8" s="23">
        <f t="shared" si="1"/>
        <v>684.919016100142</v>
      </c>
      <c r="G8" s="23">
        <f t="shared" si="1"/>
        <v>743.697097812911</v>
      </c>
      <c r="H8" s="23">
        <f t="shared" si="1"/>
        <v>763.199603179633</v>
      </c>
      <c r="I8" s="23">
        <f t="shared" si="1"/>
        <v>684.22214113433</v>
      </c>
      <c r="J8" s="23">
        <f t="shared" si="1"/>
        <v>0</v>
      </c>
      <c r="K8" s="44"/>
      <c r="L8" s="37"/>
      <c r="M8" s="37"/>
      <c r="N8" s="37"/>
      <c r="O8" s="37"/>
      <c r="P8" s="37"/>
      <c r="Q8" s="37"/>
      <c r="R8" s="37"/>
      <c r="S8" s="37"/>
    </row>
    <row r="9" s="12" customFormat="1" ht="13.5" spans="1:19">
      <c r="A9" s="27" t="s">
        <v>1447</v>
      </c>
      <c r="B9" s="26">
        <f>ROUND(财务费用!C17*(1-评估值测算!$L$9),2)</f>
        <v>0</v>
      </c>
      <c r="C9" s="26">
        <f>ROUND(财务费用预测表!G9*(1-评估值测算!$L$9),2)</f>
        <v>3204.46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 t="e">
        <f>ROUND((#REF!+#REF!)*(1-评估值测算!$K$9),2)</f>
        <v>#REF!</v>
      </c>
      <c r="K9" s="42">
        <v>0.25</v>
      </c>
      <c r="L9" s="36"/>
      <c r="M9" s="36"/>
      <c r="N9" s="36"/>
      <c r="O9" s="36"/>
      <c r="P9" s="36"/>
      <c r="Q9" s="36"/>
      <c r="R9" s="36"/>
      <c r="S9" s="36"/>
    </row>
    <row r="10" s="12" customFormat="1" ht="13.5" spans="1:19">
      <c r="A10" s="28" t="s">
        <v>1448</v>
      </c>
      <c r="B10" s="26" t="e">
        <f t="shared" ref="B10:C10" si="2">B8+B9</f>
        <v>#REF!</v>
      </c>
      <c r="C10" s="26" t="e">
        <f t="shared" si="2"/>
        <v>#REF!</v>
      </c>
      <c r="D10" s="23">
        <f t="shared" ref="D10:J10" si="3">D8+D9</f>
        <v>604.783451504833</v>
      </c>
      <c r="E10" s="29">
        <f t="shared" si="3"/>
        <v>336.403417162707</v>
      </c>
      <c r="F10" s="29">
        <f t="shared" si="3"/>
        <v>684.919016100142</v>
      </c>
      <c r="G10" s="29">
        <f t="shared" si="3"/>
        <v>743.697097812911</v>
      </c>
      <c r="H10" s="29">
        <f t="shared" si="3"/>
        <v>763.199603179633</v>
      </c>
      <c r="I10" s="29">
        <f t="shared" si="3"/>
        <v>684.22214113433</v>
      </c>
      <c r="J10" s="23" t="e">
        <f t="shared" si="3"/>
        <v>#REF!</v>
      </c>
      <c r="K10" s="44"/>
      <c r="L10" s="37"/>
      <c r="M10" s="37"/>
      <c r="N10" s="37"/>
      <c r="O10" s="37"/>
      <c r="P10" s="37"/>
      <c r="Q10" s="37"/>
      <c r="R10" s="37"/>
      <c r="S10" s="37"/>
    </row>
    <row r="11" s="12" customFormat="1" ht="13.5" spans="1:20">
      <c r="A11" s="30" t="s">
        <v>1449</v>
      </c>
      <c r="B11" s="26">
        <f>$K$11</f>
        <v>0.1509</v>
      </c>
      <c r="C11" s="26">
        <v>0.101</v>
      </c>
      <c r="D11" s="31">
        <f>K11</f>
        <v>0.1509</v>
      </c>
      <c r="E11" s="32">
        <f>D11</f>
        <v>0.1509</v>
      </c>
      <c r="F11" s="32">
        <f t="shared" ref="F11:I11" si="4">E11</f>
        <v>0.1509</v>
      </c>
      <c r="G11" s="32">
        <f t="shared" si="4"/>
        <v>0.1509</v>
      </c>
      <c r="H11" s="32">
        <f t="shared" si="4"/>
        <v>0.1509</v>
      </c>
      <c r="I11" s="32">
        <f t="shared" si="4"/>
        <v>0.1509</v>
      </c>
      <c r="J11" s="31" t="e">
        <f>#REF!</f>
        <v>#REF!</v>
      </c>
      <c r="K11" s="45">
        <v>0.1509</v>
      </c>
      <c r="L11" s="46"/>
      <c r="M11" s="46"/>
      <c r="N11" s="46"/>
      <c r="O11" s="46"/>
      <c r="P11" s="46"/>
      <c r="Q11" s="46"/>
      <c r="R11" s="46"/>
      <c r="S11" s="46"/>
      <c r="T11" s="54"/>
    </row>
    <row r="12" s="12" customFormat="1" ht="13.5" spans="1:19">
      <c r="A12" s="30" t="s">
        <v>1450</v>
      </c>
      <c r="B12" s="26">
        <f>6/12/2</f>
        <v>0.25</v>
      </c>
      <c r="C12" s="26">
        <v>0.5</v>
      </c>
      <c r="D12" s="23">
        <f>1/2</f>
        <v>0.5</v>
      </c>
      <c r="E12" s="29">
        <f>D12+1</f>
        <v>1.5</v>
      </c>
      <c r="F12" s="29">
        <f>E12+1</f>
        <v>2.5</v>
      </c>
      <c r="G12" s="29">
        <f>F12+1</f>
        <v>3.5</v>
      </c>
      <c r="H12" s="29">
        <f t="shared" ref="H12:I12" si="5">G12+1</f>
        <v>4.5</v>
      </c>
      <c r="I12" s="29">
        <f t="shared" si="5"/>
        <v>5.5</v>
      </c>
      <c r="J12" s="23" t="e">
        <f>#REF!+1</f>
        <v>#REF!</v>
      </c>
      <c r="K12" s="44"/>
      <c r="L12" s="37"/>
      <c r="M12" s="37"/>
      <c r="N12" s="37"/>
      <c r="O12" s="37"/>
      <c r="P12" s="37"/>
      <c r="Q12" s="37"/>
      <c r="R12" s="37"/>
      <c r="S12" s="37"/>
    </row>
    <row r="13" s="12" customFormat="1" ht="13.5" spans="1:19">
      <c r="A13" s="30" t="s">
        <v>1451</v>
      </c>
      <c r="B13" s="26">
        <f t="shared" ref="B13" si="6">ROUND(1/(1+B11)^B12,2)</f>
        <v>0.97</v>
      </c>
      <c r="C13" s="26">
        <f>ROUND(1/(1+C11)^C12,4)</f>
        <v>0.953</v>
      </c>
      <c r="D13" s="23">
        <f t="shared" ref="D13:J13" si="7">ROUND(1/(1+D11)^D12,4)</f>
        <v>0.9321</v>
      </c>
      <c r="E13" s="29">
        <f t="shared" si="7"/>
        <v>0.8099</v>
      </c>
      <c r="F13" s="29">
        <f t="shared" si="7"/>
        <v>0.7037</v>
      </c>
      <c r="G13" s="29">
        <f t="shared" si="7"/>
        <v>0.6115</v>
      </c>
      <c r="H13" s="29">
        <f t="shared" si="7"/>
        <v>0.5313</v>
      </c>
      <c r="I13" s="29">
        <f>ROUND(1/I11*H13,4)</f>
        <v>3.5209</v>
      </c>
      <c r="J13" s="23" t="e">
        <f t="shared" si="7"/>
        <v>#REF!</v>
      </c>
      <c r="K13" s="44"/>
      <c r="L13" s="37"/>
      <c r="M13" s="37"/>
      <c r="N13" s="37"/>
      <c r="O13" s="37"/>
      <c r="P13" s="37"/>
      <c r="Q13" s="37"/>
      <c r="R13" s="37"/>
      <c r="S13" s="37"/>
    </row>
    <row r="14" s="12" customFormat="1" ht="13.5" spans="1:19">
      <c r="A14" s="24" t="s">
        <v>1452</v>
      </c>
      <c r="B14" s="26" t="e">
        <f t="shared" ref="B14:C14" si="8">ROUND(B10*B13,2)</f>
        <v>#REF!</v>
      </c>
      <c r="C14" s="26" t="e">
        <f t="shared" si="8"/>
        <v>#REF!</v>
      </c>
      <c r="D14" s="23">
        <f t="shared" ref="D14:J14" si="9">ROUND(D10*D13,2)</f>
        <v>563.72</v>
      </c>
      <c r="E14" s="29">
        <f t="shared" si="9"/>
        <v>272.45</v>
      </c>
      <c r="F14" s="29">
        <f t="shared" si="9"/>
        <v>481.98</v>
      </c>
      <c r="G14" s="29">
        <f t="shared" si="9"/>
        <v>454.77</v>
      </c>
      <c r="H14" s="29">
        <f t="shared" si="9"/>
        <v>405.49</v>
      </c>
      <c r="I14" s="29">
        <f t="shared" si="9"/>
        <v>2409.08</v>
      </c>
      <c r="J14" s="23" t="e">
        <f t="shared" si="9"/>
        <v>#REF!</v>
      </c>
      <c r="K14" s="44"/>
      <c r="L14" s="37"/>
      <c r="M14" s="37"/>
      <c r="N14" s="37"/>
      <c r="O14" s="37"/>
      <c r="P14" s="37"/>
      <c r="Q14" s="37"/>
      <c r="R14" s="37"/>
      <c r="S14" s="37"/>
    </row>
    <row r="15" s="12" customFormat="1" ht="13.5" spans="1:11">
      <c r="A15" s="24" t="s">
        <v>1453</v>
      </c>
      <c r="B15" s="33">
        <f>SUM(D14:I14)</f>
        <v>4587.49</v>
      </c>
      <c r="C15" s="33"/>
      <c r="D15" s="33"/>
      <c r="E15" s="33"/>
      <c r="F15" s="33"/>
      <c r="G15" s="33"/>
      <c r="H15" s="33"/>
      <c r="I15" s="33"/>
      <c r="J15" s="47"/>
      <c r="K15" s="48"/>
    </row>
    <row r="16" s="12" customFormat="1" ht="13.5" spans="1:17">
      <c r="A16" s="24" t="s">
        <v>1454</v>
      </c>
      <c r="B16" s="33">
        <f>溢余资金测算表!E6</f>
        <v>0</v>
      </c>
      <c r="C16" s="33"/>
      <c r="D16" s="33"/>
      <c r="E16" s="33"/>
      <c r="F16" s="33"/>
      <c r="G16" s="33"/>
      <c r="H16" s="33"/>
      <c r="I16" s="33"/>
      <c r="J16" s="47"/>
      <c r="K16" s="48"/>
      <c r="L16" s="11"/>
      <c r="M16" s="11"/>
      <c r="N16" s="11"/>
      <c r="O16" s="11"/>
      <c r="P16" s="11"/>
      <c r="Q16" s="11"/>
    </row>
    <row r="17" s="12" customFormat="1" ht="13.5" spans="1:17">
      <c r="A17" s="24" t="s">
        <v>1455</v>
      </c>
      <c r="B17" s="34"/>
      <c r="C17" s="35">
        <f>非经营性资产和负债!D5</f>
        <v>7534.552984</v>
      </c>
      <c r="D17" s="35"/>
      <c r="E17" s="35"/>
      <c r="F17" s="35"/>
      <c r="G17" s="35"/>
      <c r="H17" s="35"/>
      <c r="I17" s="35"/>
      <c r="J17" s="49"/>
      <c r="K17" s="48"/>
      <c r="L17" s="11"/>
      <c r="M17" s="11"/>
      <c r="N17" s="11"/>
      <c r="O17" s="11"/>
      <c r="P17" s="11"/>
      <c r="Q17" s="11"/>
    </row>
    <row r="18" s="12" customFormat="1" ht="13.5" spans="1:17">
      <c r="A18" s="24" t="s">
        <v>1456</v>
      </c>
      <c r="B18" s="33">
        <f>非经营性资产和负债!D9</f>
        <v>1152.5</v>
      </c>
      <c r="C18" s="33"/>
      <c r="D18" s="33"/>
      <c r="E18" s="33"/>
      <c r="F18" s="33"/>
      <c r="G18" s="33"/>
      <c r="H18" s="33"/>
      <c r="I18" s="33"/>
      <c r="J18" s="47"/>
      <c r="K18" s="48"/>
      <c r="L18" s="11"/>
      <c r="M18" s="11"/>
      <c r="N18" s="11"/>
      <c r="O18" s="11"/>
      <c r="P18" s="11"/>
      <c r="Q18" s="11"/>
    </row>
    <row r="19" s="12" customFormat="1" ht="13.5" spans="1:17">
      <c r="A19" s="24" t="s">
        <v>1457</v>
      </c>
      <c r="B19" s="33">
        <v>0</v>
      </c>
      <c r="C19" s="33"/>
      <c r="D19" s="33"/>
      <c r="E19" s="33"/>
      <c r="F19" s="33"/>
      <c r="G19" s="33"/>
      <c r="H19" s="33"/>
      <c r="I19" s="33"/>
      <c r="J19" s="47"/>
      <c r="K19" s="48"/>
      <c r="L19" s="11"/>
      <c r="M19" s="11"/>
      <c r="N19" s="11"/>
      <c r="O19" s="11"/>
      <c r="P19" s="11"/>
      <c r="Q19" s="11"/>
    </row>
    <row r="20" s="12" customFormat="1" ht="13.8" customHeight="1" spans="1:17">
      <c r="A20" s="24" t="s">
        <v>1458</v>
      </c>
      <c r="B20" s="33"/>
      <c r="C20" s="33"/>
      <c r="D20" s="33"/>
      <c r="E20" s="33"/>
      <c r="F20" s="33"/>
      <c r="G20" s="33"/>
      <c r="H20" s="33"/>
      <c r="I20" s="33"/>
      <c r="J20" s="47"/>
      <c r="K20" s="48"/>
      <c r="L20" s="11"/>
      <c r="M20" s="11"/>
      <c r="N20" s="11"/>
      <c r="O20" s="11"/>
      <c r="P20" s="11"/>
      <c r="Q20" s="11"/>
    </row>
    <row r="21" s="12" customFormat="1" ht="13.5" spans="1:17">
      <c r="A21" s="24" t="s">
        <v>1459</v>
      </c>
      <c r="B21" s="33">
        <f>B15+B16+C17-B18-B19+C20</f>
        <v>10969.542984</v>
      </c>
      <c r="C21" s="33"/>
      <c r="D21" s="33"/>
      <c r="E21" s="33"/>
      <c r="F21" s="33"/>
      <c r="G21" s="33"/>
      <c r="H21" s="33"/>
      <c r="I21" s="33"/>
      <c r="J21" s="47"/>
      <c r="K21" s="48"/>
      <c r="L21" s="11"/>
      <c r="M21" s="11"/>
      <c r="N21" s="11"/>
      <c r="O21" s="11"/>
      <c r="P21" s="11"/>
      <c r="Q21" s="11"/>
    </row>
    <row r="22" s="12" customFormat="1" ht="13.5" spans="1:17">
      <c r="A22" s="36"/>
      <c r="B22" s="36"/>
      <c r="C22" s="37"/>
      <c r="D22" s="37"/>
      <c r="E22" s="11"/>
      <c r="F22" s="11"/>
      <c r="G22" s="11"/>
      <c r="H22" s="11"/>
      <c r="I22" s="11"/>
      <c r="J22" s="11"/>
      <c r="K22" s="50"/>
      <c r="L22" s="11"/>
      <c r="M22" s="11"/>
      <c r="N22" s="11"/>
      <c r="O22" s="11"/>
      <c r="P22" s="11"/>
      <c r="Q22" s="11"/>
    </row>
    <row r="23" spans="10:10">
      <c r="J23" s="51"/>
    </row>
    <row r="25" spans="10:10">
      <c r="J25" s="52"/>
    </row>
    <row r="26" spans="10:10">
      <c r="J26" s="52">
        <v>44348.611155</v>
      </c>
    </row>
    <row r="27" spans="10:10">
      <c r="J27" s="53"/>
    </row>
  </sheetData>
  <mergeCells count="7">
    <mergeCell ref="B15:J15"/>
    <mergeCell ref="B16:J16"/>
    <mergeCell ref="C17:J17"/>
    <mergeCell ref="B18:J18"/>
    <mergeCell ref="B19:J19"/>
    <mergeCell ref="C20:J20"/>
    <mergeCell ref="B21:J21"/>
  </mergeCells>
  <pageMargins left="0.75" right="0.75" top="1" bottom="1" header="0.5" footer="0.5"/>
  <pageSetup paperSize="9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7"/>
  <sheetViews>
    <sheetView workbookViewId="0">
      <selection activeCell="H11" sqref="H11"/>
    </sheetView>
  </sheetViews>
  <sheetFormatPr defaultColWidth="9" defaultRowHeight="14.25" outlineLevelRow="6" outlineLevelCol="6"/>
  <cols>
    <col min="3" max="7" width="11.5" customWidth="1"/>
  </cols>
  <sheetData>
    <row r="3" ht="15"/>
    <row r="4" ht="15" spans="3:7">
      <c r="C4" s="1" t="s">
        <v>1460</v>
      </c>
      <c r="D4" s="2" t="s">
        <v>1461</v>
      </c>
      <c r="E4" s="2" t="s">
        <v>1422</v>
      </c>
      <c r="F4" s="2" t="s">
        <v>1462</v>
      </c>
      <c r="G4" s="2" t="s">
        <v>1463</v>
      </c>
    </row>
    <row r="5" ht="15" spans="3:7">
      <c r="C5" s="3" t="s">
        <v>1464</v>
      </c>
      <c r="D5" s="4">
        <v>9416.97</v>
      </c>
      <c r="E5" s="5">
        <f>评估值测算!B21</f>
        <v>10969.542984</v>
      </c>
      <c r="F5" s="5">
        <f>E5-D5</f>
        <v>1552.572984</v>
      </c>
      <c r="G5" s="6">
        <f>F5/D5</f>
        <v>0.164869696303588</v>
      </c>
    </row>
    <row r="6" ht="15" spans="3:7">
      <c r="C6" s="3" t="s">
        <v>1465</v>
      </c>
      <c r="D6" s="4">
        <v>9416.97</v>
      </c>
      <c r="E6" s="5">
        <f>'[39]1-汇总表'!$C$29</f>
        <v>9552.94</v>
      </c>
      <c r="F6" s="5">
        <f>E6-D6</f>
        <v>135.970000000001</v>
      </c>
      <c r="G6" s="6">
        <f>F6/D6</f>
        <v>0.0144388269262832</v>
      </c>
    </row>
    <row r="7" ht="15" spans="3:7">
      <c r="C7" s="3" t="s">
        <v>1466</v>
      </c>
      <c r="D7" s="7">
        <v>0</v>
      </c>
      <c r="E7" s="5">
        <f>E5-E6</f>
        <v>1416.602984</v>
      </c>
      <c r="F7" s="5">
        <f>F5-F6</f>
        <v>1416.602984</v>
      </c>
      <c r="G7" s="6">
        <f>G5-G6</f>
        <v>0.150430869377305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封面</vt:lpstr>
      <vt:lpstr>资产负债分析调整表</vt:lpstr>
      <vt:lpstr>利润分析调整表</vt:lpstr>
      <vt:lpstr>财务指标分析表</vt:lpstr>
      <vt:lpstr>财务指标详表</vt:lpstr>
      <vt:lpstr>收入--历史经营情况分析</vt:lpstr>
      <vt:lpstr>收入--2018年收入分析表</vt:lpstr>
      <vt:lpstr>收入预测表</vt:lpstr>
      <vt:lpstr>成本--成本比例分析</vt:lpstr>
      <vt:lpstr>主要材料情况</vt:lpstr>
      <vt:lpstr>燃料动力</vt:lpstr>
      <vt:lpstr>经营费用</vt:lpstr>
      <vt:lpstr>人员费用预测表</vt:lpstr>
      <vt:lpstr>管理费用预测表</vt:lpstr>
      <vt:lpstr>销售费用预测表</vt:lpstr>
      <vt:lpstr>租赁费预测</vt:lpstr>
      <vt:lpstr>财务费用预测表</vt:lpstr>
      <vt:lpstr>项目投资情况表</vt:lpstr>
      <vt:lpstr>利息测算</vt:lpstr>
      <vt:lpstr>成本--构成分析</vt:lpstr>
      <vt:lpstr>成本预测表</vt:lpstr>
      <vt:lpstr>税金及附加预测表</vt:lpstr>
      <vt:lpstr>工资表</vt:lpstr>
      <vt:lpstr>人员费用表</vt:lpstr>
      <vt:lpstr>销售费用</vt:lpstr>
      <vt:lpstr>折旧和资本化支出</vt:lpstr>
      <vt:lpstr>管理费用</vt:lpstr>
      <vt:lpstr>营运资金测算</vt:lpstr>
      <vt:lpstr>WACC测算</vt:lpstr>
      <vt:lpstr>财务费用</vt:lpstr>
      <vt:lpstr>Sheet1</vt:lpstr>
      <vt:lpstr>Sheet2</vt:lpstr>
      <vt:lpstr>预测利润表</vt:lpstr>
      <vt:lpstr>预测 主要资产负债项目</vt:lpstr>
      <vt:lpstr>营运资金</vt:lpstr>
      <vt:lpstr>非经营性资产和负债</vt:lpstr>
      <vt:lpstr>溢余资金测算表</vt:lpstr>
      <vt:lpstr>评估值测算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觉悟</cp:lastModifiedBy>
  <dcterms:created xsi:type="dcterms:W3CDTF">1996-12-17T01:32:00Z</dcterms:created>
  <dcterms:modified xsi:type="dcterms:W3CDTF">2019-05-24T08:20:42Z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